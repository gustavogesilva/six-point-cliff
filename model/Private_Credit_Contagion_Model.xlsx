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Scenarios" sheetId="3" state="visible" r:id="rId5"/>
    <sheet name="Globals" sheetId="4" state="visible" r:id="rId6"/>
    <sheet name="Inputs_Banks" sheetId="5" state="visible" r:id="rId7"/>
    <sheet name="Holdings" sheetId="6" state="visible" r:id="rId8"/>
    <sheet name="BDC" sheetId="7" state="visible" r:id="rId9"/>
    <sheet name="BDC_EAD" sheetId="8" state="visible" r:id="rId10"/>
    <sheet name="AI_Deals" sheetId="9" state="visible" r:id="rId11"/>
    <sheet name="CreditEngine" sheetId="10" state="visible" r:id="rId12"/>
    <sheet name="Modules" sheetId="11" state="visible" r:id="rId13"/>
    <sheet name="Contagion" sheetId="12" state="visible" r:id="rId14"/>
    <sheet name="Network" sheetId="13" state="visible" r:id="rId15"/>
    <sheet name="Results" sheetId="14" state="visible" r:id="rId16"/>
    <sheet name="Standalone_Grid" sheetId="15" state="visible" r:id="rId17"/>
    <sheet name="Reverse_Stress" sheetId="16" state="visible" r:id="rId18"/>
    <sheet name="MC_Summary" sheetId="17" state="visible" r:id="rId19"/>
    <sheet name="MC_Distribution" sheetId="18" state="visible" r:id="rId20"/>
    <sheet name="Fat_Tails" sheetId="19" state="visible" r:id="rId21"/>
    <sheet name="PyCheck" sheetId="20" state="visible" r:id="rId22"/>
    <sheet name="Checks" sheetId="21" state="visible" r:id="rId23"/>
    <sheet name="Sources" sheetId="22" state="visible" r:id="rId24"/>
    <sheet name="Method" sheetId="23" state="visible" r:id="rId25"/>
  </sheets>
  <definedNames>
    <definedName function="false" hidden="false" name="CE_ccc_09" vbProcedure="false">CreditEngine!$C$32</definedName>
    <definedName function="false" hidden="false" name="CE_ccc_avg" vbProcedure="false">CreditEngine!$C$31</definedName>
    <definedName function="false" hidden="false" name="CE_ccc_new" vbProcedure="false">CreditEngine!$C$33</definedName>
    <definedName function="false" hidden="false" name="CE_ins_sales" vbProcedure="false">CreditEngine!$C$38</definedName>
    <definedName function="false" hidden="false" name="CE_Lg" vbProcedure="false">CreditEngine!$C$18</definedName>
    <definedName function="false" hidden="false" name="CE_LRa0" vbProcedure="false">CreditEngine!$C$29</definedName>
    <definedName function="false" hidden="false" name="CE_LRff" vbProcedure="false">CreditEngine!$C$36</definedName>
    <definedName function="false" hidden="false" name="CE_LRg0" vbProcedure="false">CreditEngine!$C$28</definedName>
    <definedName function="false" hidden="false" name="CE_LRnav" vbProcedure="false">CreditEngine!$C$35</definedName>
    <definedName function="false" hidden="false" name="CE_LRtrs0" vbProcedure="false">CreditEngine!$C$30</definedName>
    <definedName function="false" hidden="false" name="CE_Ls" vbProcedure="false">CreditEngine!$C$19</definedName>
    <definedName function="false" hidden="false" name="CE_mig_hc" vbProcedure="false">CreditEngine!$C$34</definedName>
    <definedName function="false" hidden="false" name="CE_mk_sys" vbProcedure="false">CreditEngine!$C$23</definedName>
    <definedName function="false" hidden="false" name="CE_MTMg" vbProcedure="false">CreditEngine!$C$20</definedName>
    <definedName function="false" hidden="false" name="CE_MTMs" vbProcedure="false">CreditEngine!$C$21</definedName>
    <definedName function="false" hidden="false" name="CE_MTM_sys" vbProcedure="false">CreditEngine!$C$25</definedName>
    <definedName function="false" hidden="false" name="CE_nonbank_pcl" vbProcedure="false">CreditEngine!$C$37</definedName>
    <definedName function="false" hidden="false" name="CE_PDb" vbProcedure="false">CreditEngine!$C$17</definedName>
    <definedName function="false" hidden="false" name="CE_PDg" vbProcedure="false">CreditEngine!$C$15</definedName>
    <definedName function="false" hidden="false" name="CE_PDs" vbProcedure="false">CreditEngine!$C$16</definedName>
    <definedName function="false" hidden="false" name="CE_sw_sys" vbProcedure="false">CreditEngine!$C$22</definedName>
    <definedName function="false" hidden="false" name="CE_Vh_a" vbProcedure="false">CreditEngine!$C$26</definedName>
    <definedName function="false" hidden="false" name="CE_Vh_g" vbProcedure="false">CreditEngine!$C$24</definedName>
    <definedName function="false" hidden="false" name="CE_Vl_g0" vbProcedure="false">CreditEngine!$C$27</definedName>
    <definedName function="false" hidden="false" name="g_adv_np" vbProcedure="false">Globals!$B$41</definedName>
    <definedName function="false" hidden="false" name="g_adv_perf" vbProcedure="false">Globals!$B$40</definedName>
    <definedName function="false" hidden="false" name="g_a_abf" vbProcedure="false">Globals!$B$15</definedName>
    <definedName function="false" hidden="false" name="g_ccc0" vbProcedure="false">Globals!$B$39</definedName>
    <definedName function="false" hidden="false" name="g_c_gpu" vbProcedure="false">Globals!$B$18</definedName>
    <definedName function="false" hidden="false" name="g_del_buf" vbProcedure="false">Globals!$B$26</definedName>
    <definedName function="false" hidden="false" name="g_del_cap" vbProcedure="false">Globals!$B$27</definedName>
    <definedName function="false" hidden="false" name="g_dur_htm" vbProcedure="false">Globals!$B$21</definedName>
    <definedName function="false" hidden="false" name="g_dur_s" vbProcedure="false">Globals!$B$9</definedName>
    <definedName function="false" hidden="false" name="g_fabn_6m" vbProcedure="false">Globals!$B$42</definedName>
    <definedName function="false" hidden="false" name="g_fabr" vbProcedure="false">Globals!$B$43</definedName>
    <definedName function="false" hidden="false" name="g_gamma_pan" vbProcedure="false">Globals!$B$33</definedName>
    <definedName function="false" hidden="false" name="g_lgd_gen_b" vbProcedure="false">Globals!$B$7</definedName>
    <definedName function="false" hidden="false" name="g_lgd_ins" vbProcedure="false">Globals!$B$16</definedName>
    <definedName function="false" hidden="false" name="g_lgd_lp" vbProcedure="false">Globals!$B$10</definedName>
    <definedName function="false" hidden="false" name="g_lgd_sw_b" vbProcedure="false">Globals!$B$8</definedName>
    <definedName function="false" hidden="false" name="g_nav_ltv" vbProcedure="false">Globals!$B$12</definedName>
    <definedName function="false" hidden="false" name="g_nav_share" vbProcedure="false">Globals!$B$11</definedName>
    <definedName function="false" hidden="false" name="g_n_weak" vbProcedure="false">Globals!$B$30</definedName>
    <definedName function="false" hidden="false" name="g_pb_conc" vbProcedure="false">Globals!$B$22</definedName>
    <definedName function="false" hidden="false" name="g_pb_margin" vbProcedure="false">Globals!$B$23</definedName>
    <definedName function="false" hidden="false" name="g_pd_unrated" vbProcedure="false">Globals!$B$19</definedName>
    <definedName function="false" hidden="false" name="g_rho" vbProcedure="false">Globals!$B$5</definedName>
    <definedName function="false" hidden="false" name="g_rho_ai" vbProcedure="false">Globals!$B$6</definedName>
    <definedName function="false" hidden="false" name="g_s_in" vbProcedure="false">Globals!$B$28</definedName>
    <definedName function="false" hidden="false" name="g_tail_mult" vbProcedure="false">Globals!$B$14</definedName>
    <definedName function="false" hidden="false" name="g_tail_share" vbProcedure="false">Globals!$B$13</definedName>
    <definedName function="false" hidden="false" name="g_tau_news" vbProcedure="false">Globals!$B$32</definedName>
    <definedName function="false" hidden="false" name="g_theta_news" vbProcedure="false">Globals!$B$31</definedName>
    <definedName function="false" hidden="false" name="g_theta_sell" vbProcedure="false">Globals!$B$25</definedName>
    <definedName function="false" hidden="false" name="g_trs_adv" vbProcedure="false">Globals!$B$20</definedName>
    <definedName function="false" hidden="false" name="g_t_def" vbProcedure="false">Globals!$B$17</definedName>
    <definedName function="false" hidden="false" name="g_usable" vbProcedure="false">Globals!$B$24</definedName>
    <definedName function="false" hidden="false" name="g_u_ib" vbProcedure="false">Globals!$B$29</definedName>
    <definedName function="false" hidden="false" name="g_w_cov" vbProcedure="false">Globals!$B$34</definedName>
    <definedName function="false" hidden="false" name="g_w_def" vbProcedure="false">Globals!$B$37</definedName>
    <definedName function="false" hidden="false" name="g_w_fs" vbProcedure="false">Globals!$B$38</definedName>
    <definedName function="false" hidden="false" name="g_w_mda" vbProcedure="false">Globals!$B$36</definedName>
    <definedName function="false" hidden="false" name="g_w_notch" vbProcedure="false">Globals!$B$35</definedName>
    <definedName function="false" hidden="false" name="p_abf_loss" vbProcedure="false">Scenarios!$O$23</definedName>
    <definedName function="false" hidden="false" name="p_a_spv" vbProcedure="false">Scenarios!$O$16</definedName>
    <definedName function="false" hidden="false" name="p_bb_cush" vbProcedure="false">Scenarios!$O$50</definedName>
    <definedName function="false" hidden="false" name="p_cb_on" vbProcedure="false">Scenarios!$O$67</definedName>
    <definedName function="false" hidden="false" name="p_ccf_abf" vbProcedure="false">Scenarios!$O$24</definedName>
    <definedName function="false" hidden="false" name="p_ccf_ai" vbProcedure="false">Scenarios!$O$31</definedName>
    <definedName function="false" hidden="false" name="p_ccf_bl" vbProcedure="false">Scenarios!$O$17</definedName>
    <definedName function="false" hidden="false" name="p_ccf_dg" vbProcedure="false">Scenarios!$O$18</definedName>
    <definedName function="false" hidden="false" name="p_ccf_ff" vbProcedure="false">Scenarios!$O$22</definedName>
    <definedName function="false" hidden="false" name="p_ccf_ins" vbProcedure="false">Scenarios!$O$26</definedName>
    <definedName function="false" hidden="false" name="p_cp_base" vbProcedure="false">Scenarios!$O$62</definedName>
    <definedName function="false" hidden="false" name="p_cp_notch" vbProcedure="false">Scenarios!$O$63</definedName>
    <definedName function="false" hidden="false" name="p_cp_pan" vbProcedure="false">Scenarios!$O$93</definedName>
    <definedName function="false" hidden="false" name="p_cre_lr" vbProcedure="false">Scenarios!$O$40</definedName>
    <definedName function="false" hidden="false" name="p_c_liq" vbProcedure="false">Scenarios!$O$15</definedName>
    <definedName function="false" hidden="false" name="p_dealer_mult" vbProcedure="false">Scenarios!$O$69</definedName>
    <definedName function="false" hidden="false" name="p_dh" vbProcedure="false">Scenarios!$O$64</definedName>
    <definedName function="false" hidden="false" name="p_dh_pan" vbProcedure="false">Scenarios!$O$95</definedName>
    <definedName function="false" hidden="false" name="p_dm_pan" vbProcedure="false">Scenarios!$O$97</definedName>
    <definedName function="false" hidden="false" name="p_dnav" vbProcedure="false">Scenarios!$O$21</definedName>
    <definedName function="false" hidden="false" name="p_dp_ABS" vbProcedure="false">Scenarios!$O$36</definedName>
    <definedName function="false" hidden="false" name="p_dp_CLO" vbProcedure="false">Scenarios!$O$35</definedName>
    <definedName function="false" hidden="false" name="p_dp_EQ" vbProcedure="false">Scenarios!$O$37</definedName>
    <definedName function="false" hidden="false" name="p_dp_HY" vbProcedure="false">Scenarios!$O$33</definedName>
    <definedName function="false" hidden="false" name="p_dp_IG" vbProcedure="false">Scenarios!$O$32</definedName>
    <definedName function="false" hidden="false" name="p_dp_LEV" vbProcedure="false">Scenarios!$O$34</definedName>
    <definedName function="false" hidden="false" name="p_dp_MUNI" vbProcedure="false">Scenarios!$O$38</definedName>
    <definedName function="false" hidden="false" name="p_dp_OSOV" vbProcedure="false">Scenarios!$O$39</definedName>
    <definedName function="false" hidden="false" name="p_ds" vbProcedure="false">Scenarios!$O$10</definedName>
    <definedName function="false" hidden="false" name="p_ds_pan" vbProcedure="false">Scenarios!$O$89</definedName>
    <definedName function="false" hidden="false" name="p_ds_sw" vbProcedure="false">Scenarios!$O$11</definedName>
    <definedName function="false" hidden="false" name="p_dy" vbProcedure="false">Scenarios!$O$41</definedName>
    <definedName function="false" hidden="false" name="p_fraud" vbProcedure="false">Scenarios!$O$19</definedName>
    <definedName function="false" hidden="false" name="p_fs_on" vbProcedure="false">Scenarios!$O$71</definedName>
    <definedName function="false" hidden="false" name="p_gap" vbProcedure="false">Scenarios!$O$12</definedName>
    <definedName function="false" hidden="false" name="p_gpu_r" vbProcedure="false">Scenarios!$O$28</definedName>
    <definedName function="false" hidden="false" name="p_hid" vbProcedure="false">Scenarios!$O$6</definedName>
    <definedName function="false" hidden="false" name="p_htm_forced" vbProcedure="false">Scenarios!$O$42</definedName>
    <definedName function="false" hidden="false" name="p_ib_on" vbProcedure="false">Scenarios!$O$72</definedName>
    <definedName function="false" hidden="false" name="p_ins_pan" vbProcedure="false">Scenarios!$O$100</definedName>
    <definedName function="false" hidden="false" name="p_ins_run" vbProcedure="false">Scenarios!$O$55</definedName>
    <definedName function="false" hidden="false" name="p_lgd_gen" vbProcedure="false">Scenarios!$O$8</definedName>
    <definedName function="false" hidden="false" name="p_lgd_ib" vbProcedure="false">Scenarios!$O$70</definedName>
    <definedName function="false" hidden="false" name="p_lgd_sw" vbProcedure="false">Scenarios!$O$9</definedName>
    <definedName function="false" hidden="false" name="p_liq_on" vbProcedure="false">Scenarios!$O$73</definedName>
    <definedName function="false" hidden="false" name="p_lp_dr" vbProcedure="false">Scenarios!$O$20</definedName>
    <definedName function="false" hidden="false" name="p_mb_psi" vbProcedure="false">Scenarios!$O$66</definedName>
    <definedName function="false" hidden="false" name="p_m_sw" vbProcedure="false">Scenarios!$O$7</definedName>
    <definedName function="false" hidden="false" name="p_news0" vbProcedure="false">Scenarios!$O$87</definedName>
    <definedName function="false" hidden="false" name="p_notch_step" vbProcedure="false">Scenarios!$O$51</definedName>
    <definedName function="false" hidden="false" name="p_oai_drop" vbProcedure="false">Scenarios!$O$30</definedName>
    <definedName function="false" hidden="false" name="p_panic_on" vbProcedure="false">Scenarios!$O$85</definedName>
    <definedName function="false" hidden="false" name="p_pb_pd" vbProcedure="false">Scenarios!$O$44</definedName>
    <definedName function="false" hidden="false" name="p_pb_shock" vbProcedure="false">Scenarios!$O$45</definedName>
    <definedName function="false" hidden="false" name="p_pc_scale" vbProcedure="false">Scenarios!$O$54</definedName>
    <definedName function="false" hidden="false" name="p_pd_ins" vbProcedure="false">Scenarios!$O$25</definedName>
    <definedName function="false" hidden="false" name="p_phi" vbProcedure="false">Scenarios!$O$14</definedName>
    <definedName function="false" hidden="false" name="p_ppnr_q" vbProcedure="false">Scenarios!$O$47</definedName>
    <definedName function="false" hidden="false" name="p_pull_base" vbProcedure="false">Scenarios!$O$65</definedName>
    <definedName function="false" hidden="false" name="p_pull_pan" vbProcedure="false">Scenarios!$O$94</definedName>
    <definedName function="false" hidden="false" name="p_recyc" vbProcedure="false">Scenarios!$O$68</definedName>
    <definedName function="false" hidden="false" name="p_rec_pan" vbProcedure="false">Scenarios!$O$96</definedName>
    <definedName function="false" hidden="false" name="p_red_pan" vbProcedure="false">Scenarios!$O$98</definedName>
    <definedName function="false" hidden="false" name="p_red_rate" vbProcedure="false">Scenarios!$O$53</definedName>
    <definedName function="false" hidden="false" name="p_req_pan" vbProcedure="false">Scenarios!$O$99</definedName>
    <definedName function="false" hidden="false" name="p_rwa_infl" vbProcedure="false">Scenarios!$O$48</definedName>
    <definedName function="false" hidden="false" name="p_S0" vbProcedure="false">Scenarios!$O$86</definedName>
    <definedName function="false" hidden="false" name="p_srt_lost" vbProcedure="false">Scenarios!$O$43</definedName>
    <definedName function="false" hidden="false" name="p_sw_M1" vbProcedure="false">Scenarios!$O$74</definedName>
    <definedName function="false" hidden="false" name="p_sw_M10" vbProcedure="false">Scenarios!$O$83</definedName>
    <definedName function="false" hidden="false" name="p_sw_M11" vbProcedure="false">Scenarios!$O$84</definedName>
    <definedName function="false" hidden="false" name="p_sw_M2" vbProcedure="false">Scenarios!$O$75</definedName>
    <definedName function="false" hidden="false" name="p_sw_M3" vbProcedure="false">Scenarios!$O$76</definedName>
    <definedName function="false" hidden="false" name="p_sw_M4" vbProcedure="false">Scenarios!$O$77</definedName>
    <definedName function="false" hidden="false" name="p_sw_M5" vbProcedure="false">Scenarios!$O$78</definedName>
    <definedName function="false" hidden="false" name="p_sw_M6" vbProcedure="false">Scenarios!$O$79</definedName>
    <definedName function="false" hidden="false" name="p_sw_M7" vbProcedure="false">Scenarios!$O$80</definedName>
    <definedName function="false" hidden="false" name="p_sw_M8" vbProcedure="false">Scenarios!$O$81</definedName>
    <definedName function="false" hidden="false" name="p_sw_M9" vbProcedure="false">Scenarios!$O$82</definedName>
    <definedName function="false" hidden="false" name="p_tax" vbProcedure="false">Scenarios!$O$46</definedName>
    <definedName function="false" hidden="false" name="p_theta_lev" vbProcedure="false">Scenarios!$O$52</definedName>
    <definedName function="false" hidden="false" name="p_uw_drop" vbProcedure="false">Scenarios!$O$29</definedName>
    <definedName function="false" hidden="false" name="p_u_base" vbProcedure="false">Scenarios!$O$56</definedName>
    <definedName function="false" hidden="false" name="p_u_fail" vbProcedure="false">Scenarios!$O$59</definedName>
    <definedName function="false" hidden="false" name="p_u_mda" vbProcedure="false">Scenarios!$O$58</definedName>
    <definedName function="false" hidden="false" name="p_u_notch" vbProcedure="false">Scenarios!$O$57</definedName>
    <definedName function="false" hidden="false" name="p_u_pan_all" vbProcedure="false">Scenarios!$O$90</definedName>
    <definedName function="false" hidden="false" name="p_u_pan_weak" vbProcedure="false">Scenarios!$O$91</definedName>
    <definedName function="false" hidden="false" name="p_w_base" vbProcedure="false">Scenarios!$O$60</definedName>
    <definedName function="false" hidden="false" name="p_w_mig" vbProcedure="false">Scenarios!$O$49</definedName>
    <definedName function="false" hidden="false" name="p_w_mkt" vbProcedure="false">Scenarios!$O$13</definedName>
    <definedName function="false" hidden="false" name="p_w_notch" vbProcedure="false">Scenarios!$O$61</definedName>
    <definedName function="false" hidden="false" name="p_w_pan" vbProcedure="false">Scenarios!$O$92</definedName>
    <definedName function="false" hidden="false" name="p_z" vbProcedure="false">Scenarios!$O$5</definedName>
    <definedName function="false" hidden="false" name="p_zc" vbProcedure="false">Scenarios!$O$88</definedName>
    <definedName function="false" hidden="false" name="p_z_ai" vbProcedure="false">Scenarios!$O$27</definedName>
    <definedName function="false" hidden="false" name="rng_lessee_key" vbProcedure="false">CreditEngine!$A$42:$A$48</definedName>
    <definedName function="false" hidden="false" name="rng_lessee_pd" vbProcedure="false">CreditEngine!$B$42:$B$48</definedName>
    <definedName function="false" hidden="false" name="sel_scen" vbProcedure="false">Dashboard!$C$4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<sst xmlns="http://schemas.openxmlformats.org/spreadsheetml/2006/main" count="7087" uniqueCount="1679">
  <si>
    <t xml:space="preserve">Private credit, AI-SPV and repo contagion stress model</t>
  </si>
  <si>
    <t xml:space="preserve">Built for the Proteo Markets post The Six-Point Cliff. 24 institutions (13 US, 10 non-US, Jefferies). USD bn. Inputs as of 19 Oct 2026: CET1 and RWA of the 12 US banks that had reported at 30-Sep-2026, other balance-sheet items at 30-Jun-2026 unless noted; listed BDC P/NAV at 19-Oct-2026 prices.</t>
  </si>
  <si>
    <t xml:space="preserve">What it does</t>
  </si>
  <si>
    <t xml:space="preserve">1. Models each risk on its own (11 modules, Modules sheet), per bank, from filings: back-leverage to private-credit intermediaries with a look-through to the junk loans they hold (M1, BDC + BDC_EAD + CreditEngine), fund finance (M2), structured-entity / ABF lending (M3), PE-owned insurers (M4), AI / GPU / data-centre SPVs with chip obsolescence (M5, AI_Deals), trading and HFS marks (M6), CRE (M7), rates incl. forced HTM sales (M8), loss of SRT relief (M9), written sub-IG TRS (M10), prime / margin gap risk (M11).</t>
  </si>
  <si>
    <t xml:space="preserve">2. Connects banks through the repo and funding markets (Contagion sheet, 8 rounds): capital loss -&gt; rating notches -&gt; contractual triggers, deposit / wholesale / MMF CP run-off, repo haircut add-ons and non-rollover of inventory repo -&gt; liquidity shortfall -&gt; forced asset sales; MMF withdrawal of private-collateral repo -&gt; matched-book clients forced to sell; BDC / private-credit funds and insurers sell into the same markets -&gt; price impact by asset class -&gt; re-marks of every bank's holdings and of private-credit pools behind back-leverage -&gt; interbank losses when a bank defaults (max-entropy network).</t>
  </si>
  <si>
    <t xml:space="preserve">2b. Panic / information contagion: every round the street reads public news (BDC coverage breaches, private-credit price discount, G-SIB downgrades and MDA breaches, any failure) and sets a panic intensity S (0-1). S pushes the credit factor down (credit crunch), widens spreads, moves private-credit marks to market, makes funds sell and redeem, triggers runs on the weakest-ranked banks and in wholesale / CP / repo funding, and applies a common panic discount to every risky asset class at once (correlations -&gt; 1). Flight-to-quality deposits go to the strongest half.</t>
  </si>
  <si>
    <t xml:space="preserve">3. Rerating tests: rating migration of the underlying loans (S&amp;P average vs Moody's 2009 matrices) cuts borrowing bases and forces BDC sales; BDCs losing IG draw their bank revolvers in full; bank downgrades drive runs.</t>
  </si>
  <si>
    <t xml:space="preserve">4. Monte Carlo (10,000 joint draws, Student-t fat tails with a crisis regime in which correlations go to 0.95, panic on, conditioned on today), probability ladder and trigger-conditional probabilities (Fat_Tails), reverse stress and an each-module-alone grid, computed by engine.py (Python mirror of these formulas) and written to MC_Summary, MC_Distribution, Reverse_Stress and Standalone_Grid as values. Checks proves the Excel formulas reproduce the Python engine for the active scenario.</t>
  </si>
  <si>
    <t xml:space="preserve">How to use</t>
  </si>
  <si>
    <t xml:space="preserve">Dashboard!C4: pick a scenario. Scenarios sheet: edit the yellow Custom column (or any blue value); sw_M1..sw_M11 switch modules off; fs_on / ib_on / liq_on switch contagion channels off. Every bank input is on Inputs_Banks / Holdings / BDC / BDC_EAD / AI_Deals with its source on Sources.</t>
  </si>
  <si>
    <t xml:space="preserve">To refresh Monte Carlo / reverse stress after changing inputs: save in Excel, then run  python engine.py Private_Credit_Contagion_Model.xlsx  (prints all scenarios)  or  python post.py &lt;file&gt;  (rewrites the value sheets). post.py needs LibreOffice for its recalculation step.</t>
  </si>
  <si>
    <t xml:space="preserve">Sheet map</t>
  </si>
  <si>
    <t xml:space="preserve">Dashboard - selector, system KPIs, per-bank table, chart | Scenarios - all levers by scenario, active column | Globals - constants | Inputs_Banks - 50+ fields per bank | Holdings - 13 asset classes + price-impact parameters | BDC - 34 BDC look-through | BDC_EAD - bank x BDC facility exposure | AI_Deals - 39 AI / GPU deals x bank holds | CreditEngine - Vasicek pool, migration, fund finance | Modules - standalone losses | Contagion - 8 rounds incl. panic intensity (column CD) | Network - interbank matrix | Results - final per bank + system | Standalone_Grid, Reverse_Stress, MC_Summary, MC_Distribution, Fat_Tails, PyCheck - Python outputs | Checks | Sources | Method.</t>
  </si>
  <si>
    <t xml:space="preserve">Most important caveats</t>
  </si>
  <si>
    <t xml:space="preserve">Bank-level private-credit, AI and BDC facility holdings are partly estimates (orange). Call-report business-credit-intermediary (BCI) loans are treated as back-leverage on junk pools: conservative for banks whose book is mostly IG fund lending (State Street in particular). BofA's $49.9bn written sub-IG TRS is treated as financing with an 80% advance (interpretation unresolved). Price-impact coefficients for illiquid credit, run-off rates and the Monte Carlo lever mappings are judgment, documented on Scenarios / Holdings / MC_Summary. No PPNR credit in named scenarios (instantaneous marks). Probabilities are model-conditional, not forecasts.</t>
  </si>
  <si>
    <t xml:space="preserve">Private credit, AI-SPV and repo contagion stress model - 24 banks</t>
  </si>
  <si>
    <t xml:space="preserve">As of 19 Oct 2026. Pick a scenario in C4 (or edit the Custom column on Scenarios). USD bn.</t>
  </si>
  <si>
    <t xml:space="preserve">Active scenario</t>
  </si>
  <si>
    <t xml:space="preserve">2008-combined</t>
  </si>
  <si>
    <t xml:space="preserve">&lt;- choose: Baseline, Software/AI repricing, GPU obsolescence, Credit 2009, Rerating cascade, Repo run, Rates shock, 2008-combined, Panic cascade, Custom</t>
  </si>
  <si>
    <t xml:space="preserve">SYSTEM</t>
  </si>
  <si>
    <t xml:space="preserve">MONTE CARLO, 3-yr horizon: fat tails + panic, conditioned on today (see MC_Summary, Fat_Tails)</t>
  </si>
  <si>
    <t xml:space="preserve">Backstop ON</t>
  </si>
  <si>
    <t xml:space="preserve">Backstop OFF</t>
  </si>
  <si>
    <t xml:space="preserve">Standalone loss, all banks ($bn)</t>
  </si>
  <si>
    <t xml:space="preserve">Final loss, all banks ($bn)</t>
  </si>
  <si>
    <t xml:space="preserve">Contagion amplification (final / standalone)</t>
  </si>
  <si>
    <t xml:space="preserve">G-SIBs below MDA</t>
  </si>
  <si>
    <t xml:space="preserve">G-SIBs below 4.5% minimum</t>
  </si>
  <si>
    <t xml:space="preserve">Institutions in default / resolution</t>
  </si>
  <si>
    <t xml:space="preserve">Capital shortfall to MDA, all banks ($bn)</t>
  </si>
  <si>
    <t xml:space="preserve">REVERSE STRESS (joint factor, no earnings credit; see Reverse_Stress)</t>
  </si>
  <si>
    <t xml:space="preserve">z</t>
  </si>
  <si>
    <t xml:space="preserve">Pool mark</t>
  </si>
  <si>
    <t xml:space="preserve">Liquidity shortfall, all banks ($bn)</t>
  </si>
  <si>
    <t xml:space="preserve">First G-SIB below MDA</t>
  </si>
  <si>
    <t xml:space="preserve">SYSTEMIC (&gt;=3 G-SIBs below MDA or any G-SIB in default)</t>
  </si>
  <si>
    <t xml:space="preserve">Systemic (&gt;=3 G-SIBs below MDA)</t>
  </si>
  <si>
    <t xml:space="preserve">Total forced sales, all sellers ($bn)</t>
  </si>
  <si>
    <t xml:space="preserve">First G-SIB below 4.5% minimum</t>
  </si>
  <si>
    <t xml:space="preserve">BDCs losing IG / below 150% coverage (standalone)</t>
  </si>
  <si>
    <t xml:space="preserve">First default / resolution</t>
  </si>
  <si>
    <t xml:space="preserve">Generic private-credit pool value, final round (hold)</t>
  </si>
  <si>
    <t xml:space="preserve">Backstop ON row shown; OFF row on Reverse_Stress.</t>
  </si>
  <si>
    <t xml:space="preserve">Pool 3-yr PD, generic / software (final round)</t>
  </si>
  <si>
    <t xml:space="preserve">P(&gt;=1 G-SIB below 4.5%) by horizon (constant hazard)</t>
  </si>
  <si>
    <t xml:space="preserve">PANIC INTENSITY S, final round (0-1)</t>
  </si>
  <si>
    <t xml:space="preserve">1 year</t>
  </si>
  <si>
    <t xml:space="preserve">Panic path, rounds 1..8</t>
  </si>
  <si>
    <t xml:space="preserve">3 months</t>
  </si>
  <si>
    <t xml:space="preserve">Legend: blue = input, black = formula, green = link to another sheet, orange fill = estimate / proxy, yellow = choose / edit. USD bn. Ratios = CET1 / stressed RWA.</t>
  </si>
  <si>
    <t xml:space="preserve">Id</t>
  </si>
  <si>
    <t xml:space="preserve">Institution</t>
  </si>
  <si>
    <t xml:space="preserve">CET1 now</t>
  </si>
  <si>
    <t xml:space="preserve">Req.</t>
  </si>
  <si>
    <t xml:space="preserve">After standalone</t>
  </si>
  <si>
    <t xml:space="preserve">Final</t>
  </si>
  <si>
    <t xml:space="preserve">Status</t>
  </si>
  <si>
    <t xml:space="preserve">Standalone loss</t>
  </si>
  <si>
    <t xml:space="preserve">Final loss</t>
  </si>
  <si>
    <t xml:space="preserve">Liquidity shortfall</t>
  </si>
  <si>
    <t xml:space="preserve">Notches</t>
  </si>
  <si>
    <t xml:space="preserve">Scenario parameters</t>
  </si>
  <si>
    <t xml:space="preserve">Columns E-N = scenario values (blue inputs; Custom in yellow is free to edit). Column O = active value used by every formula (named p_&lt;key&gt;). Select the scenario on Dashboard!C4.</t>
  </si>
  <si>
    <t xml:space="preserve">Key</t>
  </si>
  <si>
    <t xml:space="preserve">Group</t>
  </si>
  <si>
    <t xml:space="preserve">Description</t>
  </si>
  <si>
    <t xml:space="preserve">Unit</t>
  </si>
  <si>
    <t xml:space="preserve">Baseline</t>
  </si>
  <si>
    <t xml:space="preserve">Software/AI repricing</t>
  </si>
  <si>
    <t xml:space="preserve">GPU obsolescence</t>
  </si>
  <si>
    <t xml:space="preserve">Credit 2009</t>
  </si>
  <si>
    <t xml:space="preserve">Rerating cascade</t>
  </si>
  <si>
    <t xml:space="preserve">Repo run</t>
  </si>
  <si>
    <t xml:space="preserve">Rates shock</t>
  </si>
  <si>
    <t xml:space="preserve">Panic cascade</t>
  </si>
  <si>
    <t xml:space="preserve">Custom</t>
  </si>
  <si>
    <t xml:space="preserve">ACTIVE</t>
  </si>
  <si>
    <t xml:space="preserve">Basis / source</t>
  </si>
  <si>
    <t xml:space="preserve">Credit pool</t>
  </si>
  <si>
    <t xml:space="preserve">Systematic credit factor (3-yr horizon; negative = bad)</t>
  </si>
  <si>
    <t xml:space="preserve">Vasicek one-factor. z=-2.0 reproduces S&amp;P 2000-02 3-yr cumulative B/B- defaults (32.7%/45.0%) with rho=0.20</t>
  </si>
  <si>
    <t xml:space="preserve">hid</t>
  </si>
  <si>
    <t xml:space="preserve">Hidden-default add-on to 3-yr PD (shadow defaults not yet recognised)</t>
  </si>
  <si>
    <t xml:space="preserve">frac</t>
  </si>
  <si>
    <t xml:space="preserve">Lincoln bad-PIK 6.2% of loans (Q2-26) = upper bound of defaults masked by PIK/extensions</t>
  </si>
  <si>
    <t xml:space="preserve">m_sw</t>
  </si>
  <si>
    <t xml:space="preserve">Software sub-pool PD multiplier (AI disruption)</t>
  </si>
  <si>
    <t xml:space="preserve">x</t>
  </si>
  <si>
    <t xml:space="preserve">Judgment; Fitch software PCDR only 0.6% today but distressed software marks 50-65</t>
  </si>
  <si>
    <t xml:space="preserve">lgd_gen</t>
  </si>
  <si>
    <t xml:space="preserve">LGD, generic direct-lending loans</t>
  </si>
  <si>
    <t xml:space="preserve">1L/unitranche recovery 65% base, 50% stress (Moody's 2009 1L price 54%)</t>
  </si>
  <si>
    <t xml:space="preserve">lgd_sw</t>
  </si>
  <si>
    <t xml:space="preserve">LGD, software / ARR loans</t>
  </si>
  <si>
    <t xml:space="preserve">Small/mid software recovery 20-40% in stress (Zito via WSJ/Bloomberg)</t>
  </si>
  <si>
    <t xml:space="preserve">ds</t>
  </si>
  <si>
    <t xml:space="preserve">Spread widening on performing loans</t>
  </si>
  <si>
    <t xml:space="preserve">bp</t>
  </si>
  <si>
    <t xml:space="preserve">Software sub-index -7.5 pts YTD Feb-26; 2008 LLI low 60.33. Spread duration 3 yrs (CDLI life 3.2)</t>
  </si>
  <si>
    <t xml:space="preserve">ds_sw</t>
  </si>
  <si>
    <t xml:space="preserve">Extra spread widening, software loans</t>
  </si>
  <si>
    <t xml:space="preserve">Judgment: software performing bids 87.6 (Feb-26) vs index 94.6</t>
  </si>
  <si>
    <t xml:space="preserve">gap</t>
  </si>
  <si>
    <t xml:space="preserve">Valuation gap: carrying marks overstate value by</t>
  </si>
  <si>
    <t xml:space="preserve">Same loan marked ~10 vs ~100 across lenders; market-implied marks 78-98</t>
  </si>
  <si>
    <t xml:space="preserve">w_mkt</t>
  </si>
  <si>
    <t xml:space="preserve">Weight on market-implied BDC marks (P/NAV)</t>
  </si>
  <si>
    <t xml:space="preserve">Listed BDC P/NAV 6-Oct-26; non-traded use listed asset-weighted average</t>
  </si>
  <si>
    <t xml:space="preserve">phi</t>
  </si>
  <si>
    <t xml:space="preserve">Share of SPV facilities enforced / liquidated now (vs worked out)</t>
  </si>
  <si>
    <t xml:space="preserve">JPM market-value SPVs cure in 2 business days (OSCF EX-10)</t>
  </si>
  <si>
    <t xml:space="preserve">c_liq</t>
  </si>
  <si>
    <t xml:space="preserve">Liquidation cost on enforced pools</t>
  </si>
  <si>
    <t xml:space="preserve">Judgment</t>
  </si>
  <si>
    <t xml:space="preserve">a_spv</t>
  </si>
  <si>
    <t xml:space="preserve">SPV advance rate (back-leverage, vs current pool value)</t>
  </si>
  <si>
    <t xml:space="preserve">SPV EX-10 first-lien 60-75%, MM 1L 65-72.5%</t>
  </si>
  <si>
    <t xml:space="preserve">ccf_bl</t>
  </si>
  <si>
    <t xml:space="preserve">Drawdown of undrawn back-leverage / BDC lines</t>
  </si>
  <si>
    <t xml:space="preserve">Q3 BDC exit requests $13.7bn, $8.5bn unmet vs $16.4bn undrawn revolvers</t>
  </si>
  <si>
    <t xml:space="preserve">ccf_dg</t>
  </si>
  <si>
    <t xml:space="preserve">Rerating</t>
  </si>
  <si>
    <t xml:space="preserve">Revolver draw for a BDC that loses IG (refinances unsecured notes)</t>
  </si>
  <si>
    <t xml:space="preserve">Below-IG BDCs lose unsecured market access; 2027 wall $10.4bn</t>
  </si>
  <si>
    <t xml:space="preserve">fraud</t>
  </si>
  <si>
    <t xml:space="preserve">Collateral-fraud / double-pledging loss rate on NDFI drawn</t>
  </si>
  <si>
    <t xml:space="preserve">Realised ~$1.5bn Sep-25..Oct-26 (First Brands, Tricolor, MFS) on ~$1.5tn</t>
  </si>
  <si>
    <t xml:space="preserve">lp_dr</t>
  </si>
  <si>
    <t xml:space="preserve">Fund finance</t>
  </si>
  <si>
    <t xml:space="preserve">LP default rate on subscription lines</t>
  </si>
  <si>
    <t xml:space="preserve">Fitch: institutional LPs ~0%, HNW up to 1% in stress</t>
  </si>
  <si>
    <t xml:space="preserve">dnav</t>
  </si>
  <si>
    <t xml:space="preserve">PE fund NAV decline (NAV loans)</t>
  </si>
  <si>
    <t xml:space="preserve">GFC PE NAV -25% (Oaktree)</t>
  </si>
  <si>
    <t xml:space="preserve">ccf_ff</t>
  </si>
  <si>
    <t xml:space="preserve">Drawdown of undrawn fund-finance lines</t>
  </si>
  <si>
    <t xml:space="preserve">Judgment (capital-call lines drawn when LP calls slow)</t>
  </si>
  <si>
    <t xml:space="preserve">abf_loss</t>
  </si>
  <si>
    <t xml:space="preserve">ABF / SE</t>
  </si>
  <si>
    <t xml:space="preserve">Cumulative loss on ABF / structured-entity collateral pools</t>
  </si>
  <si>
    <t xml:space="preserve">Judgment: consumer/receivables/CLO-warehouse mix; 2008 subprime pools 30-50%</t>
  </si>
  <si>
    <t xml:space="preserve">ccf_abf</t>
  </si>
  <si>
    <t xml:space="preserve">Drawdown of undrawn SE / ABF commitments</t>
  </si>
  <si>
    <t xml:space="preserve">pd_ins</t>
  </si>
  <si>
    <t xml:space="preserve">Insurers</t>
  </si>
  <si>
    <t xml:space="preserve">Default probability, PE-owned insurer counterparty</t>
  </si>
  <si>
    <t xml:space="preserve">Athene: 46% L3/NAV assets, $93.7bn funding agreements</t>
  </si>
  <si>
    <t xml:space="preserve">ccf_ins</t>
  </si>
  <si>
    <t xml:space="preserve">Drawdown of bank facilities to insurers</t>
  </si>
  <si>
    <t xml:space="preserve">Athene $6.35bn bank lines undrawn</t>
  </si>
  <si>
    <t xml:space="preserve">z_ai</t>
  </si>
  <si>
    <t xml:space="preserve">AI / GPU</t>
  </si>
  <si>
    <t xml:space="preserve">AI-sector factor (lessees, sponsors, AI labs)</t>
  </si>
  <si>
    <t xml:space="preserve">rho_AI=0.30 (concentrated sector)</t>
  </si>
  <si>
    <t xml:space="preserve">gpu_r</t>
  </si>
  <si>
    <t xml:space="preserve">GPU collateral value decline per year</t>
  </si>
  <si>
    <t xml:space="preserve">Base 25% / downside 35% / stress 47%</t>
  </si>
  <si>
    <t xml:space="preserve">uw_drop</t>
  </si>
  <si>
    <t xml:space="preserve">Mark-down on AI loans held in syndication</t>
  </si>
  <si>
    <t xml:space="preserve">Jupiter 89-91, Volta OID 97-98, Hyperion 94.4</t>
  </si>
  <si>
    <t xml:space="preserve">oai_drop</t>
  </si>
  <si>
    <t xml:space="preserve">OpenAI preferred value decline (SoftBank margin loan)</t>
  </si>
  <si>
    <t xml:space="preserve">Judgment; ASIC-2022 analogue -85%</t>
  </si>
  <si>
    <t xml:space="preserve">ccf_ai</t>
  </si>
  <si>
    <t xml:space="preserve">Drawdown of AI revolvers (Anthropic, CoreWeave)</t>
  </si>
  <si>
    <t xml:space="preserve">dp_IG</t>
  </si>
  <si>
    <t xml:space="preserve">Markets</t>
  </si>
  <si>
    <t xml:space="preserve">Fundamental price change, IG corporates</t>
  </si>
  <si>
    <t xml:space="preserve">2008 IG ~-5 to -8% (judgment); rates shock: 200bp x dur 4</t>
  </si>
  <si>
    <t xml:space="preserve">dp_HY</t>
  </si>
  <si>
    <t xml:space="preserve">Fundamental price change, HY corporates</t>
  </si>
  <si>
    <t xml:space="preserve">2008 HY index ~-26% (judgment)</t>
  </si>
  <si>
    <t xml:space="preserve">dp_LEV</t>
  </si>
  <si>
    <t xml:space="preserve">Fundamental price change, leveraged loans (HFS/trading)</t>
  </si>
  <si>
    <t xml:space="preserve">LLI 2008 low 60.33; 2020 low 76.23</t>
  </si>
  <si>
    <t xml:space="preserve">dp_CLO</t>
  </si>
  <si>
    <t xml:space="preserve">Fundamental price change, CLO tranches</t>
  </si>
  <si>
    <t xml:space="preserve">Judgment (AAA CLO mark-to-market ~70s in 2008-09)</t>
  </si>
  <si>
    <t xml:space="preserve">dp_ABS</t>
  </si>
  <si>
    <t xml:space="preserve">Fundamental price change, other ABS / non-agency MBS</t>
  </si>
  <si>
    <t xml:space="preserve">dp_EQ</t>
  </si>
  <si>
    <t xml:space="preserve">Equity price change (trading net + strategic holdings)</t>
  </si>
  <si>
    <t xml:space="preserve">S&amp;P 500 2008 -38%; Nasdaq AI-led drawdown judgment</t>
  </si>
  <si>
    <t xml:space="preserve">dp_MUNI</t>
  </si>
  <si>
    <t xml:space="preserve">Fundamental price change, munis</t>
  </si>
  <si>
    <t xml:space="preserve">dp_OSOV</t>
  </si>
  <si>
    <t xml:space="preserve">Fundamental price change, other sovereigns (trading net)</t>
  </si>
  <si>
    <t xml:space="preserve">Rates shock 200bp x dur 3</t>
  </si>
  <si>
    <t xml:space="preserve">cre_lr</t>
  </si>
  <si>
    <t xml:space="preserve">CRE</t>
  </si>
  <si>
    <t xml:space="preserve">CRE loan loss rate (cumulative)</t>
  </si>
  <si>
    <t xml:space="preserve">Judgment; office-led</t>
  </si>
  <si>
    <t xml:space="preserve">dy</t>
  </si>
  <si>
    <t xml:space="preserve">Rates</t>
  </si>
  <si>
    <t xml:space="preserve">Parallel rate shock</t>
  </si>
  <si>
    <t xml:space="preserve">dec</t>
  </si>
  <si>
    <t xml:space="preserve">Credit 2009: rates fall; 2008-combined: stagflationary +100bp</t>
  </si>
  <si>
    <t xml:space="preserve">htm_forced</t>
  </si>
  <si>
    <t xml:space="preserve">Share of HTM / opt-out AFS losses crystallised (standalone)</t>
  </si>
  <si>
    <t xml:space="preserve">Rates scenario standalone assumes 25% of book sold; contagion adds run-driven sales</t>
  </si>
  <si>
    <t xml:space="preserve">srt_lost</t>
  </si>
  <si>
    <t xml:space="preserve">SRT</t>
  </si>
  <si>
    <t xml:space="preserve">Share of SRT capital relief lost</t>
  </si>
  <si>
    <t xml:space="preserve">SRT protected EUR905bn; BNP ~90bp, DB 75-80bp relief</t>
  </si>
  <si>
    <t xml:space="preserve">pb_pd</t>
  </si>
  <si>
    <t xml:space="preserve">Prime / HF</t>
  </si>
  <si>
    <t xml:space="preserve">Leveraged-client default rate (prime / margin books)</t>
  </si>
  <si>
    <t xml:space="preserve">Archegos-type events; HF leverage above 10-yr midpoint (SCOOS Sep-26)</t>
  </si>
  <si>
    <t xml:space="preserve">pb_shock</t>
  </si>
  <si>
    <t xml:space="preserve">Collateral shock on defaulted client positions</t>
  </si>
  <si>
    <t xml:space="preserve">Judgment (concentration multiplier 2x applied)</t>
  </si>
  <si>
    <t xml:space="preserve">tax</t>
  </si>
  <si>
    <t xml:space="preserve">Capital</t>
  </si>
  <si>
    <t xml:space="preserve">Tax shield on losses</t>
  </si>
  <si>
    <t xml:space="preserve">Pre-tax (DTA recognition limits); set 0.21 for after-tax view</t>
  </si>
  <si>
    <t xml:space="preserve">ppnr_q</t>
  </si>
  <si>
    <t xml:space="preserve">Quarters of PPNR credited against losses</t>
  </si>
  <si>
    <t xml:space="preserve">q</t>
  </si>
  <si>
    <t xml:space="preserve">Default 0: PPNR assumed to absorb core-book provisions (CCAR-style)</t>
  </si>
  <si>
    <t xml:space="preserve">rwa_infl</t>
  </si>
  <si>
    <t xml:space="preserve">RWA inflation from rating migration</t>
  </si>
  <si>
    <t xml:space="preserve">w_mig</t>
  </si>
  <si>
    <t xml:space="preserve">Migration severity (0 = S&amp;P average matrix, 1 = Moody's 2009)</t>
  </si>
  <si>
    <t xml:space="preserve">S&amp;P average and Moody's 2009 transition matrices</t>
  </si>
  <si>
    <t xml:space="preserve">bb_cush</t>
  </si>
  <si>
    <t xml:space="preserve">Borrowing-base cushion before forced paydown</t>
  </si>
  <si>
    <t xml:space="preserve">Judgment; deficiency cure 5+30 business days</t>
  </si>
  <si>
    <t xml:space="preserve">notch_step</t>
  </si>
  <si>
    <t xml:space="preserve">CET1 ratio decline per 1-notch bank downgrade</t>
  </si>
  <si>
    <t xml:space="preserve">pp</t>
  </si>
  <si>
    <t xml:space="preserve">Judgment; capital-erosion notches capped at 3; +1 at MDA breach, +2 below minimum</t>
  </si>
  <si>
    <t xml:space="preserve">theta_lev</t>
  </si>
  <si>
    <t xml:space="preserve">Nonbank</t>
  </si>
  <si>
    <t xml:space="preserve">Share of BDC deleveraging done by asset sales</t>
  </si>
  <si>
    <t xml:space="preserve">Judgment (rest via equity / waivers / sponsor support)</t>
  </si>
  <si>
    <t xml:space="preserve">red_rate</t>
  </si>
  <si>
    <t xml:space="preserve">Honoured redemptions, non-traded BDCs (% NAV)</t>
  </si>
  <si>
    <t xml:space="preserve">5%/quarter gates today; Q3 requests up to 39% (OTIC)</t>
  </si>
  <si>
    <t xml:space="preserve">pc_scale</t>
  </si>
  <si>
    <t xml:space="preserve">Private-credit sellers beyond BDCs (multiple of BDC sales)</t>
  </si>
  <si>
    <t xml:space="preserve">BDCs $381bn of ~$1.7-2tn private credit</t>
  </si>
  <si>
    <t xml:space="preserve">ins_run</t>
  </si>
  <si>
    <t xml:space="preserve">Share of insurer run-able funding (FABR + 6m FABN) not rolled</t>
  </si>
  <si>
    <t xml:space="preserve">FABR $27.3bn, FABN $254.6bn (Fed EFA)</t>
  </si>
  <si>
    <t xml:space="preserve">u_base</t>
  </si>
  <si>
    <t xml:space="preserve">Liquidity</t>
  </si>
  <si>
    <t xml:space="preserve">Uninsured / wholesale deposit run-off, all banks</t>
  </si>
  <si>
    <t xml:space="preserve">Judgment; SVB lost ~25% of deposits in one day (Mar-2023)</t>
  </si>
  <si>
    <t xml:space="preserve">u_notch</t>
  </si>
  <si>
    <t xml:space="preserve">Additional deposit run-off per notch of downgrade</t>
  </si>
  <si>
    <t xml:space="preserve">u_mda</t>
  </si>
  <si>
    <t xml:space="preserve">Additional deposit run-off if MDA breached</t>
  </si>
  <si>
    <t xml:space="preserve">u_fail</t>
  </si>
  <si>
    <t xml:space="preserve">Additional deposit run-off if below minimum</t>
  </si>
  <si>
    <t xml:space="preserve">Judgment (SVB-type)</t>
  </si>
  <si>
    <t xml:space="preserve">w_base</t>
  </si>
  <si>
    <t xml:space="preserve">ST unsecured wholesale non-rollover, all banks</t>
  </si>
  <si>
    <t xml:space="preserve">w_notch</t>
  </si>
  <si>
    <t xml:space="preserve">Additional wholesale non-rollover per notch</t>
  </si>
  <si>
    <t xml:space="preserve">cp_base</t>
  </si>
  <si>
    <t xml:space="preserve">Prime-MMF CP/CD non-rollover, all banks</t>
  </si>
  <si>
    <t xml:space="preserve">Prime MMF exposure by issuer (OFR)</t>
  </si>
  <si>
    <t xml:space="preserve">cp_notch</t>
  </si>
  <si>
    <t xml:space="preserve">Additional CP/CD non-rollover per notch (2 notches -&gt; A-2 = 100%)</t>
  </si>
  <si>
    <t xml:space="preserve">Rule 2a-7 credit-quality limits</t>
  </si>
  <si>
    <t xml:space="preserve">dh</t>
  </si>
  <si>
    <t xml:space="preserve">Haircut increase on non-govt repo collateral</t>
  </si>
  <si>
    <t xml:space="preserve">CGFS 36: IG 5-&gt;15, HY 20-&gt;40, ABS 20-&gt;100; tri-party stable</t>
  </si>
  <si>
    <t xml:space="preserve">pull_base</t>
  </si>
  <si>
    <t xml:space="preserve">MMF withdrawal of other-collateral repo, all dealers</t>
  </si>
  <si>
    <t xml:space="preserve">Tri-party 2008 run was on quantity (Copeland-Martin-Walker)</t>
  </si>
  <si>
    <t xml:space="preserve">mb_psi</t>
  </si>
  <si>
    <t xml:space="preserve">Share of withdrawn matched-book repo forcing client asset sales</t>
  </si>
  <si>
    <t xml:space="preserve">cb_on</t>
  </si>
  <si>
    <t xml:space="preserve">Central-bank backstop used (share of CB-eligible capacity drawn)</t>
  </si>
  <si>
    <t xml:space="preserve">0 = stigma / collateral constraints; 0.5 = late, partial backstop (2008: PDCF/TAF after the run)</t>
  </si>
  <si>
    <t xml:space="preserve">recyc</t>
  </si>
  <si>
    <t xml:space="preserve">Share of deposit outflows redeposited at unaffected banks</t>
  </si>
  <si>
    <t xml:space="preserve">Flight to quality (JPM deposit inflows 2008, 2023) - judgment</t>
  </si>
  <si>
    <t xml:space="preserve">dealer_mult</t>
  </si>
  <si>
    <t xml:space="preserve">Contagion</t>
  </si>
  <si>
    <t xml:space="preserve">Dealer-capacity multiplier on price impact</t>
  </si>
  <si>
    <t xml:space="preserve">BoE SWES: GBP4.7bn of sales used ~70% of dealer capacity</t>
  </si>
  <si>
    <t xml:space="preserve">lgd_ib</t>
  </si>
  <si>
    <t xml:space="preserve">Loss on unsecured interbank claims to a failed bank</t>
  </si>
  <si>
    <t xml:space="preserve">SPOE resolution ~0-5%; Lehman-style 40%+</t>
  </si>
  <si>
    <t xml:space="preserve">fs_on</t>
  </si>
  <si>
    <t xml:space="preserve">Switches</t>
  </si>
  <si>
    <t xml:space="preserve">Fire-sale contagion on (1/0)</t>
  </si>
  <si>
    <t xml:space="preserve">0/1</t>
  </si>
  <si>
    <t xml:space="preserve">ib_on</t>
  </si>
  <si>
    <t xml:space="preserve">Interbank default contagion on (1/0)</t>
  </si>
  <si>
    <t xml:space="preserve">liq_on</t>
  </si>
  <si>
    <t xml:space="preserve">Liquidity / run channel on (1/0)</t>
  </si>
  <si>
    <t xml:space="preserve">sw_M1</t>
  </si>
  <si>
    <t xml:space="preserve">Module M1 on (1/0)</t>
  </si>
  <si>
    <t xml:space="preserve">sw_M2</t>
  </si>
  <si>
    <t xml:space="preserve">Module M2 on (1/0)</t>
  </si>
  <si>
    <t xml:space="preserve">sw_M3</t>
  </si>
  <si>
    <t xml:space="preserve">Module M3 on (1/0)</t>
  </si>
  <si>
    <t xml:space="preserve">sw_M4</t>
  </si>
  <si>
    <t xml:space="preserve">Module M4 on (1/0)</t>
  </si>
  <si>
    <t xml:space="preserve">sw_M5</t>
  </si>
  <si>
    <t xml:space="preserve">Module M5 on (1/0)</t>
  </si>
  <si>
    <t xml:space="preserve">sw_M6</t>
  </si>
  <si>
    <t xml:space="preserve">Module M6 on (1/0)</t>
  </si>
  <si>
    <t xml:space="preserve">sw_M7</t>
  </si>
  <si>
    <t xml:space="preserve">Module M7 on (1/0)</t>
  </si>
  <si>
    <t xml:space="preserve">sw_M8</t>
  </si>
  <si>
    <t xml:space="preserve">Module M8 on (1/0)</t>
  </si>
  <si>
    <t xml:space="preserve">sw_M9</t>
  </si>
  <si>
    <t xml:space="preserve">Module M9 on (1/0)</t>
  </si>
  <si>
    <t xml:space="preserve">sw_M10</t>
  </si>
  <si>
    <t xml:space="preserve">Module M10 on (1/0)</t>
  </si>
  <si>
    <t xml:space="preserve">sw_M11</t>
  </si>
  <si>
    <t xml:space="preserve">Module M11 on (1/0)</t>
  </si>
  <si>
    <t xml:space="preserve">panic_on</t>
  </si>
  <si>
    <t xml:space="preserve">Panic</t>
  </si>
  <si>
    <t xml:space="preserve">Panic / information contagion on (1/0)</t>
  </si>
  <si>
    <t xml:space="preserve">Off reproduces the version without panic</t>
  </si>
  <si>
    <t xml:space="preserve">S0</t>
  </si>
  <si>
    <t xml:space="preserve">Panic intensity at the start (0-1): the market state today</t>
  </si>
  <si>
    <t xml:space="preserve">7-Oct-26: European banks -4 to -6% on the day, US bank and alt-manager stocks -10 to -28% from 3-month highs, but VIX 15.7, HY and loan ETFs within 1-3% of highs (Yahoo prices)</t>
  </si>
  <si>
    <t xml:space="preserve">news0</t>
  </si>
  <si>
    <t xml:space="preserve">Exogenous news already public (gate breaches, headlines), news units</t>
  </si>
  <si>
    <t xml:space="preserve">Q3 tender requests above 2x the 5% gate at OCIC, ADS, HLEND, ASIF, OTIC (39%), NHPIF; Panic cascade adds a gate break + bank downgrade headlines</t>
  </si>
  <si>
    <t xml:space="preserve">zc</t>
  </si>
  <si>
    <t xml:space="preserve">Credit-crunch feedback: fall in the credit factor at full panic</t>
  </si>
  <si>
    <t xml:space="preserve">Judgment: refinancing window shuts for B/CCC borrowers in panic</t>
  </si>
  <si>
    <t xml:space="preserve">ds_pan</t>
  </si>
  <si>
    <t xml:space="preserve">Extra spread widening on performing loans at full panic</t>
  </si>
  <si>
    <t xml:space="preserve">Judgment: March 2020 loan index fell to 76.23</t>
  </si>
  <si>
    <t xml:space="preserve">u_pan_all</t>
  </si>
  <si>
    <t xml:space="preserve">Extra uninsured-deposit run-off at full panic, all banks</t>
  </si>
  <si>
    <t xml:space="preserve">u_pan_weak</t>
  </si>
  <si>
    <t xml:space="preserve">Extra run-off at full panic for banks the street sees as weak</t>
  </si>
  <si>
    <t xml:space="preserve">SVB ~25% of deposits in one day; Twitter attention amplified run severity (Cookson et al. 2023)</t>
  </si>
  <si>
    <t xml:space="preserve">w_pan</t>
  </si>
  <si>
    <t xml:space="preserve">Extra wholesale non-rollover at full panic</t>
  </si>
  <si>
    <t xml:space="preserve">cp_pan</t>
  </si>
  <si>
    <t xml:space="preserve">Extra prime-MMF CP/CD non-rollover at full panic</t>
  </si>
  <si>
    <t xml:space="preserve">pull_pan</t>
  </si>
  <si>
    <t xml:space="preserve">Extra MMF withdrawal of other-collateral repo at full panic</t>
  </si>
  <si>
    <t xml:space="preserve">Judgment (2008 tri-party run on quantity)</t>
  </si>
  <si>
    <t xml:space="preserve">dh_pan</t>
  </si>
  <si>
    <t xml:space="preserve">Extra haircut on non-govt repo at full panic</t>
  </si>
  <si>
    <t xml:space="preserve">CGFS 36 2007-09 haircut rises</t>
  </si>
  <si>
    <t xml:space="preserve">rec_pan</t>
  </si>
  <si>
    <t xml:space="preserve">Cut in flight-to-quality redeposits at full panic (cash goes to T-bills / govt MMFs)</t>
  </si>
  <si>
    <t xml:space="preserve">Judgment: large banks gained deposits in 2008, 2020 and 2023</t>
  </si>
  <si>
    <t xml:space="preserve">dm_pan</t>
  </si>
  <si>
    <t xml:space="preserve">Extra dealer-capacity multiplier at full panic</t>
  </si>
  <si>
    <t xml:space="preserve">Judgment (dealer balance sheets withdrawn, March 2020)</t>
  </si>
  <si>
    <t xml:space="preserve">red_pan</t>
  </si>
  <si>
    <t xml:space="preserve">Extra honoured redemptions at full panic (gates give way)</t>
  </si>
  <si>
    <t xml:space="preserve">req_pan</t>
  </si>
  <si>
    <t xml:space="preserve">Increase in redemption requests at full panic (multiple of today)</t>
  </si>
  <si>
    <t xml:space="preserve">Judgment: OTIC requests 39% already</t>
  </si>
  <si>
    <t xml:space="preserve">ins_pan</t>
  </si>
  <si>
    <t xml:space="preserve">Extra insurer run-able funding not rolled at full panic</t>
  </si>
  <si>
    <t xml:space="preserve">Global constants (not scenario-dependent)</t>
  </si>
  <si>
    <t xml:space="preserve">Blue = input. Each constant is a named range g_&lt;key&gt; used in formulas.</t>
  </si>
  <si>
    <t xml:space="preserve">Value</t>
  </si>
  <si>
    <t xml:space="preserve">Description / basis</t>
  </si>
  <si>
    <t xml:space="preserve">rho</t>
  </si>
  <si>
    <t xml:space="preserve">Asset correlation, private-credit pool (Basel corporate range 0.12-0.24)</t>
  </si>
  <si>
    <t xml:space="preserve">rho_ai</t>
  </si>
  <si>
    <t xml:space="preserve">Asset correlation, AI names (concentrated sector) - judgment</t>
  </si>
  <si>
    <t xml:space="preserve">lgd_gen_b</t>
  </si>
  <si>
    <t xml:space="preserve">Base-case LGD embedded in carrying values (generic)</t>
  </si>
  <si>
    <t xml:space="preserve">lgd_sw_b</t>
  </si>
  <si>
    <t xml:space="preserve">Base-case LGD embedded in carrying values (software)</t>
  </si>
  <si>
    <t xml:space="preserve">dur_s</t>
  </si>
  <si>
    <t xml:space="preserve">Spread duration of performing direct loans (CDLI effective life 3.2 yrs)</t>
  </si>
  <si>
    <t xml:space="preserve">lgd_lp</t>
  </si>
  <si>
    <t xml:space="preserve">LGD on defaulted LP commitments (sub lines) - judgment</t>
  </si>
  <si>
    <t xml:space="preserve">nav_share</t>
  </si>
  <si>
    <t xml:space="preserve">NAV-loan share of fund finance - judgment (FSB: sub lines dominate)</t>
  </si>
  <si>
    <t xml:space="preserve">nav_ltv</t>
  </si>
  <si>
    <t xml:space="preserve">NAV-loan LTV (Nodem avg ~14%, mostly &lt;=20%; FSB &lt;=30%)</t>
  </si>
  <si>
    <t xml:space="preserve">tail_share</t>
  </si>
  <si>
    <t xml:space="preserve">Share of NAV loans to tail funds</t>
  </si>
  <si>
    <t xml:space="preserve">tail_mult</t>
  </si>
  <si>
    <t xml:space="preserve">NAV decline multiple for tail funds</t>
  </si>
  <si>
    <t xml:space="preserve">a_abf</t>
  </si>
  <si>
    <t xml:space="preserve">Advance rate on ABF / SE senior warehouses - judgment</t>
  </si>
  <si>
    <t xml:space="preserve">lgd_ins</t>
  </si>
  <si>
    <t xml:space="preserve">LGD on insurer facilities / FA-backed repo (wrong-way) - judgment</t>
  </si>
  <si>
    <t xml:space="preserve">t_def</t>
  </si>
  <si>
    <t xml:space="preserve">Years to GPU-loan default (obsolescence horizon)</t>
  </si>
  <si>
    <t xml:space="preserve">c_gpu</t>
  </si>
  <si>
    <t xml:space="preserve">GPU liquidation cost (ITAD broker 15-25%)</t>
  </si>
  <si>
    <t xml:space="preserve">pd_unrated</t>
  </si>
  <si>
    <t xml:space="preserve">Unrated AI lab 3-yr PD = B+ (S&amp;P 3-yr 8.05%)</t>
  </si>
  <si>
    <t xml:space="preserve">trs_adv</t>
  </si>
  <si>
    <t xml:space="preserve">Advance on written sub-IG TRS treated as financing (BofA) - judgment</t>
  </si>
  <si>
    <t xml:space="preserve">dur_htm</t>
  </si>
  <si>
    <t xml:space="preserve">Duration of HTM (MBS-heavy) - judgment</t>
  </si>
  <si>
    <t xml:space="preserve">pb_conc</t>
  </si>
  <si>
    <t xml:space="preserve">Concentration multiplier on defaulted prime positions (Archegos) - judgment</t>
  </si>
  <si>
    <t xml:space="preserve">pb_margin</t>
  </si>
  <si>
    <t xml:space="preserve">Initial margin on prime / margin lending - judgment</t>
  </si>
  <si>
    <t xml:space="preserve">usable</t>
  </si>
  <si>
    <t xml:space="preserve">Share of HQLA usable (trapped liquidity, operational) - judgment</t>
  </si>
  <si>
    <t xml:space="preserve">theta_sell</t>
  </si>
  <si>
    <t xml:space="preserve">Share of HQLA drawdown met by outright sale (rest repo) when no CB backstop</t>
  </si>
  <si>
    <t xml:space="preserve">del_buf</t>
  </si>
  <si>
    <t xml:space="preserve">Capital target above MDA for deleveraging banks</t>
  </si>
  <si>
    <t xml:space="preserve">del_cap</t>
  </si>
  <si>
    <t xml:space="preserve">Max share of saleable assets sold for capital in total</t>
  </si>
  <si>
    <t xml:space="preserve">s_in</t>
  </si>
  <si>
    <t xml:space="preserve">Share of IFS claims that are on banks in this 24-bank set - judgment</t>
  </si>
  <si>
    <t xml:space="preserve">u_ib</t>
  </si>
  <si>
    <t xml:space="preserve">Unsecured share of IFS claims - judgment</t>
  </si>
  <si>
    <t xml:space="preserve">n_weak</t>
  </si>
  <si>
    <t xml:space="preserve">Number of banks the street treats as weak (lowest CET1 headroom): run targets</t>
  </si>
  <si>
    <t xml:space="preserve">theta_news</t>
  </si>
  <si>
    <t xml:space="preserve">Panic tipping point (news units): half-way to full panic</t>
  </si>
  <si>
    <t xml:space="preserve">tau_news</t>
  </si>
  <si>
    <t xml:space="preserve">Panic steepness (news units)</t>
  </si>
  <si>
    <t xml:space="preserve">gamma_pan</t>
  </si>
  <si>
    <t xml:space="preserve">Convexity of the panic discount in panic intensity</t>
  </si>
  <si>
    <t xml:space="preserve">w_cov</t>
  </si>
  <si>
    <t xml:space="preserve">News weight: asset share of BDCs below 150% coverage</t>
  </si>
  <si>
    <t xml:space="preserve">News weight: G-SIB downgrade notches / (3 x number of G-SIBs)</t>
  </si>
  <si>
    <t xml:space="preserve">w_mda</t>
  </si>
  <si>
    <t xml:space="preserve">News weight: share of G-SIBs below MDA (dividend cuts are public)</t>
  </si>
  <si>
    <t xml:space="preserve">w_def</t>
  </si>
  <si>
    <t xml:space="preserve">News weight: any institution in default / resolution</t>
  </si>
  <si>
    <t xml:space="preserve">w_fs</t>
  </si>
  <si>
    <t xml:space="preserve">News weight: private-credit fire-sale discount / 30%</t>
  </si>
  <si>
    <t xml:space="preserve">ccc0</t>
  </si>
  <si>
    <t xml:space="preserve">Current CCC+/CCC share of private-credit pool (Fitch)</t>
  </si>
  <si>
    <t xml:space="preserve">adv_perf</t>
  </si>
  <si>
    <t xml:space="preserve">Revolver advance, performing 1L (JPM grid)</t>
  </si>
  <si>
    <t xml:space="preserve">adv_np</t>
  </si>
  <si>
    <t xml:space="preserve">Revolver advance, non-performing 1L (35-45%)</t>
  </si>
  <si>
    <t xml:space="preserve">fabn_6m</t>
  </si>
  <si>
    <t xml:space="preserve">FABN maturing within 6 months (EST: 254.6/8, 4-yr avg life)</t>
  </si>
  <si>
    <t xml:space="preserve">fabr</t>
  </si>
  <si>
    <t xml:space="preserve">FA-backed repo outstanding Jun-26 (Fed EFA)</t>
  </si>
  <si>
    <t xml:space="preserve">Per-bank inputs (USD bn; CET1 and RWA of US banks at 30-Sep-2026, other items 30-Jun-2026 unless noted)</t>
  </si>
  <si>
    <t xml:space="preserve">Blue = sourced input; orange fill = estimate / proxy (see Sources sheet for every cell); black = formula. FX: EUR 1.1417, GBP 1.3259, JPY 1/162.61, CAD 1/1.4205.</t>
  </si>
  <si>
    <t xml:space="preserve">Report ccy</t>
  </si>
  <si>
    <t xml:space="preserve">G-SIB (1/0)</t>
  </si>
  <si>
    <t xml:space="preserve">AFS/OCI in CET1 (1/0)</t>
  </si>
  <si>
    <t xml:space="preserve">Notches to HY</t>
  </si>
  <si>
    <t xml:space="preserve">CET1 ($bn)</t>
  </si>
  <si>
    <t xml:space="preserve">RWA ($bn)</t>
  </si>
  <si>
    <t xml:space="preserve">CET1 req. incl. buffers (MDA)</t>
  </si>
  <si>
    <t xml:space="preserve">PPNR / quarter ($bn)</t>
  </si>
  <si>
    <t xml:space="preserve">AFS / FVOCI debt FV ($bn)</t>
  </si>
  <si>
    <t xml:space="preserve">AFS unrealised loss ($bn)</t>
  </si>
  <si>
    <t xml:space="preserve">HTM / AC book ($bn)</t>
  </si>
  <si>
    <t xml:space="preserve">HTM unrealised loss ($bn)</t>
  </si>
  <si>
    <t xml:space="preserve">AFS net duration (yrs)</t>
  </si>
  <si>
    <t xml:space="preserve">Strategic equities ($bn)</t>
  </si>
  <si>
    <t xml:space="preserve">Back-leverage drawn ($bn)</t>
  </si>
  <si>
    <t xml:space="preserve">Back-leverage undrawn ($bn)</t>
  </si>
  <si>
    <t xml:space="preserve">Fund finance drawn ($bn)</t>
  </si>
  <si>
    <t xml:space="preserve">Fund finance undrawn ($bn)</t>
  </si>
  <si>
    <t xml:space="preserve">ABF / SE residual drawn ($bn)</t>
  </si>
  <si>
    <t xml:space="preserve">ABF / SE residual undrawn ($bn)</t>
  </si>
  <si>
    <t xml:space="preserve">Named-BDC facilities drawn ($bn)</t>
  </si>
  <si>
    <t xml:space="preserve">Named-BDC facilities committed ($bn)</t>
  </si>
  <si>
    <t xml:space="preserve">Generic back-leverage drawn ($bn)</t>
  </si>
  <si>
    <t xml:space="preserve">Generic back-leverage undrawn ($bn)</t>
  </si>
  <si>
    <t xml:space="preserve">SRT CET1 relief (bp)</t>
  </si>
  <si>
    <t xml:space="preserve">Prime / margin lending ($bn)</t>
  </si>
  <si>
    <t xml:space="preserve">Written sub-IG TRS ($bn)</t>
  </si>
  <si>
    <t xml:space="preserve">Facilities to insurers ($bn)</t>
  </si>
  <si>
    <t xml:space="preserve">FA-backed repo ($bn)</t>
  </si>
  <si>
    <t xml:space="preserve">CRE loans ($bn)</t>
  </si>
  <si>
    <t xml:space="preserve">HQLA ($bn)</t>
  </si>
  <si>
    <t xml:space="preserve">LCR</t>
  </si>
  <si>
    <t xml:space="preserve">Uninsured / wholesale deposits ($bn)</t>
  </si>
  <si>
    <t xml:space="preserve">Total deposits ($bn)</t>
  </si>
  <si>
    <t xml:space="preserve">ST unsecured wholesale ($bn)</t>
  </si>
  <si>
    <t xml:space="preserve">Repo + sec. loaned ($bn)</t>
  </si>
  <si>
    <t xml:space="preserve">Non-govt share of repo</t>
  </si>
  <si>
    <t xml:space="preserve">Non-govt repo funding ($bn)</t>
  </si>
  <si>
    <t xml:space="preserve">Prime-MMF CP/CD ($bn)</t>
  </si>
  <si>
    <t xml:space="preserve">MMF repo, other collateral ($bn)</t>
  </si>
  <si>
    <t xml:space="preserve">CB-eligible capacity ($bn)</t>
  </si>
  <si>
    <t xml:space="preserve">Downgrade outflow 0 notch ($bn)</t>
  </si>
  <si>
    <t xml:space="preserve">Downgrade outflow 1 notch ($bn)</t>
  </si>
  <si>
    <t xml:space="preserve">Downgrade outflow 2 notch ($bn)</t>
  </si>
  <si>
    <t xml:space="preserve">Downgrade outflow 3 notch ($bn)</t>
  </si>
  <si>
    <t xml:space="preserve">Downgrade outflow 4 notch ($bn)</t>
  </si>
  <si>
    <t xml:space="preserve">Downgrade outflow 5 notch ($bn)</t>
  </si>
  <si>
    <t xml:space="preserve">Downgrade outflow 6 notch ($bn)</t>
  </si>
  <si>
    <t xml:space="preserve">Intra-fin. assets ($bn)</t>
  </si>
  <si>
    <t xml:space="preserve">Intra-fin. liabilities ($bn)</t>
  </si>
  <si>
    <t xml:space="preserve">CET1 ratio now</t>
  </si>
  <si>
    <t xml:space="preserve">Saleable non-HQLA holdings ($bn)</t>
  </si>
  <si>
    <t xml:space="preserve">JPM</t>
  </si>
  <si>
    <t xml:space="preserve">JPMorgan</t>
  </si>
  <si>
    <t xml:space="preserve">USD</t>
  </si>
  <si>
    <t xml:space="preserve">BAC</t>
  </si>
  <si>
    <t xml:space="preserve">Bank of America</t>
  </si>
  <si>
    <t xml:space="preserve">C</t>
  </si>
  <si>
    <t xml:space="preserve">Citigroup</t>
  </si>
  <si>
    <t xml:space="preserve">WFC</t>
  </si>
  <si>
    <t xml:space="preserve">Wells Fargo</t>
  </si>
  <si>
    <t xml:space="preserve">GS</t>
  </si>
  <si>
    <t xml:space="preserve">Goldman Sachs</t>
  </si>
  <si>
    <t xml:space="preserve">MS</t>
  </si>
  <si>
    <t xml:space="preserve">Morgan Stanley</t>
  </si>
  <si>
    <t xml:space="preserve">PNC</t>
  </si>
  <si>
    <t xml:space="preserve">USB</t>
  </si>
  <si>
    <t xml:space="preserve">U.S. Bancorp</t>
  </si>
  <si>
    <t xml:space="preserve">TFC</t>
  </si>
  <si>
    <t xml:space="preserve">Truist</t>
  </si>
  <si>
    <t xml:space="preserve">STT</t>
  </si>
  <si>
    <t xml:space="preserve">State Street</t>
  </si>
  <si>
    <t xml:space="preserve">BK</t>
  </si>
  <si>
    <t xml:space="preserve">BNY</t>
  </si>
  <si>
    <t xml:space="preserve">FCNCA</t>
  </si>
  <si>
    <t xml:space="preserve">First Citizens</t>
  </si>
  <si>
    <t xml:space="preserve">CFG</t>
  </si>
  <si>
    <t xml:space="preserve">Citizens</t>
  </si>
  <si>
    <t xml:space="preserve">BARC</t>
  </si>
  <si>
    <t xml:space="preserve">Barclays</t>
  </si>
  <si>
    <t xml:space="preserve">GBP</t>
  </si>
  <si>
    <t xml:space="preserve">HSBA</t>
  </si>
  <si>
    <t xml:space="preserve">HSBC</t>
  </si>
  <si>
    <t xml:space="preserve">DBK</t>
  </si>
  <si>
    <t xml:space="preserve">Deutsche Bank</t>
  </si>
  <si>
    <t xml:space="preserve">EUR</t>
  </si>
  <si>
    <t xml:space="preserve">BNP</t>
  </si>
  <si>
    <t xml:space="preserve">BNP Paribas</t>
  </si>
  <si>
    <t xml:space="preserve">GLE</t>
  </si>
  <si>
    <t xml:space="preserve">Societe Generale</t>
  </si>
  <si>
    <t xml:space="preserve">UBS</t>
  </si>
  <si>
    <t xml:space="preserve">MUFG</t>
  </si>
  <si>
    <t xml:space="preserve">JPY</t>
  </si>
  <si>
    <t xml:space="preserve">SMFG</t>
  </si>
  <si>
    <t xml:space="preserve">MFG</t>
  </si>
  <si>
    <t xml:space="preserve">Mizuho</t>
  </si>
  <si>
    <t xml:space="preserve">RY</t>
  </si>
  <si>
    <t xml:space="preserve">RBC</t>
  </si>
  <si>
    <t xml:space="preserve">CAD</t>
  </si>
  <si>
    <t xml:space="preserve">JEF</t>
  </si>
  <si>
    <t xml:space="preserve">Jefferies</t>
  </si>
  <si>
    <t xml:space="preserve">Holdings by asset class (USD bn) and fire-sale parameters</t>
  </si>
  <si>
    <t xml:space="preserve">Rows 31-39: price-impact lambda (bp of price per $bn sold, before dealer multiplier), capital-relevant net fraction, saleable flag, discount cap, fundamental price decline (scenario), non-bank seller allocation, panic discount at full panic (S = 1; correlation-to-1 repricing of every risky class).</t>
  </si>
  <si>
    <t xml:space="preserve">UST</t>
  </si>
  <si>
    <t xml:space="preserve">AGENCY_MBS</t>
  </si>
  <si>
    <t xml:space="preserve">OTHER_SOV</t>
  </si>
  <si>
    <t xml:space="preserve">MUNI</t>
  </si>
  <si>
    <t xml:space="preserve">IG_CORP</t>
  </si>
  <si>
    <t xml:space="preserve">HY_CORP</t>
  </si>
  <si>
    <t xml:space="preserve">LEV_LOANS</t>
  </si>
  <si>
    <t xml:space="preserve">CLO</t>
  </si>
  <si>
    <t xml:space="preserve">ABS_OTHER</t>
  </si>
  <si>
    <t xml:space="preserve">PRIV_CREDIT_LOANS</t>
  </si>
  <si>
    <t xml:space="preserve">EQUITIES</t>
  </si>
  <si>
    <t xml:space="preserve">CRE_LOANS</t>
  </si>
  <si>
    <t xml:space="preserve">OTHER</t>
  </si>
  <si>
    <t xml:space="preserve">Saleable total</t>
  </si>
  <si>
    <t xml:space="preserve">w UST</t>
  </si>
  <si>
    <t xml:space="preserve">w AGENCY_MBS</t>
  </si>
  <si>
    <t xml:space="preserve">w OTHER_SOV</t>
  </si>
  <si>
    <t xml:space="preserve">w MUNI</t>
  </si>
  <si>
    <t xml:space="preserve">w IG_CORP</t>
  </si>
  <si>
    <t xml:space="preserve">w HY_CORP</t>
  </si>
  <si>
    <t xml:space="preserve">w LEV_LOANS</t>
  </si>
  <si>
    <t xml:space="preserve">w CLO</t>
  </si>
  <si>
    <t xml:space="preserve">w ABS_OTHER</t>
  </si>
  <si>
    <t xml:space="preserve">w PRIV_CREDIT_LOANS</t>
  </si>
  <si>
    <t xml:space="preserve">w EQUITIES</t>
  </si>
  <si>
    <t xml:space="preserve">w CRE_LOANS</t>
  </si>
  <si>
    <t xml:space="preserve">w OTHER</t>
  </si>
  <si>
    <t xml:space="preserve">Lambda (bp per $bn)</t>
  </si>
  <si>
    <t xml:space="preserve">Net fraction hitting capital</t>
  </si>
  <si>
    <t xml:space="preserve">Saleable (1/0)</t>
  </si>
  <si>
    <t xml:space="preserve">Cap on fire-sale discount</t>
  </si>
  <si>
    <t xml:space="preserve">Fundamental price decline (scenario)</t>
  </si>
  <si>
    <t xml:space="preserve">Matched-book client sale allocation</t>
  </si>
  <si>
    <t xml:space="preserve">Insurer sale allocation</t>
  </si>
  <si>
    <t xml:space="preserve">Non-bank sales ($bn, round-invariant)</t>
  </si>
  <si>
    <t xml:space="preserve">Panic discount at full panic (S = 1)</t>
  </si>
  <si>
    <t xml:space="preserve">Basis</t>
  </si>
  <si>
    <t xml:space="preserve">Cont-Schaanning UST 0.23bp/EUR10bn; no panic discount (flight to quality)</t>
  </si>
  <si>
    <t xml:space="preserve">Duarte-Eisenbach agency = 3x UST</t>
  </si>
  <si>
    <t xml:space="preserve">Cont-Schaanning EU sovereigns 4.6-13bp/EUR10bn</t>
  </si>
  <si>
    <t xml:space="preserve">Duarte-Eisenbach munis = 12x UST; panic: judgment</t>
  </si>
  <si>
    <t xml:space="preserve">Ellul et al. 7.5bp per $10bn; panic: judgment, March-2020 scale</t>
  </si>
  <si>
    <t xml:space="preserve">Judgment: 2x IG; panic: March-2020 scale</t>
  </si>
  <si>
    <t xml:space="preserve">Calibration judgment; panic: LLI 76.23 on 23-Mar-2020</t>
  </si>
  <si>
    <t xml:space="preserve">Calibration judgment (as loans)</t>
  </si>
  <si>
    <t xml:space="preserve">Judgment: between IG and loans</t>
  </si>
  <si>
    <t xml:space="preserve">Judgment (as loans); enters M1/M10 via pool liquidation value</t>
  </si>
  <si>
    <t xml:space="preserve">Judgment: deep market; dealer equity inventory delta-hedged (net 2%); panic: S&amp;P -34% Feb-Mar 2020 scale</t>
  </si>
  <si>
    <t xml:space="preserve">Judgment; CRE losses in M7</t>
  </si>
  <si>
    <t xml:space="preserve">Matched-book allocation = NY Fed tri-party collateral mix 10-Sep-2026 (equities 48%, IG 25%, ABS 13%, HY 11%, munis 3%); insurer allocation = judgment.</t>
  </si>
  <si>
    <t xml:space="preserve">BDC look-through: IG-rated intermediaries holding junk loans (34 vehicles, $381bn)</t>
  </si>
  <si>
    <t xml:space="preserve">Inputs from Q2-26 10-Qs; P/NAV 6-Oct-26. Pool value per BDC blends generic/software losses, valuation gap and market-implied mark. Revolver lenders are senior to unsecured notes: loss only if pool &lt; secured debt/assets.</t>
  </si>
  <si>
    <t xml:space="preserve">BDC</t>
  </si>
  <si>
    <t xml:space="preserve">Type</t>
  </si>
  <si>
    <t xml:space="preserve">Investments FV ($bn)</t>
  </si>
  <si>
    <t xml:space="preserve">Software share</t>
  </si>
  <si>
    <t xml:space="preserve">Gross D/E</t>
  </si>
  <si>
    <t xml:space="preserve">P/NAV 6-Oct-26</t>
  </si>
  <si>
    <t xml:space="preserve">Unsecured share of debt</t>
  </si>
  <si>
    <t xml:space="preserve">Q3 redemption requests</t>
  </si>
  <si>
    <t xml:space="preserve">Non-traded (1/0)</t>
  </si>
  <si>
    <t xml:space="preserve">Equity / assets</t>
  </si>
  <si>
    <t xml:space="preserve">Debt / assets</t>
  </si>
  <si>
    <t xml:space="preserve">Market-implied mark (listed)</t>
  </si>
  <si>
    <t xml:space="preserve">Mark used</t>
  </si>
  <si>
    <t xml:space="preserve">Overmark applied</t>
  </si>
  <si>
    <t xml:space="preserve">Pool value, hold</t>
  </si>
  <si>
    <t xml:space="preserve">Spread MTM</t>
  </si>
  <si>
    <t xml:space="preserve">Secured debt / assets</t>
  </si>
  <si>
    <t xml:space="preserve">Asset coverage after loss</t>
  </si>
  <si>
    <t xml:space="preserve">NAV change</t>
  </si>
  <si>
    <t xml:space="preserve">Already HY (1/0)</t>
  </si>
  <si>
    <t xml:space="preserve">Loses IG (1/0)</t>
  </si>
  <si>
    <t xml:space="preserve">Borrowing-base deficiency (% assets)</t>
  </si>
  <si>
    <t xml:space="preserve">150% coverage deficiency (% assets)</t>
  </si>
  <si>
    <t xml:space="preserve">Redemption sales (% assets)</t>
  </si>
  <si>
    <t xml:space="preserve">Forced sales ($bn)</t>
  </si>
  <si>
    <t xml:space="preserve">Pool value, liquidated (no FS)</t>
  </si>
  <si>
    <t xml:space="preserve">Loss rate SPV (standalone)</t>
  </si>
  <si>
    <t xml:space="preserve">Loss rate revolver (standalone)</t>
  </si>
  <si>
    <t xml:space="preserve">helper mark x assets</t>
  </si>
  <si>
    <t xml:space="preserve">helper listed assets</t>
  </si>
  <si>
    <t xml:space="preserve">BCRED</t>
  </si>
  <si>
    <t xml:space="preserve">NT</t>
  </si>
  <si>
    <t xml:space="preserve">OCIC</t>
  </si>
  <si>
    <t xml:space="preserve">ARCC</t>
  </si>
  <si>
    <t xml:space="preserve">P</t>
  </si>
  <si>
    <t xml:space="preserve">ADS</t>
  </si>
  <si>
    <t xml:space="preserve">HLEND</t>
  </si>
  <si>
    <t xml:space="preserve">ASIF</t>
  </si>
  <si>
    <t xml:space="preserve">GS PCC</t>
  </si>
  <si>
    <t xml:space="preserve">OBDC</t>
  </si>
  <si>
    <t xml:space="preserve">OTF</t>
  </si>
  <si>
    <t xml:space="preserve">BXSL</t>
  </si>
  <si>
    <t xml:space="preserve">FSK</t>
  </si>
  <si>
    <t xml:space="preserve">GCRED</t>
  </si>
  <si>
    <t xml:space="preserve">SSLP</t>
  </si>
  <si>
    <t xml:space="preserve">GBDC</t>
  </si>
  <si>
    <t xml:space="preserve">OSCF</t>
  </si>
  <si>
    <t xml:space="preserve">PSEC</t>
  </si>
  <si>
    <t xml:space="preserve">NHPIF</t>
  </si>
  <si>
    <t xml:space="preserve">MAIN</t>
  </si>
  <si>
    <t xml:space="preserve">OTIC</t>
  </si>
  <si>
    <t xml:space="preserve">ASCF</t>
  </si>
  <si>
    <t xml:space="preserve">HTGC</t>
  </si>
  <si>
    <t xml:space="preserve">MSDL</t>
  </si>
  <si>
    <t xml:space="preserve">TSLX</t>
  </si>
  <si>
    <t xml:space="preserve">GSBD</t>
  </si>
  <si>
    <t xml:space="preserve">OCSL</t>
  </si>
  <si>
    <t xml:space="preserve">BBDC</t>
  </si>
  <si>
    <t xml:space="preserve">CGBD</t>
  </si>
  <si>
    <t xml:space="preserve">KBDC</t>
  </si>
  <si>
    <t xml:space="preserve">NMFC</t>
  </si>
  <si>
    <t xml:space="preserve">HPS CCS</t>
  </si>
  <si>
    <t xml:space="preserve">APCF</t>
  </si>
  <si>
    <t xml:space="preserve">TCPC</t>
  </si>
  <si>
    <t xml:space="preserve">OBDC II</t>
  </si>
  <si>
    <t xml:space="preserve">NHPIF-A</t>
  </si>
  <si>
    <t xml:space="preserve">Listed asset-weighted mark (applied to non-traded)</t>
  </si>
  <si>
    <t xml:space="preserve">Total forced sales by BDCs ($bn)</t>
  </si>
  <si>
    <t xml:space="preserve">BDCs losing IG (count)</t>
  </si>
  <si>
    <t xml:space="preserve">BDCs below 150% coverage (count)</t>
  </si>
  <si>
    <t xml:space="preserve">Asset share below 150% coverage (panic news input)</t>
  </si>
  <si>
    <t xml:space="preserve">Sources: Q2-26 10-Qs, P/NAV 6-Oct-26; unsecured share = 10-Q debt notes (orange = 50% assumed where not computed); FSK / TCPC already below IG (Moody's Ba1 / Fitch BB+; KBRA BB+).</t>
  </si>
  <si>
    <t xml:space="preserve">Bank exposure to named BDC facilities (USD bn): estimated lender shares and stressed EAD</t>
  </si>
  <si>
    <t xml:space="preserve">Rows = facility vehicle, columns = bank. Blocks: SPV commitments, SPV outstanding, revolver commitments, revolver outstanding (inputs); stressed EAD (formulas). Lender amounts are equal-split estimates where syndicate shares are not disclosed.</t>
  </si>
  <si>
    <t xml:space="preserve">SPV commitments</t>
  </si>
  <si>
    <t xml:space="preserve">SPV outstanding</t>
  </si>
  <si>
    <t xml:space="preserve">Revolver commitments</t>
  </si>
  <si>
    <t xml:space="preserve">Revolver outstanding</t>
  </si>
  <si>
    <t xml:space="preserve">Stressed EAD, SPV = outstanding + CCF x undrawn</t>
  </si>
  <si>
    <t xml:space="preserve">LR SPV (std)</t>
  </si>
  <si>
    <t xml:space="preserve">LR revolver (std)</t>
  </si>
  <si>
    <t xml:space="preserve">Stressed EAD, revolver (100% drawn if BDC loses IG)</t>
  </si>
  <si>
    <t xml:space="preserve">Revolver CCF</t>
  </si>
  <si>
    <t xml:space="preserve">Undrawn BDC commitments drawn in stress ($bn)</t>
  </si>
  <si>
    <t xml:space="preserve">AI / GPU / data-centre deals: per-deal loss rate and estimated bank holds (USD bn)</t>
  </si>
  <si>
    <t xml:space="preserve">GPU loans: LGD = max(0, 1 - (1 - liquidation cost) x collateral(t) / balance(t)), collateral(t) = (1 - annual decline)^t, balance(t) = LTV x (1 - share repaid). Holds are deal-role estimates (pre-sell-down), not disclosed positions.</t>
  </si>
  <si>
    <t xml:space="preserve">#</t>
  </si>
  <si>
    <t xml:space="preserve">Deal</t>
  </si>
  <si>
    <t xml:space="preserve">Category</t>
  </si>
  <si>
    <t xml:space="preserve">Lessee key</t>
  </si>
  <si>
    <t xml:space="preserve">PD 3-yr</t>
  </si>
  <si>
    <t xml:space="preserve">PD | AI factor</t>
  </si>
  <si>
    <t xml:space="preserve">LTV / cost</t>
  </si>
  <si>
    <t xml:space="preserve">Share repaid by t</t>
  </si>
  <si>
    <t xml:space="preserve">Cash-collat. share</t>
  </si>
  <si>
    <t xml:space="preserve">LGD (non-GPU)</t>
  </si>
  <si>
    <t xml:space="preserve">In syndication (1/0)</t>
  </si>
  <si>
    <t xml:space="preserve">Senior backstopped share</t>
  </si>
  <si>
    <t xml:space="preserve">MTM already quoted (pts)</t>
  </si>
  <si>
    <t xml:space="preserve">Balance(t) / cost</t>
  </si>
  <si>
    <t xml:space="preserve">Collateral(t) / cost</t>
  </si>
  <si>
    <t xml:space="preserve">LGD GPU</t>
  </si>
  <si>
    <t xml:space="preserve">Loss rate</t>
  </si>
  <si>
    <t xml:space="preserve">RCF (1/0)</t>
  </si>
  <si>
    <t xml:space="preserve">Size ($bn)</t>
  </si>
  <si>
    <t xml:space="preserve">Rating / lessee</t>
  </si>
  <si>
    <t xml:space="preserve">Model note</t>
  </si>
  <si>
    <t xml:space="preserve">CoreWeave DDTL 1.0</t>
  </si>
  <si>
    <t xml:space="preserve">NONE</t>
  </si>
  <si>
    <t xml:space="preserve">CoreWeave: S&amp;P B+ (May-2025; B unsecured, recovery 5); Fitch BB- (notes, RR4)</t>
  </si>
  <si>
    <t xml:space="preserve">no bank hold attributed (non-bank, distributed or n.d.)</t>
  </si>
  <si>
    <t xml:space="preserve">CoreWeave DDTL 2.0</t>
  </si>
  <si>
    <t xml:space="preserve">CoreWeave DDTL 2.1 (tranche of 2.0)</t>
  </si>
  <si>
    <t xml:space="preserve">CoreWeave DDTL 3.0 (OpenAI contract)</t>
  </si>
  <si>
    <t xml:space="preserve">GPU</t>
  </si>
  <si>
    <t xml:space="preserve">CRWV</t>
  </si>
  <si>
    <t xml:space="preserve">OpenAI: unrated; CoreWeave: S&amp;P B+ (May-2025; B unsecured, recovery 5); Fitch BB</t>
  </si>
  <si>
    <t xml:space="preserve">DDTL 3.0: OpenAI contract; monthly amort Apr-26..Aug-30 (40% repaid by t=2 EST, sculpted)</t>
  </si>
  <si>
    <t xml:space="preserve">CoreWeave DDTL 4.0 (CCAC VIII; IG GPU loan)</t>
  </si>
  <si>
    <t xml:space="preserve">META</t>
  </si>
  <si>
    <t xml:space="preserve">Meta: Aa3/AA- (FWP 30-Apr-2026); facility A3 (Moody's)/A(low) (DBRS)</t>
  </si>
  <si>
    <t xml:space="preserve">DDTL 4.0: Meta MSA, non-recourse; amort after Jun-27 (16/57 months by t=2)</t>
  </si>
  <si>
    <t xml:space="preserve">CoreWeave DDTL 5.0</t>
  </si>
  <si>
    <t xml:space="preserve">CoreWeave: S&amp;P B+ (May-2025; B unsecured, recovery 5); Fitch BB- (notes, RR4); f</t>
  </si>
  <si>
    <t xml:space="preserve">DDTL 5.0: two non-IG customers; monthly Nov-26..Nov-31</t>
  </si>
  <si>
    <t xml:space="preserve">CoreWeave DDTL 5.5</t>
  </si>
  <si>
    <t xml:space="preserve">DDTL 5.5: no LTV/borrowing base found; ~3y contracts vs 5y debt (EST LTV 75%, 20% repaid)</t>
  </si>
  <si>
    <t xml:space="preserve">CoreWeave revolving credit facility</t>
  </si>
  <si>
    <t xml:space="preserve">RCF</t>
  </si>
  <si>
    <t xml:space="preserve">CoreWeave secured RCF (undrawn): drawn in stress, LGD 50% EST</t>
  </si>
  <si>
    <t xml:space="preserve">CoreWeave OEM equipment financing</t>
  </si>
  <si>
    <t xml:space="preserve">Lambda GPU-backed facility (Macquarie)</t>
  </si>
  <si>
    <t xml:space="preserve">Lambda: corporate unrated (not found)</t>
  </si>
  <si>
    <t xml:space="preserve">Lambda $926m senior secured TLB</t>
  </si>
  <si>
    <t xml:space="preserve">facility Baa2 (Moody's); offtaker IG (unnamed)</t>
  </si>
  <si>
    <t xml:space="preserve">Lambda $1.008bn fixed-rate DDTL</t>
  </si>
  <si>
    <t xml:space="preserve">facility Baa1 (Moody's) / A(low) (DBRS)</t>
  </si>
  <si>
    <t xml:space="preserve">Nebius GPU-backed loan</t>
  </si>
  <si>
    <t xml:space="preserve">NBIS</t>
  </si>
  <si>
    <t xml:space="preserve">Nebius: unrated (not found); Microsoft AAA/Aaa</t>
  </si>
  <si>
    <t xml:space="preserve">Nebius: Microsoft offtake; to Oct-2030</t>
  </si>
  <si>
    <t xml:space="preserve">Crusoe GPU DDTL (IS AN03 LLC, Iceland)</t>
  </si>
  <si>
    <t xml:space="preserve">CRUSOE</t>
  </si>
  <si>
    <t xml:space="preserve">Crusoe: unrated (not found)</t>
  </si>
  <si>
    <t xml:space="preserve">Crusoe Iceland DDTL: min(75% LTC, 1.30x DSCR); GS sole arranger, in syndication</t>
  </si>
  <si>
    <t xml:space="preserve">Crusoe credit facility (Upper90)</t>
  </si>
  <si>
    <t xml:space="preserve">unrated</t>
  </si>
  <si>
    <t xml:space="preserve">Fluidstack GPU senior facility (Macquarie)</t>
  </si>
  <si>
    <t xml:space="preserve">Fluidstack: unrated</t>
  </si>
  <si>
    <t xml:space="preserve">Volta Infrastructure / Anthropic, Tydal Norway</t>
  </si>
  <si>
    <t xml:space="preserve">ANTH</t>
  </si>
  <si>
    <t xml:space="preserve">Anthropic: unrated (seeking IG post-IPO, Sep-2026)</t>
  </si>
  <si>
    <t xml:space="preserve">Volta/Tydal: $3.7bn chip loan + $1.3bn cash-collateralised LC; JPM in syndication</t>
  </si>
  <si>
    <t xml:space="preserve">xAI Colossus 2 GPU SPV (Valor)</t>
  </si>
  <si>
    <t xml:space="preserve">SpaceX (incl. xAI): Baa1/BBB/BBB+ stable (19-Jun-2026) (xAI unrated at signing)</t>
  </si>
  <si>
    <t xml:space="preserve">Apollo/xAI triple-net GPU leases</t>
  </si>
  <si>
    <t xml:space="preserve">SpaceX (incl. xAI): Baa1/BBB/BBB+ stable (19-Jun-2026)</t>
  </si>
  <si>
    <t xml:space="preserve">SpaceX/xAI Nvidia chip financing</t>
  </si>
  <si>
    <t xml:space="preserve">Broadcom AI XPV / Anthropic TPU SPV ($35bn)</t>
  </si>
  <si>
    <t xml:space="preserve">Anthropic: unrated (seeking IG post-IPO, Sep-2026); Broadcom IG (senior notes re</t>
  </si>
  <si>
    <t xml:space="preserve">Broadcom/Anthropic TPU lease package ($60bn)</t>
  </si>
  <si>
    <t xml:space="preserve">Anthropic: unrated (seeking IG post-IPO, Sep-2026); Broadcom IG (5y CDS 122bp Au</t>
  </si>
  <si>
    <t xml:space="preserve">$60bn Anthropic TPU package: $42bn senior Broadcom-backstopped, $18bn junior (BX $9bn); leads hold pre-sell-down</t>
  </si>
  <si>
    <t xml:space="preserve">Broadcom -&gt; Anthropic convertible note facility</t>
  </si>
  <si>
    <t xml:space="preserve">Anthropic corporate revolver</t>
  </si>
  <si>
    <t xml:space="preserve">Anthropic unsecured RCF (undrawn)</t>
  </si>
  <si>
    <t xml:space="preserve">Nexus Data Centers, Hubbard TX (Anthropic)</t>
  </si>
  <si>
    <t xml:space="preserve">DC</t>
  </si>
  <si>
    <t xml:space="preserve">Anthropic: unrated (seeking IG post-IPO, Sep-2026); Alphabet: Aa2/AA+ stable (FW</t>
  </si>
  <si>
    <t xml:space="preserve">Nexus TX construction bridge; Google guarantee only post-completion</t>
  </si>
  <si>
    <t xml:space="preserve">Meta Hyperion (Beignet Investor LLC) bonds</t>
  </si>
  <si>
    <t xml:space="preserve">Meta: Aa3/AA- (FWP 30-Apr-2026); bonds A+ (S&amp;P)</t>
  </si>
  <si>
    <t xml:space="preserve">Meta El Paso (Sopaipilla Investor LLC) notes</t>
  </si>
  <si>
    <t xml:space="preserve">Meta: Aa3/AA- (FWP 30-Apr-2026); notes S&amp;P A+, Fitch AA-(EXP)</t>
  </si>
  <si>
    <t xml:space="preserve">Vantage Frontier TX + Port Washington WI (Oracle/OpenAI)</t>
  </si>
  <si>
    <t xml:space="preserve">ORCL</t>
  </si>
  <si>
    <t xml:space="preserve">Oracle: S&amp;P BBB- stable (9-Jul-2026, from BBB); Moody's Baa2 neg (affirmed 2-Feb</t>
  </si>
  <si>
    <t xml:space="preserve">Vantage (Oracle/OpenAI) construction loan; leads retain</t>
  </si>
  <si>
    <t xml:space="preserve">Oracle Project Jupiter, Dona Ana NM (Stack/Blue Owl)</t>
  </si>
  <si>
    <t xml:space="preserve">Jupiter (Oracle) quoted 89-91; Oracle force-majeure notice 24-Sep-26; banks hold</t>
  </si>
  <si>
    <t xml:space="preserve">Stargate Abilene (Crusoe/Blue Owl/Primary Digital)</t>
  </si>
  <si>
    <t xml:space="preserve">Abilene: Oracle 15-yr lease, ~65% LTC</t>
  </si>
  <si>
    <t xml:space="preserve">Related Digital 'The Barn', Saline Twp MI (Oracle)</t>
  </si>
  <si>
    <t xml:space="preserve">SB Energy PORTS-Pike Ohio (OpenAI) - Nvidia RVG (guarantee cap, not debt)</t>
  </si>
  <si>
    <t xml:space="preserve">OpenAI: unrated</t>
  </si>
  <si>
    <t xml:space="preserve">TeraWulf WULF Compute senior secured notes (Fluidstack/Google)</t>
  </si>
  <si>
    <t xml:space="preserve">Fluidstack unrated; Alphabet: Aa2/AA+ stable (FWP 7-Aug-2026)</t>
  </si>
  <si>
    <t xml:space="preserve">Tract Capital HY bonds</t>
  </si>
  <si>
    <t xml:space="preserve">just below IG</t>
  </si>
  <si>
    <t xml:space="preserve">SoftBank bridge for OpenAI follow-on</t>
  </si>
  <si>
    <t xml:space="preserve">UNSEC</t>
  </si>
  <si>
    <t xml:space="preserve">SBG</t>
  </si>
  <si>
    <t xml:space="preserve">SoftBank: S&amp;P BB+ neg (3-Mar-2026); Moody's unsolicited (level n/f)</t>
  </si>
  <si>
    <t xml:space="preserve">SoftBank $40bn unsecured bridge due Mar-27 (LGD 45% EST: SBG LTV 13-33%)</t>
  </si>
  <si>
    <t xml:space="preserve">SoftBank margin loan on OpenAI preferred shares</t>
  </si>
  <si>
    <t xml:space="preserve">MARGIN</t>
  </si>
  <si>
    <t xml:space="preserve">SoftBank margin loan on OpenAI prefs; LTV &lt;=11.2% of stake</t>
  </si>
  <si>
    <t xml:space="preserve">SpaceX/xAI acquisition bridge (precedent)</t>
  </si>
  <si>
    <t xml:space="preserve">Stonebriar equipment ABS (15% GPU)</t>
  </si>
  <si>
    <t xml:space="preserve">ABS expected AAA to BBB- (KBRA collateral report)</t>
  </si>
  <si>
    <t xml:space="preserve">Wingspire equipment ABS (20% GPU)</t>
  </si>
  <si>
    <t xml:space="preserve">ABS rated up to AAA</t>
  </si>
  <si>
    <t xml:space="preserve">Total holds by bank ($bn)</t>
  </si>
  <si>
    <t xml:space="preserve">Category codes: GPU = GPU-collateralised loan; DC = data-centre real estate / construction; RCF = revolver (drawn in stress); UNSEC = unsecured corporate bridge; MARGIN = share-backed margin loan; ANTH = $60bn Anthropic package (senior Broadcom-backstopped LGD 10%, junior LGD 70%); NONE = no bank hold attributed.</t>
  </si>
  <si>
    <t xml:space="preserve">Credit engine: look-through pool (bank -&gt; IG intermediary -&gt; junk loans), rating migration, fund finance</t>
  </si>
  <si>
    <t xml:space="preserve">Vasicek one-factor 3-yr conditional PD: PD(z) = N[(N^-1(PD3 + hidden) - sqrt(rho) z) / sqrt(1-rho)]. Only the increase over the base case (z=0, base LGD) is a loss: carrying values already embed base expected loss.</t>
  </si>
  <si>
    <t xml:space="preserve">Rating</t>
  </si>
  <si>
    <t xml:space="preserve">Pool weight</t>
  </si>
  <si>
    <t xml:space="preserve">PD 3-yr (S&amp;P avg)</t>
  </si>
  <si>
    <t xml:space="preserve">PD + hidden</t>
  </si>
  <si>
    <t xml:space="preserve">PD(z) generic</t>
  </si>
  <si>
    <t xml:space="preserve">PD(z) software</t>
  </si>
  <si>
    <t xml:space="preserve">PD base (z=0)</t>
  </si>
  <si>
    <t xml:space="preserve">T avg -&gt;CCC</t>
  </si>
  <si>
    <t xml:space="preserve">T avg -&gt;D</t>
  </si>
  <si>
    <t xml:space="preserve">T 2009 -&gt;CCC</t>
  </si>
  <si>
    <t xml:space="preserve">T 2009 -&gt;D</t>
  </si>
  <si>
    <t xml:space="preserve">B+</t>
  </si>
  <si>
    <t xml:space="preserve">B</t>
  </si>
  <si>
    <t xml:space="preserve">B-</t>
  </si>
  <si>
    <t xml:space="preserve">CCC+</t>
  </si>
  <si>
    <t xml:space="preserve">CCC</t>
  </si>
  <si>
    <t xml:space="preserve">Sources: pool weights = Fitch private-credit rating distribution Q3-25 via FSB May-26; PD 3-yr = S&amp;P 2024 study Table 26; transitions = S&amp;P 1981-2024 (NR-adj) and Moody's 2009.</t>
  </si>
  <si>
    <t xml:space="preserve">Name</t>
  </si>
  <si>
    <t xml:space="preserve">Item</t>
  </si>
  <si>
    <t xml:space="preserve">CE_PDg</t>
  </si>
  <si>
    <t xml:space="preserve">Pool PD 3-yr, generic</t>
  </si>
  <si>
    <t xml:space="preserve">CE_PDs</t>
  </si>
  <si>
    <t xml:space="preserve">Pool PD 3-yr, software</t>
  </si>
  <si>
    <t xml:space="preserve">CE_PDb</t>
  </si>
  <si>
    <t xml:space="preserve">Pool PD 3-yr, base case (embedded in marks)</t>
  </si>
  <si>
    <t xml:space="preserve">CE_Lg</t>
  </si>
  <si>
    <t xml:space="preserve">Incremental credit loss, generic</t>
  </si>
  <si>
    <t xml:space="preserve">CE_Ls</t>
  </si>
  <si>
    <t xml:space="preserve">Incremental credit loss, software</t>
  </si>
  <si>
    <t xml:space="preserve">CE_MTMg</t>
  </si>
  <si>
    <t xml:space="preserve">Spread MTM on performing, generic</t>
  </si>
  <si>
    <t xml:space="preserve">CE_MTMs</t>
  </si>
  <si>
    <t xml:space="preserve">Spread MTM on performing, software</t>
  </si>
  <si>
    <t xml:space="preserve">CE_sw_sys</t>
  </si>
  <si>
    <t xml:space="preserve">System software share (asset-weighted BDC)</t>
  </si>
  <si>
    <t xml:space="preserve">CE_mk_sys</t>
  </si>
  <si>
    <t xml:space="preserve">System market-implied mark (asset-weighted BDC)</t>
  </si>
  <si>
    <t xml:space="preserve">CE_Vh_g</t>
  </si>
  <si>
    <t xml:space="preserve">Generic pool value, hold / workout</t>
  </si>
  <si>
    <t xml:space="preserve">CE_MTM_sys</t>
  </si>
  <si>
    <t xml:space="preserve">Generic pool spread MTM</t>
  </si>
  <si>
    <t xml:space="preserve">CE_Vh_a</t>
  </si>
  <si>
    <t xml:space="preserve">ABF / SE pool value, hold</t>
  </si>
  <si>
    <t xml:space="preserve">CE_Vl_g0</t>
  </si>
  <si>
    <t xml:space="preserve">Generic pool value, liquidated (no fire-sale)</t>
  </si>
  <si>
    <t xml:space="preserve">CE_LRg0</t>
  </si>
  <si>
    <t xml:space="preserve">Loss rate on generic SPV back-leverage (standalone)</t>
  </si>
  <si>
    <t xml:space="preserve">CE_LRa0</t>
  </si>
  <si>
    <t xml:space="preserve">Loss rate on ABF / SE warehouses (standalone)</t>
  </si>
  <si>
    <t xml:space="preserve">CE_LRtrs0</t>
  </si>
  <si>
    <t xml:space="preserve">Loss rate on written sub-IG TRS (standalone)</t>
  </si>
  <si>
    <t xml:space="preserve">CE_ccc_avg</t>
  </si>
  <si>
    <t xml:space="preserve">Pool share to CCC/D in 1 yr, average matrix</t>
  </si>
  <si>
    <t xml:space="preserve">CE_ccc_09</t>
  </si>
  <si>
    <t xml:space="preserve">Pool share to CCC/D in 1 yr, 2009 matrix</t>
  </si>
  <si>
    <t xml:space="preserve">CE_ccc_new</t>
  </si>
  <si>
    <t xml:space="preserve">Pool share to CCC/D, scenario</t>
  </si>
  <si>
    <t xml:space="preserve">CE_mig_hc</t>
  </si>
  <si>
    <t xml:space="preserve">Borrowing-base haircut from migration</t>
  </si>
  <si>
    <t xml:space="preserve">CE_LRnav</t>
  </si>
  <si>
    <t xml:space="preserve">Loss rate, NAV loans</t>
  </si>
  <si>
    <t xml:space="preserve">CE_LRff</t>
  </si>
  <si>
    <t xml:space="preserve">Loss rate, fund finance (sub lines + NAV)</t>
  </si>
  <si>
    <t xml:space="preserve">CE_nonbank_pcl</t>
  </si>
  <si>
    <t xml:space="preserve">Private-credit loans sold by non-banks ($bn)</t>
  </si>
  <si>
    <t xml:space="preserve">CE_ins_sales</t>
  </si>
  <si>
    <t xml:space="preserve">Insurer forced sales ($bn)</t>
  </si>
  <si>
    <t xml:space="preserve">AI lessee 3-yr PDs (S&amp;P Table 26, 3-yr column)</t>
  </si>
  <si>
    <t xml:space="preserve">CoreWeave S&amp;P B+</t>
  </si>
  <si>
    <t xml:space="preserve">Meta AA-</t>
  </si>
  <si>
    <t xml:space="preserve">Nebius unrated w/ Microsoft offtake ~BB (judgment)</t>
  </si>
  <si>
    <t xml:space="preserve">Crusoe unrated ~B (judgment)</t>
  </si>
  <si>
    <t xml:space="preserve">Anthropic unrated -&gt; pd_unrated</t>
  </si>
  <si>
    <t xml:space="preserve">Oracle S&amp;P BBB-</t>
  </si>
  <si>
    <t xml:space="preserve">SoftBank S&amp;P BB+</t>
  </si>
  <si>
    <t xml:space="preserve">Standalone module losses by bank (USD bn, pre-tax) - each module can be switched off in Scenarios (sw_M*)</t>
  </si>
  <si>
    <t xml:space="preserve">M1 back-leverage look-through | M2 fund finance | M3 ABF / structured entities | M4 PE-owned insurers | M5 AI / GPU | M6 trading &amp; HFS MTM | M7 CRE | M8 rates (AFS + forced HTM sales) | M9 SRT relief loss | M10 written sub-IG TRS | M11 prime / margin gap risk.</t>
  </si>
  <si>
    <t xml:space="preserve">M1a named BDC facilities</t>
  </si>
  <si>
    <t xml:space="preserve">M1b generic back-leverage</t>
  </si>
  <si>
    <t xml:space="preserve">M1c collateral fraud</t>
  </si>
  <si>
    <t xml:space="preserve">M1 back-leverage</t>
  </si>
  <si>
    <t xml:space="preserve">M2 fund finance</t>
  </si>
  <si>
    <t xml:space="preserve">M3 ABF / SE</t>
  </si>
  <si>
    <t xml:space="preserve">M4 insurers</t>
  </si>
  <si>
    <t xml:space="preserve">M5 AI / GPU</t>
  </si>
  <si>
    <t xml:space="preserve">M6 trading / HFS</t>
  </si>
  <si>
    <t xml:space="preserve">M7 CRE</t>
  </si>
  <si>
    <t xml:space="preserve">AFS MTM (rates)</t>
  </si>
  <si>
    <t xml:space="preserve">HTM / opt-out AFS loss pool</t>
  </si>
  <si>
    <t xml:space="preserve">M8 rates</t>
  </si>
  <si>
    <t xml:space="preserve">M9 SRT</t>
  </si>
  <si>
    <t xml:space="preserve">M10 TRS</t>
  </si>
  <si>
    <t xml:space="preserve">M11 prime</t>
  </si>
  <si>
    <t xml:space="preserve">Total standalone loss</t>
  </si>
  <si>
    <t xml:space="preserve">Contagion-invariant losses</t>
  </si>
  <si>
    <t xml:space="preserve">Capital base (CET1 + PPNR credit)</t>
  </si>
  <si>
    <t xml:space="preserve">Stressed RWA</t>
  </si>
  <si>
    <t xml:space="preserve">CET1 after standalone</t>
  </si>
  <si>
    <t xml:space="preserve">CET1 ratio after standalone</t>
  </si>
  <si>
    <t xml:space="preserve">Committed lines drawn ($bn, liquidity)</t>
  </si>
  <si>
    <t xml:space="preserve">AI RCF draws ($bn)</t>
  </si>
  <si>
    <t xml:space="preserve">Total</t>
  </si>
  <si>
    <t xml:space="preserve">Contagion rounds: news -&gt; panic -&gt; runs &amp; repo -&gt; forced sales -&gt; prices -&gt; marks -&gt; interbank defaults (8 rounds, cumulative)</t>
  </si>
  <si>
    <t xml:space="preserve">Each block starts from capital at the end of the previous block. Public news at the start of a round sets panic intensity S (cols CC-CD), which raises run, redemption and haircut rates, pushes marks to market-implied levels, worsens the credit factor and adds a panic discount to every risky asset class (correlations go to 1). Sales and price impacts are cumulative totals.</t>
  </si>
  <si>
    <t xml:space="preserve">ROUND 1</t>
  </si>
  <si>
    <t xml:space="preserve">CET1 start ($bn)</t>
  </si>
  <si>
    <t xml:space="preserve">CET1 ratio start</t>
  </si>
  <si>
    <t xml:space="preserve">MDA breach</t>
  </si>
  <si>
    <t xml:space="preserve">Below min</t>
  </si>
  <si>
    <t xml:space="preserve">Insolvent</t>
  </si>
  <si>
    <t xml:space="preserve">Headroom to MDA (pp)</t>
  </si>
  <si>
    <t xml:space="preserve">Headroom rank (1 = weakest)</t>
  </si>
  <si>
    <t xml:space="preserve">Run target (1/0)</t>
  </si>
  <si>
    <t xml:space="preserve">Flight-to-quality recipient (1/0)</t>
  </si>
  <si>
    <t xml:space="preserve">Contractual trigger outflow</t>
  </si>
  <si>
    <t xml:space="preserve">Deposit run-off</t>
  </si>
  <si>
    <t xml:space="preserve">Wholesale non-rollover</t>
  </si>
  <si>
    <t xml:space="preserve">MMF CP/CD non-rollover</t>
  </si>
  <si>
    <t xml:space="preserve">Repo haircut + inventory non-rollover</t>
  </si>
  <si>
    <t xml:space="preserve">Committed-line draws</t>
  </si>
  <si>
    <t xml:space="preserve">Recipient deposits</t>
  </si>
  <si>
    <t xml:space="preserve">Flight-to-quality inflow</t>
  </si>
  <si>
    <t xml:space="preserve">Total outflow</t>
  </si>
  <si>
    <t xml:space="preserve">Liquidity available</t>
  </si>
  <si>
    <t xml:space="preserve">Illiquid (1/0)</t>
  </si>
  <si>
    <t xml:space="preserve">HTM sale fraction</t>
  </si>
  <si>
    <t xml:space="preserve">RWA to shed</t>
  </si>
  <si>
    <t xml:space="preserve">Capital-driven sales</t>
  </si>
  <si>
    <t xml:space="preserve">Bank asset sales</t>
  </si>
  <si>
    <t xml:space="preserve">Sold UST</t>
  </si>
  <si>
    <t xml:space="preserve">Sold AGENCY_MBS</t>
  </si>
  <si>
    <t xml:space="preserve">Sold OTHER_SOV</t>
  </si>
  <si>
    <t xml:space="preserve">Sold MUNI</t>
  </si>
  <si>
    <t xml:space="preserve">Sold IG_CORP</t>
  </si>
  <si>
    <t xml:space="preserve">Sold HY_CORP</t>
  </si>
  <si>
    <t xml:space="preserve">Sold LEV_LOANS</t>
  </si>
  <si>
    <t xml:space="preserve">Sold CLO</t>
  </si>
  <si>
    <t xml:space="preserve">Sold ABS_OTHER</t>
  </si>
  <si>
    <t xml:space="preserve">Sold PRIV_CREDIT_LOANS</t>
  </si>
  <si>
    <t xml:space="preserve">Sold EQUITIES</t>
  </si>
  <si>
    <t xml:space="preserve">Sold CRE_LOANS</t>
  </si>
  <si>
    <t xml:space="preserve">Sold OTHER</t>
  </si>
  <si>
    <t xml:space="preserve">MMF pull share</t>
  </si>
  <si>
    <t xml:space="preserve">Matched-book client sales</t>
  </si>
  <si>
    <t xml:space="preserve">Default / resolution (1/0)</t>
  </si>
  <si>
    <t xml:space="preserve">Interbank loss</t>
  </si>
  <si>
    <t xml:space="preserve">M1 at round prices</t>
  </si>
  <si>
    <t xml:space="preserve">M3 at round prices</t>
  </si>
  <si>
    <t xml:space="preserve">M10 at round prices</t>
  </si>
  <si>
    <t xml:space="preserve">M8 incl. run-driven HTM sales</t>
  </si>
  <si>
    <t xml:space="preserve">Market-discount MTM on holdings</t>
  </si>
  <si>
    <t xml:space="preserve">Total loss</t>
  </si>
  <si>
    <t xml:space="preserve">CET1 end ($bn)</t>
  </si>
  <si>
    <t xml:space="preserve">CET1 ratio end</t>
  </si>
  <si>
    <t xml:space="preserve">Vehicle</t>
  </si>
  <si>
    <t xml:space="preserve">Pool value hold</t>
  </si>
  <si>
    <t xml:space="preserve">Secured/assets</t>
  </si>
  <si>
    <t xml:space="preserve">Pool value liquidated</t>
  </si>
  <si>
    <t xml:space="preserve">LR SPV</t>
  </si>
  <si>
    <t xml:space="preserve">LR revolver</t>
  </si>
  <si>
    <t xml:space="preserve">Asset coverage</t>
  </si>
  <si>
    <t xml:space="preserve">Assets &lt;150% ($bn)</t>
  </si>
  <si>
    <t xml:space="preserve">Borrowing-base deficiency</t>
  </si>
  <si>
    <t xml:space="preserve">150% deficiency</t>
  </si>
  <si>
    <t xml:space="preserve">Honoured redemptions</t>
  </si>
  <si>
    <t xml:space="preserve">PD generic</t>
  </si>
  <si>
    <t xml:space="preserve">PD software</t>
  </si>
  <si>
    <t xml:space="preserve">System item</t>
  </si>
  <si>
    <t xml:space="preserve">News in: BDC asset share &lt;150% coverage (prev. round)</t>
  </si>
  <si>
    <t xml:space="preserve">News in: private-credit market discount (prev. round)</t>
  </si>
  <si>
    <t xml:space="preserve">News index</t>
  </si>
  <si>
    <t xml:space="preserve">PANIC INTENSITY S (0-1)</t>
  </si>
  <si>
    <t xml:space="preserve">Credit factor after credit crunch</t>
  </si>
  <si>
    <t xml:space="preserve">Spread widening (bp)</t>
  </si>
  <si>
    <t xml:space="preserve">Weight on market-implied marks</t>
  </si>
  <si>
    <t xml:space="preserve">BDC deleveraging by sales</t>
  </si>
  <si>
    <t xml:space="preserve">Honoured redemptions cap</t>
  </si>
  <si>
    <t xml:space="preserve">Redemption-request multiple</t>
  </si>
  <si>
    <t xml:space="preserve">MMF pull, all dealers</t>
  </si>
  <si>
    <t xml:space="preserve">Flight-to-quality redeposit share</t>
  </si>
  <si>
    <t xml:space="preserve">Dealer-capacity multiplier</t>
  </si>
  <si>
    <t xml:space="preserve">Pool PD 3-yr generic</t>
  </si>
  <si>
    <t xml:space="preserve">Pool PD 3-yr software</t>
  </si>
  <si>
    <t xml:space="preserve">Incremental loss generic</t>
  </si>
  <si>
    <t xml:space="preserve">Incremental loss software</t>
  </si>
  <si>
    <t xml:space="preserve">Spread MTM generic</t>
  </si>
  <si>
    <t xml:space="preserve">Spread MTM software</t>
  </si>
  <si>
    <t xml:space="preserve">Generic pool value, hold</t>
  </si>
  <si>
    <t xml:space="preserve">Generic pool value, liquidated</t>
  </si>
  <si>
    <t xml:space="preserve">LR generic back-leverage</t>
  </si>
  <si>
    <t xml:space="preserve">Total sold ($bn)</t>
  </si>
  <si>
    <t xml:space="preserve">LR ABF warehouses</t>
  </si>
  <si>
    <t xml:space="preserve">Market discount</t>
  </si>
  <si>
    <t xml:space="preserve">LR written TRS</t>
  </si>
  <si>
    <t xml:space="preserve">BDC asset share &lt;150% coverage (this round)</t>
  </si>
  <si>
    <t xml:space="preserve">ROUND 2</t>
  </si>
  <si>
    <t xml:space="preserve">ROUND 3</t>
  </si>
  <si>
    <t xml:space="preserve">ROUND 4</t>
  </si>
  <si>
    <t xml:space="preserve">ROUND 5</t>
  </si>
  <si>
    <t xml:space="preserve">ROUND 6</t>
  </si>
  <si>
    <t xml:space="preserve">ROUND 7</t>
  </si>
  <si>
    <t xml:space="preserve">ROUND 8</t>
  </si>
  <si>
    <t xml:space="preserve">Interbank network: max-entropy (RAS) matrix, transposed (rows = debtor, columns = creditor), USD bn</t>
  </si>
  <si>
    <t xml:space="preserve">Row/column totals reproduce intra-financial-system liabilities/assets (OFR Bank Systemic Risk Monitor, FR Y-15 Q2-26 for US G-SIBs; Basel end-2024 x 1.0389 for others; 3% of assets estimate for regionals, 15% for Jefferies). Loss to creditor i = lgd_ib x s_in x u_ib x sum_j X[i,j] x default_j.</t>
  </si>
  <si>
    <t xml:space="preserve">Debtor total</t>
  </si>
  <si>
    <t xml:space="preserve">Creditor total (as column)</t>
  </si>
  <si>
    <t xml:space="preserve">Creditor total</t>
  </si>
  <si>
    <t xml:space="preserve">Results for the active scenario (USD bn; ratios = CET1 / stressed RWA)</t>
  </si>
  <si>
    <t xml:space="preserve">Green = link to Modules / Contagion. Status: Insolvent (CET1&lt;0) &gt; Below minimum (&lt;4.5%) &gt; MDA breach (&lt;requirement) &gt; Needs liquidity (shortfall after HQLA and backstop) &gt; OK.</t>
  </si>
  <si>
    <t xml:space="preserve">G-SIB</t>
  </si>
  <si>
    <t xml:space="preserve">Requirement (MDA)</t>
  </si>
  <si>
    <t xml:space="preserve">Final loss (after contagion)</t>
  </si>
  <si>
    <t xml:space="preserve">CET1 ratio final</t>
  </si>
  <si>
    <t xml:space="preserve">Contagion add-on</t>
  </si>
  <si>
    <t xml:space="preserve">Headroom to MDA ($bn)</t>
  </si>
  <si>
    <t xml:space="preserve">Notches (final round)</t>
  </si>
  <si>
    <t xml:space="preserve">Liquidity outflow</t>
  </si>
  <si>
    <t xml:space="preserve">Market-discount MTM</t>
  </si>
  <si>
    <t xml:space="preserve">Back-leverage re-mark at round prices</t>
  </si>
  <si>
    <t xml:space="preserve">Rates incl. run-driven HTM sales</t>
  </si>
  <si>
    <t xml:space="preserve">Loss % CET1</t>
  </si>
  <si>
    <t xml:space="preserve">Run target in final round</t>
  </si>
  <si>
    <t xml:space="preserve">Market discount by asset class (final round)</t>
  </si>
  <si>
    <t xml:space="preserve">Sold ($bn)</t>
  </si>
  <si>
    <t xml:space="preserve">Standalone loss by module (all banks, $bn)</t>
  </si>
  <si>
    <t xml:space="preserve">Each risk on its own: module losses with every other module and all contagion channels switched off (USD bn, pre-tax)</t>
  </si>
  <si>
    <t xml:space="preserve">Severity = the parameter set of the named scenario. Bottom rows: CET1 impact (pp of RWA) and the number of G-SIBs pushed below MDA by that module alone.</t>
  </si>
  <si>
    <t xml:space="preserve">Severity: Software/AI repricing</t>
  </si>
  <si>
    <t xml:space="preserve">M1 Back-leverage look-through</t>
  </si>
  <si>
    <t xml:space="preserve">M2 Fund finance</t>
  </si>
  <si>
    <t xml:space="preserve">M3 ABF / structured entities</t>
  </si>
  <si>
    <t xml:space="preserve">M4 PE-owned insurers</t>
  </si>
  <si>
    <t xml:space="preserve">M5 AI / GPU / data centres</t>
  </si>
  <si>
    <t xml:space="preserve">M6 Trading &amp; HFS MTM</t>
  </si>
  <si>
    <t xml:space="preserve">M8 Rates (AFS + forced HTM sales)</t>
  </si>
  <si>
    <t xml:space="preserve">M9 SRT relief lost</t>
  </si>
  <si>
    <t xml:space="preserve">M10 Written sub-IG TRS</t>
  </si>
  <si>
    <t xml:space="preserve">M11 Prime / margin gap</t>
  </si>
  <si>
    <t xml:space="preserve">All modules (no contagion)</t>
  </si>
  <si>
    <t xml:space="preserve">Full model incl. contagion</t>
  </si>
  <si>
    <t xml:space="preserve">Total ($bn)</t>
  </si>
  <si>
    <t xml:space="preserve">Avg CET1 impact (pp, simple avg)</t>
  </si>
  <si>
    <t xml:space="preserve">G-SIBs below MDA from this alone</t>
  </si>
  <si>
    <t xml:space="preserve">Severity: GPU obsolescence</t>
  </si>
  <si>
    <t xml:space="preserve">Severity: Credit 2009</t>
  </si>
  <si>
    <t xml:space="preserve">Severity: Rerating cascade</t>
  </si>
  <si>
    <t xml:space="preserve">Severity: 2008-combined</t>
  </si>
  <si>
    <t xml:space="preserve">Severity: Panic cascade</t>
  </si>
  <si>
    <t xml:space="preserve">Reverse stress: how bad does the common factor have to get before the system breaks?</t>
  </si>
  <si>
    <t xml:space="preserve">All levers move together with one factor z (credit, AI and liquidity factors set equal to z, rates unchanged), using the Monte Carlo mapping functions (see MC_Summary), with no PPNR credit (instantaneous) and the panic channel on at Baseline settings (S0 = 0.10). Generic pool value is the hold value of a typical private-credit loan book as % of carrying value (the mark).</t>
  </si>
  <si>
    <t xml:space="preserve">z (joint factor)</t>
  </si>
  <si>
    <t xml:space="preserve">Prob. of worse (one-sided)</t>
  </si>
  <si>
    <t xml:space="preserve">Pool 3-yr PD</t>
  </si>
  <si>
    <t xml:space="preserve">Generic pool value (mark)</t>
  </si>
  <si>
    <t xml:space="preserve">Pool value, liquidated</t>
  </si>
  <si>
    <t xml:space="preserve">Backstop</t>
  </si>
  <si>
    <t xml:space="preserve">Total loss ($bn)</t>
  </si>
  <si>
    <t xml:space="preserve">G-SIBs &lt; MDA</t>
  </si>
  <si>
    <t xml:space="preserve">G-SIBs &lt; min</t>
  </si>
  <si>
    <t xml:space="preserve">Defaults</t>
  </si>
  <si>
    <t xml:space="preserve">Shortfall to MDA ($bn)</t>
  </si>
  <si>
    <t xml:space="preserve">Systemic</t>
  </si>
  <si>
    <t xml:space="preserve">on</t>
  </si>
  <si>
    <t xml:space="preserve">no</t>
  </si>
  <si>
    <t xml:space="preserve">YES</t>
  </si>
  <si>
    <t xml:space="preserve">off</t>
  </si>
  <si>
    <t xml:space="preserve">Thresholds (first z on the grid where the event occurs; mark = generic pool hold value)</t>
  </si>
  <si>
    <t xml:space="preserve">First G-SIB below MDA: z</t>
  </si>
  <si>
    <t xml:space="preserve">mark</t>
  </si>
  <si>
    <t xml:space="preserve">Systemic: z</t>
  </si>
  <si>
    <t xml:space="preserve">First G-SIB below minimum: z</t>
  </si>
  <si>
    <t xml:space="preserve">First default: z</t>
  </si>
  <si>
    <t xml:space="preserve">Monte Carlo: 10,000 joint draws (seed 20261008), full engine incl. 8 contagion rounds with panic / information contagion; ~3-year horizon</t>
  </si>
  <si>
    <t xml:space="preserve">Factors: z (credit), z_AI = 0.5 z + 0.87 e1, z_liq = 0.6 z + 0.8 e2, dy = 1% x e3, all sharing one chi-square mixing variable (multivariate Student-t, nu = 4, unit variance: extremes arrive together). Crisis regime with probability 10%: AI and liquidity loadings 0.95 (correlations -&gt; 1) and panic floor S0 + 0.20. Mean of z shifted -0.3 and S0 = 0.15 to condition on today. Every scenario lever is a deterministic function of the factors (table below). PPNR credited for 2 quarters, haircut up to 50% as z falls to -2. Columns D-E = first version (Gaussian, no panic) for comparison. Probabilities are model-conditional, not forecasts; 1-year and 3-month equivalents on Fat_Tails.</t>
  </si>
  <si>
    <t xml:space="preserve">System metric</t>
  </si>
  <si>
    <t xml:space="preserve">Gaussian, no panic: ON</t>
  </si>
  <si>
    <t xml:space="preserve">Gaussian, no panic: OFF</t>
  </si>
  <si>
    <t xml:space="preserve">P(systemic: &gt;=3 G-SIBs &lt; MDA or any G-SIB default)</t>
  </si>
  <si>
    <t xml:space="preserve">P(&gt;=1 G-SIB below MDA)</t>
  </si>
  <si>
    <t xml:space="preserve">P(&gt;=3 G-SIBs below MDA)</t>
  </si>
  <si>
    <t xml:space="preserve">P(&gt;=1 G-SIB below 4.5% minimum)</t>
  </si>
  <si>
    <t xml:space="preserve">P(any institution in default / resolution)</t>
  </si>
  <si>
    <t xml:space="preserve">Mean total loss ($bn)</t>
  </si>
  <si>
    <t xml:space="preserve">Median total loss ($bn)</t>
  </si>
  <si>
    <t xml:space="preserve">95th pct total loss ($bn)</t>
  </si>
  <si>
    <t xml:space="preserve">99th pct total loss ($bn)</t>
  </si>
  <si>
    <t xml:space="preserve">99.9th pct total loss ($bn)</t>
  </si>
  <si>
    <t xml:space="preserve">99th pct shortfall to MDA ($bn)</t>
  </si>
  <si>
    <t xml:space="preserve">99.9th pct shortfall to MDA ($bn)</t>
  </si>
  <si>
    <t xml:space="preserve">99th pct # G-SIBs below MDA</t>
  </si>
  <si>
    <t xml:space="preserve">Max # G-SIBs below MDA</t>
  </si>
  <si>
    <t xml:space="preserve">Per institution</t>
  </si>
  <si>
    <t xml:space="preserve">P(MDA breach) ON</t>
  </si>
  <si>
    <t xml:space="preserve">P(&lt;4.5%) ON</t>
  </si>
  <si>
    <t xml:space="preserve">P(default) ON</t>
  </si>
  <si>
    <t xml:space="preserve">Mean CET1 ratio ON</t>
  </si>
  <si>
    <t xml:space="preserve">5th pct CET1 ON</t>
  </si>
  <si>
    <t xml:space="preserve">1st pct CET1 ON</t>
  </si>
  <si>
    <t xml:space="preserve">99th pct loss ON ($bn)</t>
  </si>
  <si>
    <t xml:space="preserve">P(MDA breach) OFF</t>
  </si>
  <si>
    <t xml:space="preserve">P(&lt;4.5%) OFF</t>
  </si>
  <si>
    <t xml:space="preserve">P(default) OFF</t>
  </si>
  <si>
    <t xml:space="preserve">1st pct CET1 OFF</t>
  </si>
  <si>
    <t xml:space="preserve">99th pct loss OFF ($bn)</t>
  </si>
  <si>
    <t xml:space="preserve">What drives the tail? Mean standalone loss by module, all draws vs systemic draws (backstop ON, $bn, all banks)</t>
  </si>
  <si>
    <t xml:space="preserve">Module</t>
  </si>
  <si>
    <t xml:space="preserve">Mean, all draws</t>
  </si>
  <si>
    <t xml:space="preserve">Mean, systemic draws</t>
  </si>
  <si>
    <t xml:space="preserve">Mean, worst 1% of draws</t>
  </si>
  <si>
    <t xml:space="preserve">Share of standalone loss in worst 1%</t>
  </si>
  <si>
    <t xml:space="preserve">Contagion add-on (fire sales, runs, interbank, re-marks)</t>
  </si>
  <si>
    <t xml:space="preserve">Lever mapping used in the Monte Carlo (nz = max(0,-z), nai = max(0,-z_AI), nl = max(0,-z_liq); c() = clip)</t>
  </si>
  <si>
    <t xml:space="preserve">def mc_params_from(z, zai, zl, dy, cb=1, cfg=None):</t>
  </si>
  <si>
    <t xml:space="preserve">c = lambda x, lo=0, hi=1: np.clip(x, lo, hi)</t>
  </si>
  <si>
    <t xml:space="preserve">nz, nai, nl = c(-z, 0, 3), c(-zai, 0, 3), c(-zl, 0, 3)</t>
  </si>
  <si>
    <t xml:space="preserve">p = scenario('Baseline', cfg)</t>
  </si>
  <si>
    <t xml:space="preserve">p.update(zl=zl, z=z, z_ai=zai, hid=0.031 * c(-z, 0, 2), m_sw=1 + c(nai / 2.5), lgd_gen=0.35 + 0.15 * c(nz / 2.5), lgd_sw=0.50 + 0.20 * c(nz / 2.5),</t>
  </si>
  <si>
    <t xml:space="preserve">ds=250 * nz, ds_sw=120 * nai, gap=0.04 * c(nz / 2.5), w_mkt=c(nl / 2), phi=c(0.25 + 0.25 * (-zl), 0.1, 0.9), c_liq=0.02 + 0.03 * c(nl / 2.5),</t>
  </si>
  <si>
    <t xml:space="preserve">ccf_bl=c(0.10 + 0.3 * nl, 0.1, 0.9), fraud=0.001 + 0.003 * nz, lp_dr=0.015 * nz, dnav=c(0.12 * nz, 0, 0.6), ccf_ff=c(0.1 + 0.2 * nl, 0.1, 0.6),</t>
  </si>
  <si>
    <t xml:space="preserve">abf_loss=0.02 + 0.06 * nz, ccf_abf=c(0.1 + 0.25 * nl, 0.1, 0.75), pd_ins=0.002 + 0.03 * nz ** 1.5, ccf_ins=c(nl / 2),</t>
  </si>
  <si>
    <t xml:space="preserve">gpu_r=c(0.25 + 0.09 * nai, 0.15, 0.65), uw_drop=0.01 + 0.05 * nai, oai_drop=c(0.3 * nai, 0, 0.9), ccf_ai=c(nai / 2),</t>
  </si>
  <si>
    <t xml:space="preserve">dp_IG=-0.025 * nz, dp_HY=-0.08 * nz, dp_LEV=-0.10 * nz, dp_CLO=-0.08 * nz, dp_ABS=-0.06 * nz, dp_EQ=-0.15 * np.maximum(nz, nai),</t>
  </si>
  <si>
    <t xml:space="preserve">dp_MUNI=-0.02 * nz - 4 * np.maximum(dy, 0), dp_OSOV=-3 * np.maximum(dy, 0), cre_lr=0.005 + 0.022 * nz, dy=dy, htm_forced=0.0,</t>
  </si>
  <si>
    <t xml:space="preserve">srt_lost=c(0.2 * nz), pb_pd=0.015 * nl, pb_shock=0.15 * np.maximum(nz, nl), rwa_infl=0.03 * nz, w_mig=c(nz / 2, 0, 1.5),</t>
  </si>
  <si>
    <t xml:space="preserve">bb_cush=c(0.10 - 0.03 * nz, 0.03, 0.10), notch_step=0.03 - 0.004 * nz, theta_lev=c(0.3 + 0.2 * nl, 0.3, 0.9),</t>
  </si>
  <si>
    <t xml:space="preserve">red_rate=c(0.05 + 0.03 * nl, 0.05, 0.15), pc_scale=1 + 0.4 * nl, ins_run=c(0.15 * nz * nl), u_base=0.03 * nl, w_base=c(0.15 * nl),</t>
  </si>
  <si>
    <t xml:space="preserve">cp_base=c(0.17 * nl), dh=c(0.07 * nl, 0, 0.25), pull_base=c(0.25 * nl), mb_psi=c(0.2 * nl, 0, 0.6), cb_on=float(cb), recyc=0.5,</t>
  </si>
  <si>
    <t xml:space="preserve">dealer_mult=1 + 1.4 * nl, lgd_ib=0.05 + 0.12 * nl, ppnr_q=2 * (1 - 0.5 * c(nz / 2)))</t>
  </si>
  <si>
    <t xml:space="preserve">p['notch_step'] = np.maximum(0.015, p['notch_step'])</t>
  </si>
  <si>
    <t xml:space="preserve">Monte Carlo distributions (backstop ON unless stated)</t>
  </si>
  <si>
    <t xml:space="preserve">Total loss bucket ($bn)</t>
  </si>
  <si>
    <t xml:space="preserve">Frequency ON</t>
  </si>
  <si>
    <t xml:space="preserve">Frequency OFF</t>
  </si>
  <si>
    <t xml:space="preserve"># G-SIBs below MDA</t>
  </si>
  <si>
    <t xml:space="preserve">0-25</t>
  </si>
  <si>
    <t xml:space="preserve">25-50</t>
  </si>
  <si>
    <t xml:space="preserve">50-75</t>
  </si>
  <si>
    <t xml:space="preserve">75-100</t>
  </si>
  <si>
    <t xml:space="preserve">100-150</t>
  </si>
  <si>
    <t xml:space="preserve">150-200</t>
  </si>
  <si>
    <t xml:space="preserve">200-300</t>
  </si>
  <si>
    <t xml:space="preserve">300-400</t>
  </si>
  <si>
    <t xml:space="preserve">400-500</t>
  </si>
  <si>
    <t xml:space="preserve">500-750</t>
  </si>
  <si>
    <t xml:space="preserve">750-1000</t>
  </si>
  <si>
    <t xml:space="preserve">1000-1500</t>
  </si>
  <si>
    <t xml:space="preserve">&gt;1500</t>
  </si>
  <si>
    <t xml:space="preserve">Draw</t>
  </si>
  <si>
    <t xml:space="preserve">z credit</t>
  </si>
  <si>
    <t xml:space="preserve">z AI</t>
  </si>
  <si>
    <t xml:space="preserve">z liquidity</t>
  </si>
  <si>
    <t xml:space="preserve">Crisis regime</t>
  </si>
  <si>
    <t xml:space="preserve">Panic S, final round</t>
  </si>
  <si>
    <t xml:space="preserve">Fat tails and panic: how likely is a bank failure?</t>
  </si>
  <si>
    <t xml:space="preserve">Failure = at least one G-SIB below the 4.5% CET1 minimum (resolution territory) after all contagion rounds. Horizon ~3 years (pool PDs are 3-year). 1-year and 3-month columns are formulas assuming a constant hazard: 1-(1-p)^(1/3) and 1-(1-p)^(1/12). 20,000 draws per row (ladder, triggers), 10,000 (sensitivities); standard error ~0.2pp at 8%. Computed by src/fat_tail_runs.py on the same inputs as this workbook (MC_Summary re-runs L4 at 10,000 draws: differences are sampling noise).</t>
  </si>
  <si>
    <t xml:space="preserve">Probability ladder: what each ingredient adds (each row adds to the one above)</t>
  </si>
  <si>
    <t xml:space="preserve">Step</t>
  </si>
  <si>
    <t xml:space="preserve">P(G-SIB &lt; 4.5%), 3-yr, backstop ON</t>
  </si>
  <si>
    <t xml:space="preserve">1-yr</t>
  </si>
  <si>
    <t xml:space="preserve">3-month</t>
  </si>
  <si>
    <t xml:space="preserve">Backstop OFF, 3-yr</t>
  </si>
  <si>
    <t xml:space="preserve">P(systemic) ON</t>
  </si>
  <si>
    <t xml:space="preserve">P(any default) ON</t>
  </si>
  <si>
    <t xml:space="preserve">P(&gt;=2 G-SIBs &lt; 4.5%) ON</t>
  </si>
  <si>
    <t xml:space="preserve">Mean loss ON ($bn)</t>
  </si>
  <si>
    <t xml:space="preserve">L0 Gaussian factors, no panic</t>
  </si>
  <si>
    <t xml:space="preserve">L1 + fat tails (Student-t, nu=4)</t>
  </si>
  <si>
    <t xml:space="preserve">L2 + crisis regime (correlations to 0.95, 10%)</t>
  </si>
  <si>
    <t xml:space="preserve">L3 + panic / information contagion</t>
  </si>
  <si>
    <t xml:space="preserve">L4 + conditioned on today (credit factor -0.3, panic 0.15)</t>
  </si>
  <si>
    <t xml:space="preserve">Conditional on an observable trigger (L4 setting: fat tails + crisis regime + panic + conditioned on today)</t>
  </si>
  <si>
    <t xml:space="preserve">Trigger (what you would see)</t>
  </si>
  <si>
    <t xml:space="preserve">How it is applied</t>
  </si>
  <si>
    <t xml:space="preserve">None (today)</t>
  </si>
  <si>
    <t xml:space="preserve">L4 setting, nothing extra</t>
  </si>
  <si>
    <t xml:space="preserve">T1 Largest semi-liquid funds break gates (honour 20%)</t>
  </si>
  <si>
    <t xml:space="preserve">news0 +0.15; honoured redemptions &gt;= 20% of NAV per round</t>
  </si>
  <si>
    <t xml:space="preserve">T2 Private-credit marks cut 10 points</t>
  </si>
  <si>
    <t xml:space="preserve">valuation gap +10 points on every private-credit pool</t>
  </si>
  <si>
    <t xml:space="preserve">T3 Non-govt repo seizes (haircuts +15, MMF pull +50%)</t>
  </si>
  <si>
    <t xml:space="preserve">repo haircut add-on +15 pts; MMF non-govt repo pull +50 pts</t>
  </si>
  <si>
    <t xml:space="preserve">T4 A PE-owned insurer fails (FA repo + facilities lost)</t>
  </si>
  <si>
    <t xml:space="preserve">news0 +0.35; insurer PD = 100%; insurer run = 100%</t>
  </si>
  <si>
    <t xml:space="preserve">T5 A G-SIB fails for reasons outside the model</t>
  </si>
  <si>
    <t xml:space="preserve">news0 +1.0 (panic saturates from round 1); the failed bank itself is not forced into default</t>
  </si>
  <si>
    <t xml:space="preserve">T6 T1 + T2 + T3 together</t>
  </si>
  <si>
    <t xml:space="preserve">all of T1, T2, T3</t>
  </si>
  <si>
    <t xml:space="preserve">Sensitivity of the L4 result to the judgment parameters (backstop ON, 10,000 draws)</t>
  </si>
  <si>
    <t xml:space="preserve">Parameter = value</t>
  </si>
  <si>
    <t xml:space="preserve">P(G-SIB &lt; 4.5%), 3-yr</t>
  </si>
  <si>
    <t xml:space="preserve">P(systemic), 3-yr</t>
  </si>
  <si>
    <t xml:space="preserve">Meaning</t>
  </si>
  <si>
    <t xml:space="preserve">theta_news=0.3</t>
  </si>
  <si>
    <t xml:space="preserve">news level at which panic takes off (lower = jumpier street)</t>
  </si>
  <si>
    <t xml:space="preserve">theta_news=0.45</t>
  </si>
  <si>
    <t xml:space="preserve">theta_news=0.6</t>
  </si>
  <si>
    <t xml:space="preserve">gamma_pan=1.0</t>
  </si>
  <si>
    <t xml:space="preserve">curvature of the panic discount (higher = only extreme panic reprices)</t>
  </si>
  <si>
    <t xml:space="preserve">gamma_pan=1.5</t>
  </si>
  <si>
    <t xml:space="preserve">gamma_pan=2.5</t>
  </si>
  <si>
    <t xml:space="preserve">w_mda=0.75</t>
  </si>
  <si>
    <t xml:space="preserve">weight of G-SIB MDA breaches in the news index</t>
  </si>
  <si>
    <t xml:space="preserve">w_mda=1.5</t>
  </si>
  <si>
    <t xml:space="preserve">w_mda=2.25</t>
  </si>
  <si>
    <t xml:space="preserve">n_weak=3</t>
  </si>
  <si>
    <t xml:space="preserve">number of banks the street runs on</t>
  </si>
  <si>
    <t xml:space="preserve">n_weak=6</t>
  </si>
  <si>
    <t xml:space="preserve">n_weak=9</t>
  </si>
  <si>
    <t xml:space="preserve">nu=3</t>
  </si>
  <si>
    <t xml:space="preserve">Student-t degrees of freedom (lower = fatter tails)</t>
  </si>
  <si>
    <t xml:space="preserve">nu=4</t>
  </si>
  <si>
    <t xml:space="preserve">nu=8</t>
  </si>
  <si>
    <t xml:space="preserve">nu=30</t>
  </si>
  <si>
    <t xml:space="preserve">u_pan_weak=0.1</t>
  </si>
  <si>
    <t xml:space="preserve">extra deposit run-off at the weakest banks at full panic</t>
  </si>
  <si>
    <t xml:space="preserve">u_pan_weak=0.2</t>
  </si>
  <si>
    <t xml:space="preserve">u_pan_weak=0.3</t>
  </si>
  <si>
    <t xml:space="preserve">u_pan_weak=0.0 (no backstop)</t>
  </si>
  <si>
    <t xml:space="preserve">u_pan_weak=0.2 (no backstop)</t>
  </si>
  <si>
    <t xml:space="preserve">u_pan_weak=0.6 (no backstop)</t>
  </si>
  <si>
    <t xml:space="preserve">S0=0.05</t>
  </si>
  <si>
    <t xml:space="preserve">panic floor today (0 = calm, 1 = full panic)</t>
  </si>
  <si>
    <t xml:space="preserve">S0=0.15</t>
  </si>
  <si>
    <t xml:space="preserve">S0=0.3</t>
  </si>
  <si>
    <t xml:space="preserve">S0=0.5</t>
  </si>
  <si>
    <t xml:space="preserve">n_weak and u_pan_weak do not move the result with the backstop ON: the central bank funds the run, so failures are solvency-driven. Without the backstop they matter: u_pan_weak 0 / 0.2 / 0.6 gives P(G-SIB &lt; 4.5%) = 9.3% / 10.5% / 11.9%.</t>
  </si>
  <si>
    <t xml:space="preserve">Excluding State Street: its result rests on treating its ~$22bn call-report business-credit line as junk-pool back-leverage (conservative).</t>
  </si>
  <si>
    <t xml:space="preserve">Setting</t>
  </si>
  <si>
    <t xml:space="preserve">P(any G-SIB &lt; 4.5%), ON, 3-yr</t>
  </si>
  <si>
    <t xml:space="preserve">P(G-SIB other than STT &lt; 4.5%), ON, 3-yr</t>
  </si>
  <si>
    <t xml:space="preserve">Same, backstop OFF, 3-yr</t>
  </si>
  <si>
    <t xml:space="preserve">P(&gt;=2 non-STT G-SIBs &lt; 4.5%), OFF</t>
  </si>
  <si>
    <t xml:space="preserve">L0 Gaussian, no panic</t>
  </si>
  <si>
    <t xml:space="preserve">L4 today (fat tails + crisis regime + panic)</t>
  </si>
  <si>
    <t xml:space="preserve">T6 gates + marks -10 + repo seizes</t>
  </si>
  <si>
    <t xml:space="preserve">Per institution: P(CET1 &lt; 4.5%) over ~3 years</t>
  </si>
  <si>
    <t xml:space="preserve">L0 Gaussian, ON</t>
  </si>
  <si>
    <t xml:space="preserve">L4 today, ON</t>
  </si>
  <si>
    <t xml:space="preserve">L4 today, OFF</t>
  </si>
  <si>
    <t xml:space="preserve">T6 stacked, ON</t>
  </si>
  <si>
    <t xml:space="preserve">T6 stacked, OFF</t>
  </si>
  <si>
    <t xml:space="preserve">L4 today ON, 1-yr</t>
  </si>
  <si>
    <t xml:space="preserve">What would have to be true for a 99% probability?</t>
  </si>
  <si>
    <t xml:space="preserve">Highest conditional probability in the model: T6 with no backstop, 21% over ~3 years. Even stacking every trigger leaves failure the minority outcome.</t>
  </si>
  <si>
    <t xml:space="preserve">Deterministic path (Reverse_Stress, backstop ON): the first G-SIB falls below 4.5% when the joint credit / AI / liquidity factor reaches z = -1.12, generic private-credit pool marked at 79% of carrying value. Probability of a factor at least that bad under a normal: 13.03%; under the fat-tailed, today-conditioned factor (Student-t nu = 4, mean -0.3): 15.41%.</t>
  </si>
  <si>
    <t xml:space="preserve">Panic cliff (Reverse_Stress, backstop ON, panic at Baseline settings): G-SIBs below MDA go from 1 at a pool mark of 83% (losses $107bn) to 10 at 82% (losses $390bn). With the panic channel switched off, three G-SIBs are below MDA at a mark of 77% and the first G-SIB goes below 4.5% at 61%. Listed BDC prices imply a mark of 88% today (BDC!C42).</t>
  </si>
  <si>
    <t xml:space="preserve">Excluding State Street, the first G-SIB falls below 4.5% at z = -1.81 (pool mark 64%; Deutsche Bank) with the backstop ON; at z = -1.56 (pool mark 70%; Wells Fargo) with the backstop OFF.</t>
  </si>
  <si>
    <t xml:space="preserve">A 99% call is therefore equivalent to saying that loss is already locked in: either private-credit pools are already worth roughly the mark above, or a G-SIB is already concealing a capital hole outside the model (T5). A central bank that will not lend only moves the odds to the backstop-OFF column. Neither is visible in current filings or market prices.</t>
  </si>
  <si>
    <t xml:space="preserve">Market check, 19 Oct 2026 (Yahoo Finance; fall from the 3-month high): Blue Owl -29%, Blackstone -28%, KKR -25%, Ares -24%, Apollo -22%, FS KKR -20%, OBDC -17%, BDC index (BIZD) -13%, CoreWeave -42%; State Street -15%, KRE -11%, JPMorgan -8%; leveraged loans (BKLN) -2%, high yield (HYG) -4%, S&amp;P 500 -1%. VIX 17.8 (20.0 close on 16 Oct). High-yield spread 315bp on 8 Oct, 331bp on 16 Oct (FRED).</t>
  </si>
  <si>
    <t xml:space="preserve">Reading: the stress sits in the equity of private-credit managers, BDCs and banks (word on the street, panic floor S0 ~ 0.15), not yet in broad credit or volatility (no correlation-to-1 phase). The signals that would move the model toward the T-rows: semi-liquid fund gates, a BDC breaching 150% coverage, a 10-point private-credit mark-down, tri-party haircut increases, a PE-owned insurer downgrade.</t>
  </si>
  <si>
    <t xml:space="preserve">Python engine results for every scenario (values written by post.py; used by Checks to verify the Excel formulas)</t>
  </si>
  <si>
    <t xml:space="preserve">Standalone loss ($bn)</t>
  </si>
  <si>
    <t xml:space="preserve">Final loss ($bn)</t>
  </si>
  <si>
    <t xml:space="preserve">System</t>
  </si>
  <si>
    <t xml:space="preserve">G-SIBs below minimum</t>
  </si>
  <si>
    <t xml:space="preserve">Defaults / resolutions</t>
  </si>
  <si>
    <t xml:space="preserve">Systemic (1/0)</t>
  </si>
  <si>
    <t xml:space="preserve">Model checks</t>
  </si>
  <si>
    <t xml:space="preserve">All should read OK after recalculation.</t>
  </si>
  <si>
    <t xml:space="preserve">Check</t>
  </si>
  <si>
    <t xml:space="preserve">Tolerance</t>
  </si>
  <si>
    <t xml:space="preserve">Result</t>
  </si>
  <si>
    <t xml:space="preserve">Network: creditor totals proportional to IFS assets (sum of abs share diffs)</t>
  </si>
  <si>
    <t xml:space="preserve">Named-BDC facility commitments attributed to the 24 banks ($bn, info; total $118bn incl. other lenders)</t>
  </si>
  <si>
    <t xml:space="preserve">info</t>
  </si>
  <si>
    <t xml:space="preserve">AI holds attributed to the 24 banks ($bn, info; role-based estimates)</t>
  </si>
  <si>
    <t xml:space="preserve">Credit pool weights sum to 100%</t>
  </si>
  <si>
    <t xml:space="preserve">Holdings allocation weights sum to 1 per bank with saleable assets</t>
  </si>
  <si>
    <t xml:space="preserve">Excel vs Python engine: sum of |CET1 ratio final| differences, active scenario</t>
  </si>
  <si>
    <t xml:space="preserve">Excel vs Python engine: sum of |standalone loss| differences, active scenario ($bn)</t>
  </si>
  <si>
    <t xml:space="preserve">Sources and estimate flags for every bank input</t>
  </si>
  <si>
    <t xml:space="preserve">EST = estimate / proxy.</t>
  </si>
  <si>
    <t xml:space="preserve">Bank</t>
  </si>
  <si>
    <t xml:space="preserve">Field</t>
  </si>
  <si>
    <t xml:space="preserve">Estimate?</t>
  </si>
  <si>
    <t xml:space="preserve">Source / basis</t>
  </si>
  <si>
    <t xml:space="preserve">gsib</t>
  </si>
  <si>
    <t xml:space="preserve">aoci</t>
  </si>
  <si>
    <t xml:space="preserve">n_hy</t>
  </si>
  <si>
    <t xml:space="preserve">Notches from lowest holdco/senior rating to BB+</t>
  </si>
  <si>
    <t xml:space="preserve">cet1</t>
  </si>
  <si>
    <t xml:space="preserve">Q3-26 filing, 30-Sep-2026 (https://www.sec.gov/Archives/edgar/data/0000019617/000162828026065582/a3q26erfex992supplement.htm)</t>
  </si>
  <si>
    <t xml:space="preserve">rwa</t>
  </si>
  <si>
    <t xml:space="preserve">Q3-26 filing, 30-Sep-2026, standardized (https://www.sec.gov/Archives/edgar/data/0000019617/000162828026065582/a3q26erfex992supplement.htm)</t>
  </si>
  <si>
    <t xml:space="preserve">req</t>
  </si>
  <si>
    <t xml:space="preserve">Q2-26 filing (https://www.sec.gov/Archives/edgar/data/19617/000162828026054343/jpm-20260630.htm): CET1 requirement incl. buffers (MDA hurdle)</t>
  </si>
  <si>
    <t xml:space="preserve">Q2-26 filing (https://www.sec.gov/Archives/edgar/data/19617/000162828026054343/jpm-20260630.htm): quarterly PPNR</t>
  </si>
  <si>
    <t xml:space="preserve">afs_fv</t>
  </si>
  <si>
    <t xml:space="preserve">Q2-26 filing (https://www.sec.gov/Archives/edgar/data/19617/000162828026054343/jpm-20260630.htm): AFS fair value</t>
  </si>
  <si>
    <t xml:space="preserve">afs_ul</t>
  </si>
  <si>
    <t xml:space="preserve">Q2-26 filing (https://www.sec.gov/Archives/edgar/data/19617/000162828026054343/jpm-20260630.htm): AFS unrealized (losses only; equity gains excluded)</t>
  </si>
  <si>
    <t xml:space="preserve">htm_ac</t>
  </si>
  <si>
    <t xml:space="preserve">Q2-26 filing (https://www.sec.gov/Archives/edgar/data/19617/000162828026054343/jpm-20260630.htm): HTM amortized cost</t>
  </si>
  <si>
    <t xml:space="preserve">htm_ul</t>
  </si>
  <si>
    <t xml:space="preserve">Q2-26 filing (https://www.sec.gov/Archives/edgar/data/19617/000162828026054343/jpm-20260630.htm): HTM / amortised-cost unrealized loss</t>
  </si>
  <si>
    <t xml:space="preserve">dur_afs</t>
  </si>
  <si>
    <t xml:space="preserve">EST</t>
  </si>
  <si>
    <t xml:space="preserve">EST: effective AFS duration after hedges, US banks (judgment; 2022 AOCI moves imply ~1-4 yrs across banks)</t>
  </si>
  <si>
    <t xml:space="preserve">strat_eq</t>
  </si>
  <si>
    <t xml:space="preserve">n/a</t>
  </si>
  <si>
    <t xml:space="preserve">bl_d</t>
  </si>
  <si>
    <t xml:space="preserve">FFIEC Call Report 30-Jun-2026 RC-C Memo 10.b/10.c (BCI / PE-fund loans) and RC-L unused; back-leverage drawn</t>
  </si>
  <si>
    <t xml:space="preserve">bl_u</t>
  </si>
  <si>
    <t xml:space="preserve">FFIEC Call Report 30-Jun-2026 RC-C Memo 10.b/10.c (BCI / PE-fund loans) and RC-L unused; back-leverage undrawn</t>
  </si>
  <si>
    <t xml:space="preserve">ff_d</t>
  </si>
  <si>
    <t xml:space="preserve">FFIEC Call Report 30-Jun-2026 RC-C Memo 10.b/10.c (BCI / PE-fund loans) and RC-L unused; fund finance drawn</t>
  </si>
  <si>
    <t xml:space="preserve">ff_u</t>
  </si>
  <si>
    <t xml:space="preserve">FFIEC Call Report 30-Jun-2026 RC-C Memo 10.b/10.c (BCI / PE-fund loans) and RC-L unused; fund finance undrawn</t>
  </si>
  <si>
    <t xml:space="preserve">abf_d</t>
  </si>
  <si>
    <t xml:space="preserve">no broader structured-entity disclosure used</t>
  </si>
  <si>
    <t xml:space="preserve">abf_u</t>
  </si>
  <si>
    <t xml:space="preserve">srt_bp</t>
  </si>
  <si>
    <t xml:space="preserve">SRT relief not disclosed -&gt; 0</t>
  </si>
  <si>
    <t xml:space="preserve">pb</t>
  </si>
  <si>
    <t xml:space="preserve">JPM 10-Q receivables from customers (margin loans incl. PB)</t>
  </si>
  <si>
    <t xml:space="preserve">trs</t>
  </si>
  <si>
    <t xml:space="preserve">n/a (dealers net buyers of NIG protection per 10-Q/RC-L; not modelled)</t>
  </si>
  <si>
    <t xml:space="preserve">ins_fac</t>
  </si>
  <si>
    <t xml:space="preserve">none disclosed</t>
  </si>
  <si>
    <t xml:space="preserve">ins_repo</t>
  </si>
  <si>
    <t xml:space="preserve">EST: FA-backed repo $27.3bn (Fed EFA, ~95% Athene; counterparties unnamed) split equally across 6 largest US repo dealers</t>
  </si>
  <si>
    <t xml:space="preserve">cre</t>
  </si>
  <si>
    <t xml:space="preserve">Filing (bank sub; https://cdr.ffiec.gov/public/PWS/DownloadBulkData.aspx (Call Reports - Single Period 06/30/2026))</t>
  </si>
  <si>
    <t xml:space="preserve">hqla</t>
  </si>
  <si>
    <t xml:space="preserve">Liquidity disclosure (2026-06-30 (Q2 avg); https://www.sec.gov/Archives/edgar/data/19617/000162828026054343/jpm-20260630.htm)</t>
  </si>
  <si>
    <t xml:space="preserve">lcr</t>
  </si>
  <si>
    <t xml:space="preserve">unins</t>
  </si>
  <si>
    <t xml:space="preserve">Liquidity disclosure (2026-06-30; https://www.sec.gov/Archives/edgar/data/19617/000162828026054343/jpm-20260630.htm)</t>
  </si>
  <si>
    <t xml:space="preserve">deposits</t>
  </si>
  <si>
    <t xml:space="preserve">stwf</t>
  </si>
  <si>
    <t xml:space="preserve">repo_liab</t>
  </si>
  <si>
    <t xml:space="preserve">ng_share</t>
  </si>
  <si>
    <t xml:space="preserve">EST: non-govt share of securities holdings, floored at 10.5% primary-dealer aggregate (NY Fed PDSORA), capped 80%</t>
  </si>
  <si>
    <t xml:space="preserve">mmf_cp</t>
  </si>
  <si>
    <t xml:space="preserve">OFR MMF Monitor Aug-2026; prime MMF CD+CP+TD+ABCP</t>
  </si>
  <si>
    <t xml:space="preserve">mmf_rep_oth</t>
  </si>
  <si>
    <t xml:space="preserve">OFR MMF Monitor Aug-2026; MMF repo on other (private) collateral</t>
  </si>
  <si>
    <t xml:space="preserve">cb_cap</t>
  </si>
  <si>
    <t xml:space="preserve">dg0..dg6</t>
  </si>
  <si>
    <t xml:space="preserve">0.00, 0.10, 0.41, 0.61, 0.92, 1.22, 1.53</t>
  </si>
  <si>
    <t xml:space="preserve">EST: contractual downgrade outflows (cumulative); n&gt;3 extrapolated +50%/notch EST</t>
  </si>
  <si>
    <t xml:space="preserve">ifs_a</t>
  </si>
  <si>
    <t xml:space="preserve">OFR BSRM FR Y-15 IFS assets Q2-2026</t>
  </si>
  <si>
    <t xml:space="preserve">ifs_l</t>
  </si>
  <si>
    <t xml:space="preserve">OFR BSRM FR Y-15 IFS liabilities Q2-2026</t>
  </si>
  <si>
    <t xml:space="preserve">Q3-26 filing, 30-Sep-2026 (https://www.sec.gov/Archives/edgar/data/0000070858/000007085826000481/bac-09302026ex993.htm)</t>
  </si>
  <si>
    <t xml:space="preserve">Q3-26 filing, 30-Sep-2026, standardized (https://www.sec.gov/Archives/edgar/data/0000070858/000007085826000481/bac-09302026ex993.htm)</t>
  </si>
  <si>
    <t xml:space="preserve">Q2-26 filing (https://www.sec.gov/Archives/edgar/data/70858/000007085826000394/bac-20260630.htm): CET1 requirement incl. buffers (MDA hurdle)</t>
  </si>
  <si>
    <t xml:space="preserve">Q2-26 filing (https://www.sec.gov/Archives/edgar/data/70858/000007085826000394/bac-20260630.htm): quarterly PPNR</t>
  </si>
  <si>
    <t xml:space="preserve">Q2-26 filing (https://www.sec.gov/Archives/edgar/data/70858/000007085826000394/bac-20260630.htm): AFS fair value</t>
  </si>
  <si>
    <t xml:space="preserve">Q2-26 filing (https://www.sec.gov/Archives/edgar/data/70858/000007085826000394/bac-20260630.htm): AFS unrealized (losses only; equity gains excluded)</t>
  </si>
  <si>
    <t xml:space="preserve">Q2-26 filing (https://www.sec.gov/Archives/edgar/data/70858/000007085826000394/bac-20260630.htm): HTM amortized cost</t>
  </si>
  <si>
    <t xml:space="preserve">Q2-26 filing (https://www.sec.gov/Archives/edgar/data/70858/000007085826000394/bac-20260630.htm): HTM / amortised-cost unrealized loss</t>
  </si>
  <si>
    <t xml:space="preserve">not disclosed -&gt; 0</t>
  </si>
  <si>
    <t xml:space="preserve">BAC 10-Q written TRS/options on non-IG references</t>
  </si>
  <si>
    <t xml:space="preserve">Liquidity disclosure (2026-06-30 (Q2 avg); https://www.sec.gov/Archives/edgar/data/70858/000007085826000394/bac-20260630.htm)</t>
  </si>
  <si>
    <t xml:space="preserve">Liquidity disclosure (2026-06-30; https://cdr.ffiec.gov/public/PWS/DownloadBulkData.aspx)</t>
  </si>
  <si>
    <t xml:space="preserve">Liquidity disclosure (2026-06-30; https://data.sec.gov/api/xbrl/companyfacts/CIK0000070858.json)</t>
  </si>
  <si>
    <t xml:space="preserve">Liquidity disclosure (2026-06-30; https://www.sec.gov/Archives/edgar/data/70858/000007085826000394/bac-20260630.htm)</t>
  </si>
  <si>
    <t xml:space="preserve">0.00, 0.12, 1.82, 2.72, 4.09, 5.45, 6.81</t>
  </si>
  <si>
    <t xml:space="preserve">Q3-26 filing, 30-Sep-2026 (https://www.citigroup.com/rcs/citigpa/storage/public/Earnings/Q32026/3q26-earnings-8-k-10-13-26.pdf)</t>
  </si>
  <si>
    <t xml:space="preserve">Q3-26 filing, 30-Sep-2026, standardized (https://www.citigroup.com/rcs/citigpa/storage/public/Earnings/Q32026/3q26-earnings-8-k-10-13-26.pdf)</t>
  </si>
  <si>
    <t xml:space="preserve">Q2-26 filing (https://www.sec.gov/Archives/edgar/data/831001/000083100126000045/c-20260630.htm): CET1 requirement incl. buffers (MDA hurdle)</t>
  </si>
  <si>
    <t xml:space="preserve">Q2-26 filing (https://www.sec.gov/Archives/edgar/data/831001/000083100126000045/c-20260630.htm): quarterly PPNR</t>
  </si>
  <si>
    <t xml:space="preserve">Q2-26 filing (https://www.sec.gov/Archives/edgar/data/831001/000083100126000045/c-20260630.htm): AFS fair value</t>
  </si>
  <si>
    <t xml:space="preserve">Q2-26 filing (https://www.sec.gov/Archives/edgar/data/831001/000083100126000045/c-20260630.htm): AFS unrealized (losses only; equity gains excluded)</t>
  </si>
  <si>
    <t xml:space="preserve">Q2-26 filing (https://www.sec.gov/Archives/edgar/data/831001/000083100126000045/c-20260630.htm): HTM amortized cost</t>
  </si>
  <si>
    <t xml:space="preserve">Q2-26 filing (https://www.sec.gov/Archives/edgar/data/831001/000083100126000045/c-20260630.htm): HTM / amortised-cost unrealized loss</t>
  </si>
  <si>
    <t xml:space="preserve">Citi 10-Q: asset-based-finance VIEs MEL $93.1bn incl. $22.1bn undrawn; minus PC base already in back-leverage/fund-finance (residual)</t>
  </si>
  <si>
    <t xml:space="preserve">Citi 10-Q: asset-based-finance VIEs MEL $93.1bn incl. $22.1bn undrawn; undrawn residual</t>
  </si>
  <si>
    <t xml:space="preserve">Citi 10-Q brokerage receivables</t>
  </si>
  <si>
    <t xml:space="preserve">Citi agent: Athene $1.75bn + Apollo $1.25bn facilities</t>
  </si>
  <si>
    <t xml:space="preserve">Liquidity disclosure (2026-06-30 (Q2 avg); https://www.sec.gov/Archives/edgar/data/831001/000083100126000045/c-20260630.htm)</t>
  </si>
  <si>
    <t xml:space="preserve">Liquidity disclosure (2026-06-30; https://www.sec.gov/Archives/edgar/data/831001/000083100126000045/c-20260630.htm)</t>
  </si>
  <si>
    <t xml:space="preserve">0.00, 0.20, 0.40, 0.60, 0.90, 1.20, 1.50</t>
  </si>
  <si>
    <t xml:space="preserve">Q3-26 filing, 30-Sep-2026 (https://www.wellsfargo.com/assets/pdf/about/investor-relations/earnings/third-quarter-2026-earnings-supplement.pdf)</t>
  </si>
  <si>
    <t xml:space="preserve">Q3-26 filing, 30-Sep-2026, standardized (https://www.wellsfargo.com/assets/pdf/about/investor-relations/earnings/third-quarter-2026-earnings-supplement.pdf)</t>
  </si>
  <si>
    <t xml:space="preserve">Q2-26 filing (https://www.sec.gov/Archives/edgar/data/72971/000007297126000302/wfc-20260630.htm): CET1 requirement incl. buffers (MDA hurdle)</t>
  </si>
  <si>
    <t xml:space="preserve">Q2-26 filing (https://www.sec.gov/Archives/edgar/data/72971/000007297126000302/wfc-20260630.htm): quarterly PPNR</t>
  </si>
  <si>
    <t xml:space="preserve">Q2-26 filing (https://www.sec.gov/Archives/edgar/data/72971/000007297126000302/wfc-20260630.htm): AFS fair value</t>
  </si>
  <si>
    <t xml:space="preserve">Q2-26 filing (https://www.sec.gov/Archives/edgar/data/72971/000007297126000302/wfc-20260630.htm): AFS unrealized (losses only; equity gains excluded)</t>
  </si>
  <si>
    <t xml:space="preserve">Q2-26 filing (https://www.sec.gov/Archives/edgar/data/72971/000007297126000302/wfc-20260630.htm): HTM amortized cost</t>
  </si>
  <si>
    <t xml:space="preserve">Q2-26 filing (https://www.sec.gov/Archives/edgar/data/72971/000007297126000302/wfc-20260630.htm): HTM / amortised-cost unrealized loss</t>
  </si>
  <si>
    <t xml:space="preserve">Wells agent: Athene $2.6bn 364-day liquidity facility</t>
  </si>
  <si>
    <t xml:space="preserve">Liquidity disclosure (2026-06-30 (Q2 avg); https://www.sec.gov/Archives/edgar/data/72971/000007297126000302/wfc-20260630.htm)</t>
  </si>
  <si>
    <t xml:space="preserve">Liquidity disclosure (2026-06-30; https://data.sec.gov/api/xbrl/companyfacts/CIK0000072971.json)</t>
  </si>
  <si>
    <t xml:space="preserve">Liquidity disclosure (2026-06-30; https://www.sec.gov/Archives/edgar/data/72971/000007297126000302/wfc-20260630.htm)</t>
  </si>
  <si>
    <t xml:space="preserve">0.00, 1.37, 2.73, 4.10, 4.10, 4.10, 4.10</t>
  </si>
  <si>
    <t xml:space="preserve">EST: below-IG trigger amount; linear ramp to the HY notch EST</t>
  </si>
  <si>
    <t xml:space="preserve">Q3-26 filing, 30-Sep-2026 (https://www.sec.gov/Archives/edgar/data/0000886982/000088698226000529/a3q26gsearningsresults.htm)</t>
  </si>
  <si>
    <t xml:space="preserve">Q3-26 filing, 30-Sep-2026, standardized (https://www.sec.gov/Archives/edgar/data/0000886982/000088698226000529/a3q26gsearningsresults.htm)</t>
  </si>
  <si>
    <t xml:space="preserve">Q2-26 filing (https://www.sec.gov/Archives/edgar/data/886982/000088698226000297/gs-20260630.htm): CET1 requirement incl. buffers (MDA hurdle)</t>
  </si>
  <si>
    <t xml:space="preserve">Q2-26 filing (https://www.sec.gov/Archives/edgar/data/886982/000088698226000297/gs-20260630.htm): quarterly PPNR</t>
  </si>
  <si>
    <t xml:space="preserve">Q2-26 filing (https://www.sec.gov/Archives/edgar/data/886982/000088698226000297/gs-20260630.htm): AFS fair value</t>
  </si>
  <si>
    <t xml:space="preserve">Q2-26 filing (https://www.sec.gov/Archives/edgar/data/886982/000088698226000297/gs-20260630.htm): AFS unrealized (losses only; equity gains excluded)</t>
  </si>
  <si>
    <t xml:space="preserve">Q2-26 filing (https://www.sec.gov/Archives/edgar/data/886982/000088698226000297/gs-20260630.htm): HTM amortized cost</t>
  </si>
  <si>
    <t xml:space="preserve">Q2-26 filing (https://www.sec.gov/Archives/edgar/data/886982/000088698226000297/gs-20260630.htm): HTM / amortised-cost unrealized loss</t>
  </si>
  <si>
    <t xml:space="preserve">GS 10-Q customer &amp; counterparty receivables</t>
  </si>
  <si>
    <t xml:space="preserve">Filing (holdco; https://www.sec.gov/Archives/edgar/data/886982/000088698226000297/gs-20260630.htm)</t>
  </si>
  <si>
    <t xml:space="preserve">Liquidity disclosure (2026-06-30 (Q2 avg); https://www.sec.gov/Archives/edgar/data/886982/000088698226000297/gs-20260630.htm)</t>
  </si>
  <si>
    <t xml:space="preserve">Liquidity disclosure (2026-06-30; https://www.sec.gov/Archives/edgar/data/886982/000088698226000297/gs-20260630.htm)</t>
  </si>
  <si>
    <t xml:space="preserve">0.00, 0.17, 1.78, 2.67, 4.00, 5.33, 6.67</t>
  </si>
  <si>
    <t xml:space="preserve">Q3-26 filing, 30-Sep-2026 (https://www.morganstanley.com/content/dam/msdotcom/en/about-us-ir/finsup3q2026/finsup3q2026.pdf)</t>
  </si>
  <si>
    <t xml:space="preserve">Q3-26 filing, 30-Sep-2026, standardized (https://www.morganstanley.com/content/dam/msdotcom/en/about-us-ir/finsup3q2026/finsup3q2026.pdf)</t>
  </si>
  <si>
    <t xml:space="preserve">Q2-26 filing (https://www.sec.gov/Archives/edgar/data/895421/000089542126000212/ms-20260630.htm): CET1 requirement incl. buffers (MDA hurdle)</t>
  </si>
  <si>
    <t xml:space="preserve">Q2-26 filing (https://www.sec.gov/Archives/edgar/data/895421/000089542126000212/ms-20260630.htm): quarterly PPNR</t>
  </si>
  <si>
    <t xml:space="preserve">Q2-26 filing (https://www.sec.gov/Archives/edgar/data/895421/000089542126000212/ms-20260630.htm): AFS fair value</t>
  </si>
  <si>
    <t xml:space="preserve">Q2-26 filing (https://www.sec.gov/Archives/edgar/data/895421/000089542126000212/ms-20260630.htm): AFS unrealized (losses only; equity gains excluded)</t>
  </si>
  <si>
    <t xml:space="preserve">Q2-26 filing (https://www.sec.gov/Archives/edgar/data/895421/000089542126000212/ms-20260630.htm): HTM amortized cost</t>
  </si>
  <si>
    <t xml:space="preserve">Q2-26 filing (https://www.sec.gov/Archives/edgar/data/895421/000089542126000212/ms-20260630.htm): HTM / amortised-cost unrealized loss</t>
  </si>
  <si>
    <t xml:space="preserve">MS 10-Q margin and other lending</t>
  </si>
  <si>
    <t xml:space="preserve">Liquidity disclosure (2026-06-30 (Q2 avg); https://www.sec.gov/Archives/edgar/data/895421/000089542126000212/ms-20260630.htm)</t>
  </si>
  <si>
    <t xml:space="preserve">Liquidity disclosure (2026-06-30; https://www.sec.gov/Archives/edgar/data/895421/000089542126000212/ms-20260630.htm)</t>
  </si>
  <si>
    <t xml:space="preserve">not in OFR MMF top counterparties -&gt; 0</t>
  </si>
  <si>
    <t xml:space="preserve">EST: 50% of HQLA (CB-eligible capacity n.d.)</t>
  </si>
  <si>
    <t xml:space="preserve">0.00, 0.43, 0.88, 1.31, 1.97, 2.62, 3.28</t>
  </si>
  <si>
    <t xml:space="preserve">Q3-26 filing, 30-Sep-2026 (https://www.sec.gov/Archives/edgar/data/0000713676/000162828026065936/q32026financialhighlightsa.htm)</t>
  </si>
  <si>
    <t xml:space="preserve">Q3-26 filing, 30-Sep-2026, standardized (https://www.sec.gov/Archives/edgar/data/0000713676/000162828026065936/q32026financialhighlightsa.htm)</t>
  </si>
  <si>
    <t xml:space="preserve">Q2-26 filing (https://www.sec.gov/Archives/edgar/data/713676/000162828026053170/pnc-20260630.htm): CET1 requirement incl. buffers (MDA hurdle)</t>
  </si>
  <si>
    <t xml:space="preserve">Q2-26 filing (https://www.sec.gov/Archives/edgar/data/713676/000162828026053170/pnc-20260630.htm): quarterly PPNR</t>
  </si>
  <si>
    <t xml:space="preserve">Q2-26 filing (https://www.sec.gov/Archives/edgar/data/713676/000162828026053170/pnc-20260630.htm): AFS fair value</t>
  </si>
  <si>
    <t xml:space="preserve">Q2-26 filing (https://www.sec.gov/Archives/edgar/data/713676/000162828026053170/pnc-20260630.htm): AFS unrealized (losses only; equity gains excluded)</t>
  </si>
  <si>
    <t xml:space="preserve">Q2-26 filing (https://www.sec.gov/Archives/edgar/data/713676/000162828026053170/pnc-20260630.htm): HTM amortized cost</t>
  </si>
  <si>
    <t xml:space="preserve">Q2-26 filing (https://www.sec.gov/Archives/edgar/data/713676/000162828026053170/pnc-20260630.htm): HTM / amortised-cost unrealized loss</t>
  </si>
  <si>
    <t xml:space="preserve">EST: n/a</t>
  </si>
  <si>
    <t xml:space="preserve">EST proxy: PNC 10-Q: FRB cash 22.2 + available securities 82.5</t>
  </si>
  <si>
    <t xml:space="preserve">EST: LCR n.d. (Cat IV / not disclosed) -&gt; 110% assumed</t>
  </si>
  <si>
    <t xml:space="preserve">Liquidity disclosure (2026-06-30; https://www.sec.gov/Archives/edgar/data/713676/000162828026053170/pnc-20260630.htm)</t>
  </si>
  <si>
    <t xml:space="preserve">0.00, 0.50, 1.00, 1.50, 2.00, 2.00, 2.00</t>
  </si>
  <si>
    <t xml:space="preserve">EST: 3% of total assets (bank-level call report / Jefferies 7.6x leverage)</t>
  </si>
  <si>
    <t xml:space="preserve">EST: 3% of total assets</t>
  </si>
  <si>
    <t xml:space="preserve">Q3-26 filing, 30-Sep-2026 (https://www.sec.gov/Archives/edgar/data/0000036104/000003610426000054/a3q26earningsrelease.htm)</t>
  </si>
  <si>
    <t xml:space="preserve">Q3-26 filing, 30-Sep-2026, standardized (https://www.sec.gov/Archives/edgar/data/0000036104/000003610426000054/a3q26earningsrelease.htm)</t>
  </si>
  <si>
    <t xml:space="preserve">Q2-26 filing (https://www.sec.gov/Archives/edgar/data/36104/000003610426000044/usb-20260630.htm): CET1 requirement incl. buffers (MDA hurdle)</t>
  </si>
  <si>
    <t xml:space="preserve">Q2-26 filing (https://www.sec.gov/Archives/edgar/data/36104/000003610426000044/usb-20260630.htm): quarterly PPNR</t>
  </si>
  <si>
    <t xml:space="preserve">Q2-26 filing (https://www.sec.gov/Archives/edgar/data/36104/000003610426000044/usb-20260630.htm): AFS fair value</t>
  </si>
  <si>
    <t xml:space="preserve">Q2-26 filing (https://www.sec.gov/Archives/edgar/data/36104/000003610426000044/usb-20260630.htm): AFS unrealized (losses only; equity gains excluded)</t>
  </si>
  <si>
    <t xml:space="preserve">Q2-26 filing (https://www.sec.gov/Archives/edgar/data/36104/000003610426000044/usb-20260630.htm): HTM amortized cost</t>
  </si>
  <si>
    <t xml:space="preserve">Q2-26 filing (https://www.sec.gov/Archives/edgar/data/36104/000003610426000044/usb-20260630.htm): HTM / amortised-cost unrealized loss</t>
  </si>
  <si>
    <t xml:space="preserve">EST proxy: USB 10-Q: central-bank cash 58.5 + available securities 50.4</t>
  </si>
  <si>
    <t xml:space="preserve">Liquidity disclosure (2026-06-30 (Q2 avg); https://www.sec.gov/Archives/edgar/data/36104/000003610426000044/usb-20260630.htm)</t>
  </si>
  <si>
    <t xml:space="preserve">Liquidity disclosure (2026-06-30; https://www.sec.gov/Archives/edgar/data/36104/000003610426000044/usb-20260630.htm)</t>
  </si>
  <si>
    <t xml:space="preserve">Liquidity disclosure (2026-06-30; https://data.sec.gov/api/xbrl/companyfacts/CIK0000036104.json)</t>
  </si>
  <si>
    <t xml:space="preserve">0.00, 0.07, 0.15, 0.22, 0.30, 0.30, 0.30</t>
  </si>
  <si>
    <t xml:space="preserve">Q3-26 filing, 30-Sep-2026 (https://www.sec.gov/Archives/edgar/data/0000092230/000009223026000108/ex992-qpsx3q26.htm)</t>
  </si>
  <si>
    <t xml:space="preserve">Q3-26 filing, 30-Sep-2026, standardized (https://www.sec.gov/Archives/edgar/data/0000092230/000009223026000108/ex992-qpsx3q26.htm)</t>
  </si>
  <si>
    <t xml:space="preserve">Q2-26 filing (https://www.sec.gov/Archives/edgar/data/92230/000009223026000099/tfc-20260630.htm): CET1 requirement incl. buffers (MDA hurdle)</t>
  </si>
  <si>
    <t xml:space="preserve">Q2-26 filing (https://www.sec.gov/Archives/edgar/data/92230/000009223026000099/tfc-20260630.htm): quarterly PPNR</t>
  </si>
  <si>
    <t xml:space="preserve">Q2-26 filing (https://www.sec.gov/Archives/edgar/data/92230/000009223026000099/tfc-20260630.htm): AFS fair value</t>
  </si>
  <si>
    <t xml:space="preserve">Q2-26 filing (https://www.sec.gov/Archives/edgar/data/92230/000009223026000099/tfc-20260630.htm): AFS unrealized (losses only; equity gains excluded)</t>
  </si>
  <si>
    <t xml:space="preserve">Q2-26 filing (https://www.sec.gov/Archives/edgar/data/92230/000009223026000099/tfc-20260630.htm): HTM amortized cost</t>
  </si>
  <si>
    <t xml:space="preserve">Q2-26 filing (https://www.sec.gov/Archives/edgar/data/92230/000009223026000099/tfc-20260630.htm): HTM / amortised-cost unrealized loss</t>
  </si>
  <si>
    <t xml:space="preserve">Liquidity disclosure (2026-06-30 (Q2 avg); https://www.sec.gov/Archives/edgar/data/92230/000009223026000099/tfc-20260630.htm)</t>
  </si>
  <si>
    <t xml:space="preserve">Liquidity disclosure (2026-06-30; https://www.sec.gov/Archives/edgar/data/92230/000009223026000099/tfc-20260630.htm)</t>
  </si>
  <si>
    <t xml:space="preserve">0.00, 0.09, 0.19, 0.28, 0.37, 0.46, 0.56</t>
  </si>
  <si>
    <t xml:space="preserve">EST: 0.1% of HQLA per notch (median disclosed 2-notch outflow ~0.1-0.4% of HQLA)</t>
  </si>
  <si>
    <t xml:space="preserve">Q3-26 filing, 30-Sep-2026 (https://s203.q4cdn.com/888565246/files/content_files/STT-3Q26-Earnings-Release-Addendum-vFinal.pdf)</t>
  </si>
  <si>
    <t xml:space="preserve">Q3-26 filing, 30-Sep-2026, standardized (https://s203.q4cdn.com/888565246/files/content_files/STT-3Q26-Earnings-Release-Addendum-vFinal.pdf)</t>
  </si>
  <si>
    <t xml:space="preserve">Q2-26 filing (https://s203.q4cdn.com/888565246/files/doc_financials/2026/q2/STT-2Q26-Earnings-Release-Addendum-vFinal.pdf): CET1 requirement incl. buffers (MDA hurdle)</t>
  </si>
  <si>
    <t xml:space="preserve">Q2-26 filing (https://s203.q4cdn.com/888565246/files/doc_financials/2026/q2/STT-2Q26-Earnings-Release-Addendum-vFinal.pdf): quarterly PPNR</t>
  </si>
  <si>
    <t xml:space="preserve">Q2-26 filing (https://s203.q4cdn.com/888565246/files/doc_financials/2026/q2/STT-2Q26-Earnings-Release-Addendum-vFinal.pdf): AFS fair value</t>
  </si>
  <si>
    <t xml:space="preserve">Q2-26 filing (https://s203.q4cdn.com/888565246/files/doc_financials/2026/q2/STT-2Q26-Earnings-Release-Addendum-vFinal.pdf): AFS unrealized (losses only; equity gains excluded)</t>
  </si>
  <si>
    <t xml:space="preserve">Q2-26 filing (https://s203.q4cdn.com/888565246/files/doc_financials/2026/q2/STT-2Q26-Earnings-Release-Addendum-vFinal.pdf): HTM amortized cost</t>
  </si>
  <si>
    <t xml:space="preserve">Q2-26 filing (https://s203.q4cdn.com/888565246/files/doc_financials/2026/q2/STT-2Q26-Earnings-Release-Addendum-vFinal.pdf): HTM / amortised-cost unrealized loss</t>
  </si>
  <si>
    <t xml:space="preserve">Liquidity disclosure (2026-03-31 (Q1 avg); https://s203.q4cdn.com/888565246/files/doc_downloads/Liqudity_Coverage/2026/1Q26-STT-LCR-Disclosure-v-F.pdf)</t>
  </si>
  <si>
    <t xml:space="preserve">Liquidity disclosure (2026-06-30; https://www.sec.gov/Archives/edgar/data/0000093751/000009375126000387/a2q26earningspressrelease.htm)</t>
  </si>
  <si>
    <t xml:space="preserve">Liquidity disclosure (2026-06-30; https://data.sec.gov/api/xbrl/companyfacts/CIK0000093751.json)</t>
  </si>
  <si>
    <t xml:space="preserve">Liquidity disclosure (2025-12-31 (Q4 avg); https://s203.q4cdn.com/888565246/files/doc_financials/2025/q4/STT-2025-12-31-10-K-final-with-exhibits.pdf)</t>
  </si>
  <si>
    <t xml:space="preserve">0.00, 0.33, 0.66, 0.99, 1.32, 1.65, 1.65</t>
  </si>
  <si>
    <t xml:space="preserve">Q3-26 filing, 30-Sep-2026 (https://www.bny.com/content/dam/bnymellon/documents/pdf/investor-relations/earnings/financial-supplement-3q-2026.pdf)</t>
  </si>
  <si>
    <t xml:space="preserve">Q3-26 filing, 30-Sep-2026, standardized (https://www.bny.com/content/dam/bnymellon/documents/pdf/investor-relations/earnings/financial-supplement-3q-2026.pdf)</t>
  </si>
  <si>
    <t xml:space="preserve">BNY 10-Q 2Q26 (https://www.bny.com/content/dam/bnymellon/documents/pdf/investor-relations/form-10-q-2q26.pdf) minimum incl. buffers 8.5%</t>
  </si>
  <si>
    <t xml:space="preserve">BNY 10-Q 2Q26 (https://www.bny.com/content/dam/bnymellon/documents/pdf/investor-relations/form-10-q-2q26.pdf) Q2 revenue 5,698 - nonint. exp. 3,439</t>
  </si>
  <si>
    <t xml:space="preserve">BNY 10-Q 2Q26 (https://www.bny.com/content/dam/bnymellon/documents/pdf/investor-relations/form-10-q-2q26.pdf) AFS FV</t>
  </si>
  <si>
    <t xml:space="preserve">BNY 10-Q 2Q26 (https://www.bny.com/content/dam/bnymellon/documents/pdf/investor-relations/form-10-q-2q26.pdf) AFS pre-tax unrealized loss net of hedges</t>
  </si>
  <si>
    <t xml:space="preserve">BNY 10-Q 2Q26 (https://www.bny.com/content/dam/bnymellon/documents/pdf/investor-relations/form-10-q-2q26.pdf) HTM FV 45.3 + UL 2.939</t>
  </si>
  <si>
    <t xml:space="preserve">BNY 10-Q 2Q26 (https://www.bny.com/content/dam/bnymellon/documents/pdf/investor-relations/form-10-q-2q26.pdf) HTM pre-tax unrealized loss</t>
  </si>
  <si>
    <t xml:space="preserve">FFIEC Call Report 30-Jun-2026 RC-C Memo 10; BCI</t>
  </si>
  <si>
    <t xml:space="preserve">FFIEC Call Report 30-Jun-2026 RC-C Memo 10; BCI unused</t>
  </si>
  <si>
    <t xml:space="preserve">FFIEC Call Report 30-Jun-2026 RC-C Memo 10; PE funds</t>
  </si>
  <si>
    <t xml:space="preserve">FFIEC Call Report 30-Jun-2026 RC-C Memo 10; PE funds unused</t>
  </si>
  <si>
    <t xml:space="preserve">not disclosed</t>
  </si>
  <si>
    <t xml:space="preserve">BNY 10-Q margin loans</t>
  </si>
  <si>
    <t xml:space="preserve">Liquidity disclosure (2026-06-30 (Q2 avg); https://www.sec.gov/Archives/edgar/data/1390777/000139077726000086/bk-20260630.htm)</t>
  </si>
  <si>
    <t xml:space="preserve">Liquidity disclosure (2026-06-30; https://data.sec.gov/api/xbrl/companyfacts/CIK0001390777.json)</t>
  </si>
  <si>
    <t xml:space="preserve">Liquidity disclosure (2026-06-30; https://www.sec.gov/Archives/edgar/data/1390777/000139077726000086/bk-20260630.htm)</t>
  </si>
  <si>
    <t xml:space="preserve">0.00, 0.02, 0.04, 0.06, 0.08, 0.10, 0.10</t>
  </si>
  <si>
    <t xml:space="preserve">Q2-26 filing (https://www.sec.gov/Archives/edgar/data/798941/000079894126000031/fcnca-20260630.htm)</t>
  </si>
  <si>
    <t xml:space="preserve">Q2-26 filing (https://www.sec.gov/Archives/edgar/data/798941/000079894126000031/fcnca-20260630.htm): CET1 requirement incl. buffers (MDA hurdle)</t>
  </si>
  <si>
    <t xml:space="preserve">Q2-26 filing (https://www.sec.gov/Archives/edgar/data/798941/000079894126000031/fcnca-20260630.htm): quarterly PPNR</t>
  </si>
  <si>
    <t xml:space="preserve">Q2-26 filing (https://www.sec.gov/Archives/edgar/data/798941/000079894126000031/fcnca-20260630.htm): AFS fair value</t>
  </si>
  <si>
    <t xml:space="preserve">Q2-26 filing (https://www.sec.gov/Archives/edgar/data/798941/000079894126000031/fcnca-20260630.htm): AFS unrealized (losses only; equity gains excluded)</t>
  </si>
  <si>
    <t xml:space="preserve">Q2-26 filing (https://www.sec.gov/Archives/edgar/data/798941/000079894126000031/fcnca-20260630.htm): HTM amortized cost</t>
  </si>
  <si>
    <t xml:space="preserve">Q2-26 filing (https://www.sec.gov/Archives/edgar/data/798941/000079894126000031/fcnca-20260630.htm): HTM / amortised-cost unrealized loss</t>
  </si>
  <si>
    <t xml:space="preserve">Liquidity disclosure (2026-06-30; https://www.sec.gov/Archives/edgar/data/798941/000079894126000031/fcnca-20260630.htm)</t>
  </si>
  <si>
    <t xml:space="preserve">0.00, 0.06, 0.12, 0.18, 0.24, 0.30, 0.35</t>
  </si>
  <si>
    <t xml:space="preserve">Q3-26 filing, 30-Sep-2026 (https://www.sec.gov/Archives/edgar/data/0000759944/000075994426000206/q326financialsupplement.htm)</t>
  </si>
  <si>
    <t xml:space="preserve">Q3-26 filing, 30-Sep-2026, standardized (https://www.sec.gov/Archives/edgar/data/0000759944/000075994426000206/q326financialsupplement.htm)</t>
  </si>
  <si>
    <t xml:space="preserve">Q2-26 filing (https://www.sec.gov/Archives/edgar/data/759944/000075994426000148/cfg-20260630.htm): CET1 requirement incl. buffers (MDA hurdle)</t>
  </si>
  <si>
    <t xml:space="preserve">Q2-26 filing (https://www.sec.gov/Archives/edgar/data/759944/000075994426000148/cfg-20260630.htm): quarterly PPNR</t>
  </si>
  <si>
    <t xml:space="preserve">Q2-26 filing (https://www.sec.gov/Archives/edgar/data/759944/000075994426000148/cfg-20260630.htm): AFS fair value</t>
  </si>
  <si>
    <t xml:space="preserve">Q2-26 filing (https://www.sec.gov/Archives/edgar/data/759944/000075994426000148/cfg-20260630.htm): AFS unrealized (losses only; equity gains excluded)</t>
  </si>
  <si>
    <t xml:space="preserve">Q2-26 filing (https://www.sec.gov/Archives/edgar/data/759944/000075994426000148/cfg-20260630.htm): HTM amortized cost</t>
  </si>
  <si>
    <t xml:space="preserve">Q2-26 filing (https://www.sec.gov/Archives/edgar/data/759944/000075994426000148/cfg-20260630.htm): HTM / amortised-cost unrealized loss</t>
  </si>
  <si>
    <t xml:space="preserve">EST proxy: CFG 10-Q: unencumbered HQ liquid securities 40.2 + FRB cash 11.1</t>
  </si>
  <si>
    <t xml:space="preserve">Liquidity disclosure (2026-06-30; https://www.sec.gov/Archives/edgar/data/759944/000075994426000148/cfg-20260630.htm)</t>
  </si>
  <si>
    <t xml:space="preserve">Liquidity disclosure (2026-06-30; https://data.sec.gov/api/xbrl/companyfacts/CIK0000759944.json)</t>
  </si>
  <si>
    <t xml:space="preserve">0.00, 0.05, 0.10, 0.15, 0.21, 0.26, 0.31</t>
  </si>
  <si>
    <t xml:space="preserve">Q2-26 filing (https://home.barclays/content/dam/home-barclays/documents/investor-relations/ResultAnnouncements/H12026Results/Q226-BPLC-Results-RA.pdf)</t>
  </si>
  <si>
    <t xml:space="preserve">Q2-26 filing (https://home.barclays/content/dam/home-barclays/documents/investor-relations/ResultAnnouncements/H12026Results/Q226-BPLC-Results-RA.pdf): CET1 requirement incl. buffers (MDA hurdle)</t>
  </si>
  <si>
    <t xml:space="preserve">Q2-26 filing (https://home.barclays/content/dam/home-barclays/documents/investor-relations/ResultAnnouncements/H12026Results/Q226-BPLC-Results-RA.pdf): quarterly PPNR</t>
  </si>
  <si>
    <t xml:space="preserve">EST: 50% of UST+agency+other-sovereign holdings assumed FVOCI</t>
  </si>
  <si>
    <t xml:space="preserve">EST: n.d. in sources read -&gt; 0 (rate module understated for this bank)</t>
  </si>
  <si>
    <t xml:space="preserve">EST: 50% of UST+agency+other-sovereign holdings assumed amortised cost</t>
  </si>
  <si>
    <t xml:space="preserve">EST: net AFS/FVOCI duration after macro hedges, non-US (IRRBB-managed; judgment)</t>
  </si>
  <si>
    <t xml:space="preserve">Bank disclosure of private-credit / fund lending, converted to USD; back-leverage drawn</t>
  </si>
  <si>
    <t xml:space="preserve">Bank disclosure of private-credit / fund lending, converted to USD; back-leverage undrawn</t>
  </si>
  <si>
    <t xml:space="preserve">Bank disclosure of private-credit / fund lending, converted to USD; fund finance drawn</t>
  </si>
  <si>
    <t xml:space="preserve">Bank disclosure of private-credit / fund lending, converted to USD; fund finance undrawn</t>
  </si>
  <si>
    <t xml:space="preserve">Barclays AR2025: lending to unconsolidated SEs GBP40.0bn on-B/S + GBP24.9bn undrawn; minus PC base already in back-leverage/fund-finance (residual)</t>
  </si>
  <si>
    <t xml:space="preserve">Barclays AR2025: lending to unconsolidated SEs GBP40.0bn on-B/S + GBP24.9bn undrawn; undrawn residual</t>
  </si>
  <si>
    <t xml:space="preserve">SRT CET1 relief (bp); 0 = not disclosed</t>
  </si>
  <si>
    <t xml:space="preserve">Barclays AR2025: secured financing to SEs (mainly hedge funds) GBP86.1bn</t>
  </si>
  <si>
    <t xml:space="preserve">Filing (holdco; https://filings.xbrl.org/213800LBQA1Y9L22JB70/2025-12-31/ESEF/GB/0/213800LBQA1Y9L22JB70-2025-12-31/reports/213800LBQA1Y9)</t>
  </si>
  <si>
    <t xml:space="preserve">Liquidity disclosure (2026-06-30 (12m avg); https://home.barclays/content/dam/home-barclays/documents/investor-relations/ResultAnnouncements/H12026Results/Q226-BPLC)</t>
  </si>
  <si>
    <t xml:space="preserve">EST: 45% of deposits (median wholesale share of non-US peers)</t>
  </si>
  <si>
    <t xml:space="preserve">Liquidity disclosure (2026-06-30; https://home.barclays/content/dam/home-barclays/documents/investor-relations/ResultAnnouncements/H12026Results/Q226-BPLC)</t>
  </si>
  <si>
    <t xml:space="preserve">Liquidity disclosure (2025-12-31; https://filings.xbrl.org/213800LBQA1Y9L22JB70/2025-12-31/ESEF/GB/0/213800LBQA1Y9L22JB70-2025-12-31/reports/213800LBQA1Y9)</t>
  </si>
  <si>
    <t xml:space="preserve">0.00, 1.33, 3.98, 5.97, 8.95, 11.93, 14.92</t>
  </si>
  <si>
    <t xml:space="preserve">OFR BSRM Basel IFS assets 2024-12-31 EUR x 1.0389</t>
  </si>
  <si>
    <t xml:space="preserve">OFR BSRM Basel IFS liabilities 2024-12-31 EUR x 1.0389</t>
  </si>
  <si>
    <t xml:space="preserve">Q2-26 filing (https://www.hsbc.com/-/files/hsbc/investors/hsbc-results/2026/interim/pdfs/hsbc-holdings-plc/260804-hsbc-holdings-plc-interim-report-2026.pdf)</t>
  </si>
  <si>
    <t xml:space="preserve">Q2-26 filing (https://www.hsbc.com/-/files/hsbc/investors/hsbc-results/2026/interim/pdfs/hsbc-holdings-plc/260804-hsbc-holdings-plc-interim-report-2026.pdf): CET1 requirement incl. buffers (MDA hurdle)</t>
  </si>
  <si>
    <t xml:space="preserve">Q2-26 filing (https://www.hsbc.com/-/files/hsbc/investors/hsbc-results/2026/interim/pdfs/hsbc-holdings-plc/260804-hsbc-holdings-plc-interim-report-2026.pdf): quarterly PPNR</t>
  </si>
  <si>
    <t xml:space="preserve">Q2-26 filing (https://www.hsbc.com/-/files/hsbc/investors/hsbc-results/2026/interim/pdfs/hsbc-holdings-plc/260804-hsbc-holdings-plc-interim-report-2026.pdf): AFS unrealized (losses only; equity gains excluded)</t>
  </si>
  <si>
    <t xml:space="preserve">Q2-26 filing (https://www.hsbc.com/-/files/hsbc/investors/hsbc-results/2026/interim/pdfs/hsbc-holdings-plc/260804-hsbc-holdings-plc-interim-report-2026.pdf): HTM / amortised-cost unrealized loss</t>
  </si>
  <si>
    <t xml:space="preserve">HSBC AR2025: securitisation positions held $34.4bn + third-party funds $28.3bn; minus PC base already in back-leverage/fund-finance (residual)</t>
  </si>
  <si>
    <t xml:space="preserve">HSBC AR2025: securitisation positions held $34.4bn + third-party funds $28.3bn; undrawn residual</t>
  </si>
  <si>
    <t xml:space="preserve">Filing (holdco; https://www.hsbc.com/-/files/hsbc/investors/hsbc-results/2026/interim/pdfs/hsbc-holdings-plc/260804-hsbc-holdings-plc-in)</t>
  </si>
  <si>
    <t xml:space="preserve">Liquidity disclosure (2026-06-30 (12m avg); https://www.hsbc.com/-/files/hsbc/investors/hsbc-results/2026/interim/pdfs/hsbc-holdings-plc/260804-hsbc-holdings-plc-in)</t>
  </si>
  <si>
    <t xml:space="preserve">EST: Proxy: LCR unweighted operational + non-operational wholesale deposits</t>
  </si>
  <si>
    <t xml:space="preserve">Liquidity disclosure (2026-06-30; https://www.hsbc.com/-/files/hsbc/investors/hsbc-results/2026/interim/pdfs/hsbc-holdings-plc/260804-hsbc-holdings-plc-in)</t>
  </si>
  <si>
    <t xml:space="preserve">EST: n.d. -&gt; 0 (understates; MMF CP channel modelled separately)</t>
  </si>
  <si>
    <t xml:space="preserve">0.00, 0.06, 0.12, 0.18, 0.27, 0.36, 0.45</t>
  </si>
  <si>
    <t xml:space="preserve">Q2-26 filing (https://investor-relations.db.com/files/documents/quarterly-results/2026/Q2-2026-Fixed-Income-Call.pdf)</t>
  </si>
  <si>
    <t xml:space="preserve">Q2-26 filing (https://investor-relations.db.com/files/documents/quarterly-results/2026/Q2-2026-Fixed-Income-Call.pdf): CET1 requirement incl. buffers (MDA hurdle)</t>
  </si>
  <si>
    <t xml:space="preserve">Q2-26 filing (https://investor-relations.db.com/files/documents/quarterly-results/2026/Q2-2026-Fixed-Income-Call.pdf): quarterly PPNR</t>
  </si>
  <si>
    <t xml:space="preserve">DB AR2025: third-party funding entities EUR55.9bn on-B/S + EUR5.5bn off-B/S; minus PC base already in back-leverage/fund-finance (residual)</t>
  </si>
  <si>
    <t xml:space="preserve">DB AR2025: third-party funding entities EUR55.9bn on-B/S + EUR5.5bn off-B/S; undrawn residual</t>
  </si>
  <si>
    <t xml:space="preserve">Filing (holdco; https://investor-relations.db.com/files/documents/regulatory-reporting/2026/Pillar-3-Report-2Q2026.pdf)</t>
  </si>
  <si>
    <t xml:space="preserve">Liquidity disclosure (2026-06-30 (12m avg); https://investor-relations.db.com/files/documents/regulatory-reporting/2026/Pillar-3-Report-2Q2026.pdf)</t>
  </si>
  <si>
    <t xml:space="preserve">Liquidity disclosure (2026-06-30; https://investor-relations.db.com/files/documents/regulatory-reporting/2026/Pillar-3-Report-2Q2026.pdf)</t>
  </si>
  <si>
    <t xml:space="preserve">Liquidity disclosure (2026-06-30; https://investor-relations.db.com/files/documents/quarterly-results/2026/FDS-Q2-2026-29072026.pdf)</t>
  </si>
  <si>
    <t xml:space="preserve">Liquidity disclosure (2025-12-31; https://investor-relations.db.com/files/documents/other-presentations-and-events/2025/Annual-Report-2025.pdf?language_id)</t>
  </si>
  <si>
    <t xml:space="preserve">0.00, 0.18, 0.24, 0.36, 0.54, 0.73, 0.91</t>
  </si>
  <si>
    <t xml:space="preserve">Q2-26 filing (https://invest.bnpparibas/document/2q26-appendices)</t>
  </si>
  <si>
    <t xml:space="preserve">Q2-26 filing (https://invest.bnpparibas/document/2q26-appendices): CET1 requirement incl. buffers (MDA hurdle)</t>
  </si>
  <si>
    <t xml:space="preserve">Q2-26 filing (https://invest.bnpparibas/document/2q26-appendices): quarterly PPNR</t>
  </si>
  <si>
    <t xml:space="preserve">BNP URD2025: corporate-loan securitisation positions held EUR30.8bn; undrawn 30% EST; minus PC base already in back-leverage/fund-finance (residual)</t>
  </si>
  <si>
    <t xml:space="preserve">BNP URD2025: corporate-loan securitisation positions held EUR30.8bn; undrawn 30% EST; undrawn residual</t>
  </si>
  <si>
    <t xml:space="preserve">Filing (holdco; https://invest.bnpparibas/en/document/2nd-amendment-to-the-2025-universal-registration-document-and-annual-financial-rep)</t>
  </si>
  <si>
    <t xml:space="preserve">Liquidity disclosure (2026-06-30 (EoP); https://invest.bnpparibas/en/document/2q26-pr)</t>
  </si>
  <si>
    <t xml:space="preserve">Liquidity disclosure (2026-06-30; https://invest.bnpparibas/en/document/2nd-amendment-to-the-2025-universal-registration-document-and-annual-financial-rep)</t>
  </si>
  <si>
    <t xml:space="preserve">EST: Proxy: BNP LIQ1 unsecured debt (30-day) EUR24.9bn</t>
  </si>
  <si>
    <t xml:space="preserve">Liquidity disclosure (2026-06-30; https://invest.bnpparibas/en/document/2q26-pr)</t>
  </si>
  <si>
    <t xml:space="preserve">0.00, 0.49, 0.98, 1.47, 1.96, 2.45, 2.95</t>
  </si>
  <si>
    <t xml:space="preserve">Q2-26 filing (https://www.globenewswire.com/news-release/2026/07/30/3335727/0/en/societe-generale-second-quarter-and-first-half-2026-results.html)</t>
  </si>
  <si>
    <t xml:space="preserve">Q2-26 filing (https://www.globenewswire.com/news-release/2026/07/30/3335727/0/en/societe-generale-second-quarter-and-first-half-2026-results.html): CET1 requirement incl. buffers (MDA hurdle)</t>
  </si>
  <si>
    <t xml:space="preserve">Q2-26 filing (https://www.globenewswire.com/news-release/2026/07/30/3335727/0/en/societe-generale-second-quarter-and-first-half-2026-results.html): quarterly PPNR</t>
  </si>
  <si>
    <t xml:space="preserve">Filing (holdco; https://www.eba.europa.eu/assets/TE2025/Full_database/883401/tr_cre.csv)</t>
  </si>
  <si>
    <t xml:space="preserve">EST proxy: SG URD Dec-25 liquidity reserve: CB deposits 121 + HQLA securities 142 (EUR)</t>
  </si>
  <si>
    <t xml:space="preserve">Liquidity disclosure (2026-06-30 (EoP); https://www.globenewswire.com/news-release/2026/07/30/3335727/0/en/societe-generale-second-quarter-and-first-half-2026-r)</t>
  </si>
  <si>
    <t xml:space="preserve">Liquidity disclosure (2026-06-30; https://www.globenewswire.com/news-release/2026/07/30/3335727/0/en/societe-generale-second-quarter-and-first-half-2026-r)</t>
  </si>
  <si>
    <t xml:space="preserve">Liquidity disclosure (2025-12-31; https://filings.xbrl.org/O2RNE8IBXP4R0TD8PU41/2025-12-31/ESEF/FR/0/O2RNE8IBXP4R0TD8PU41-2025-12-31-1-FR/reports/O2RNE8IB)</t>
  </si>
  <si>
    <t xml:space="preserve">0.00, 0.30, 0.60, 0.90, 1.20, 1.50, 1.80</t>
  </si>
  <si>
    <t xml:space="preserve">Q2-26 filing (https://www.sec.gov/Archives/edgar/data/0001610520/000161052026000082/ubs-20260630.htm)</t>
  </si>
  <si>
    <t xml:space="preserve">Q2-26 filing (https://www.sec.gov/Archives/edgar/data/0001610520/000161052026000082/ubs-20260630.htm): CET1 requirement incl. buffers (MDA hurdle)</t>
  </si>
  <si>
    <t xml:space="preserve">Q2-26 filing (https://www.sec.gov/Archives/edgar/data/0001610520/000161052026000082/ubs-20260630.htm): quarterly PPNR</t>
  </si>
  <si>
    <t xml:space="preserve">EST: not disclosed (UBS 6-K / Jefferies 10-Q give no lending-to-private-credit figure) -&gt; BDC facility rows only</t>
  </si>
  <si>
    <t xml:space="preserve">Filing (holdco; https://www.sec.gov/Archives/edgar/data/0001610520/000161052026000082/ubs-20260630.htm)</t>
  </si>
  <si>
    <t xml:space="preserve">Liquidity disclosure (2026-06-30 (Q2 avg); https://www.sec.gov/Archives/edgar/data/0001610520/000161052026000082/ubs-20260630.htm)</t>
  </si>
  <si>
    <t xml:space="preserve">Liquidity disclosure (2026-06-30; https://www.sec.gov/Archives/edgar/data/0001610520/000161052026000082/ubs-20260630.htm)</t>
  </si>
  <si>
    <t xml:space="preserve">0.00, 0.34, 0.68, 1.03, 1.37, 1.71, 2.05</t>
  </si>
  <si>
    <t xml:space="preserve">Q2-26 filing (https://www.mufg.jp/dam/pressrelease/2026/pdf/news-20260814-001_en.pdf)</t>
  </si>
  <si>
    <t xml:space="preserve">Q2-26 filing (https://www.mufg.jp/dam/pressrelease/2026/pdf/news-20260814-001_en.pdf): CET1 requirement incl. buffers (MDA hurdle)</t>
  </si>
  <si>
    <t xml:space="preserve">Q2-26 filing (https://www.mufg.jp/dam/pressrelease/2026/pdf/news-20260814-001_en.pdf): quarterly PPNR</t>
  </si>
  <si>
    <t xml:space="preserve">MUFG AFS domestic bonds -287.9 + foreign bonds -179.3 JPY bn</t>
  </si>
  <si>
    <t xml:space="preserve">Q2-26 filing (https://www.mufg.jp/dam/pressrelease/2026/pdf/news-20260814-001_en.pdf): HTM / amortised-cost unrealized loss</t>
  </si>
  <si>
    <t xml:space="preserve">MUFG marketable strategic equity JPY 4,250bn</t>
  </si>
  <si>
    <t xml:space="preserve">EST: MUFG 20-F: investment-fund VIEs MEL JPY12.9tn (on-B/S JPY8.6tn), split 50/50 back-leverage vs fund finance (EST split)</t>
  </si>
  <si>
    <t xml:space="preserve">Filing (holdco; https://www.mufg.jp/dam/ir/fs/2025/pdf/highlights2603_en.pdf)</t>
  </si>
  <si>
    <t xml:space="preserve">Liquidity disclosure (2026-06-30 (Q1 FY26 avg); https://www.mufg.jp/dam/ir/report/basel3/2027-1q/pdf/mufg2606_08_en.pdf)</t>
  </si>
  <si>
    <t xml:space="preserve">Liquidity disclosure (2026-03-31; https://data.sec.gov/api/xbrl/companyfacts/CIK0000067088.json)</t>
  </si>
  <si>
    <t xml:space="preserve">Liquidity disclosure (2026-03-31; https://www.sec.gov/Archives/edgar/data/67088/000162828026047095/R3.htm)</t>
  </si>
  <si>
    <t xml:space="preserve">0.00, 0.20, 0.41, 0.61, 0.82, 0.82, 0.82</t>
  </si>
  <si>
    <t xml:space="preserve">OFR BSRM Basel IFS assets 2025-03-31 EUR x 1.0389</t>
  </si>
  <si>
    <t xml:space="preserve">OFR BSRM Basel IFS liabilities 2025-03-31 EUR x 1.0389</t>
  </si>
  <si>
    <t xml:space="preserve">Q2-26 filing (https://www.smfg.co.jp/english/investor/library/basel_3/2027/2027_fgq1_e_km101.pdf)</t>
  </si>
  <si>
    <t xml:space="preserve">Q2-26 filing (https://www.smfg.co.jp/english/investor/library/basel_3/2027/2027_fgq1_e_km101.pdf): CET1 requirement incl. buffers (MDA hurdle)</t>
  </si>
  <si>
    <t xml:space="preserve">Q2-26 filing (https://www.smfg.co.jp/english/investor/library/basel_3/2027/2027_fgq1_e_km101.pdf): quarterly PPNR</t>
  </si>
  <si>
    <t xml:space="preserve">SMFG AFS bonds -319.1 JPY bn</t>
  </si>
  <si>
    <t xml:space="preserve">Q2-26 filing (https://www.smfg.co.jp/english/investor/library/basel_3/2027/2027_fgq1_e_km101.pdf): HTM / amortised-cost unrealized loss</t>
  </si>
  <si>
    <t xml:space="preserve">SMFG marketable strategic equity JPY 4,014bn</t>
  </si>
  <si>
    <t xml:space="preserve">EST: SMFG 20-F: funds JPY1.9tn + third-party SEs JPY1.5tn MEL, split 50/50, 80% drawn (EST split)</t>
  </si>
  <si>
    <t xml:space="preserve">Filing (holdco; https://www.smfg.co.jp/english/investor/library/annual/2026_pdf/fy2026_form20f_e_00.pdf)</t>
  </si>
  <si>
    <t xml:space="preserve">Liquidity disclosure (2026-06-30 (Q1 FY26 avg); https://www.smfg.co.jp/english/investor/library/basel_3/2027/2027_fgq1_e_km102.pdf)</t>
  </si>
  <si>
    <t xml:space="preserve">Liquidity disclosure (2026-03-31; https://www.smfg.co.jp/english/investor/library/annual/2026_pdf/fy2026_form20f_e_00.pdf)</t>
  </si>
  <si>
    <t xml:space="preserve">0.00, 0.60, 1.19, 1.79, 2.39, 2.99, 3.58</t>
  </si>
  <si>
    <t xml:space="preserve">Q2-26 filing (https://www.sec.gov/Archives/edgar/data/1335730/000119312526350179/d123384d6k.htm)</t>
  </si>
  <si>
    <t xml:space="preserve">Q2-26 filing (https://www.sec.gov/Archives/edgar/data/1335730/000119312526350179/d123384d6k.htm): CET1 requirement incl. buffers (MDA hurdle)</t>
  </si>
  <si>
    <t xml:space="preserve">Q2-26 filing (https://www.sec.gov/Archives/edgar/data/1335730/000119312526350179/d123384d6k.htm): quarterly PPNR</t>
  </si>
  <si>
    <t xml:space="preserve">Q2-26 filing (https://www.sec.gov/Archives/edgar/data/1335730/000119312526350179/d123384d6k.htm): AFS unrealized (losses only; equity gains excluded)</t>
  </si>
  <si>
    <t xml:space="preserve">Q2-26 filing (https://www.sec.gov/Archives/edgar/data/1335730/000119312526350179/d123384d6k.htm): HTM / amortised-cost unrealized loss</t>
  </si>
  <si>
    <t xml:space="preserve">Mizuho marketable strategic equity JPY 2,990bn</t>
  </si>
  <si>
    <t xml:space="preserve">EST: Bank disclosure of private-credit / fund lending, converted to USD; back-leverage drawn</t>
  </si>
  <si>
    <t xml:space="preserve">EST: Bank disclosure of private-credit / fund lending, converted to USD; back-leverage undrawn</t>
  </si>
  <si>
    <t xml:space="preserve">EST: Bank disclosure of private-credit / fund lending, converted to USD; fund finance drawn</t>
  </si>
  <si>
    <t xml:space="preserve">EST: Bank disclosure of private-credit / fund lending, converted to USD; fund finance undrawn</t>
  </si>
  <si>
    <t xml:space="preserve">Filing (not disclosed; https://www.mizuhogroup.com/investors (Summary of Financial Results for FY2025, 15-May-2026))</t>
  </si>
  <si>
    <t xml:space="preserve">Liquidity disclosure (2026-06-30 (Q1 FY26 avg); https://library.mizuhogroup.com/asset/aa29d9de-1959-4a1d-acc4-4a0101980cd5/fg-investors-liquidity_data2703_fg_1q02.pdf)</t>
  </si>
  <si>
    <t xml:space="preserve">Liquidity disclosure (2026-06-30 (Q1 FY26 avg); https://library.mizuhogroup.com/asset/b35a526c-2179-4b8a-9ddf-3003ee04c54f/fg-investors-liquidity_data2703_fg_1q01.pdf)</t>
  </si>
  <si>
    <t xml:space="preserve">Liquidity disclosure (2026-03-31; https://www.sec.gov/Archives/edgar/data/1335730/000119312526283791/R2.htm)</t>
  </si>
  <si>
    <t xml:space="preserve">Liquidity disclosure (2026-03-31; https://data.sec.gov/api/xbrl/companyfacts/CIK0001335730.json)</t>
  </si>
  <si>
    <t xml:space="preserve">0.00, 0.58, 1.17, 1.75, 2.34, 2.34, 2.34</t>
  </si>
  <si>
    <t xml:space="preserve">Q2-26 filing (https://www.rbc.com/investor-relations/_assets-custom/pdf/2026q3pillar3.pdf)</t>
  </si>
  <si>
    <t xml:space="preserve">Q2-26 filing (https://www.rbc.com/investor-relations/_assets-custom/pdf/2026q3pillar3.pdf): CET1 requirement incl. buffers (MDA hurdle)</t>
  </si>
  <si>
    <t xml:space="preserve">Q2-26 filing (https://www.rbc.com/investor-relations/_assets-custom/pdf/2026q3pillar3.pdf): quarterly PPNR</t>
  </si>
  <si>
    <t xml:space="preserve">RBC FVOCI debt only ~-0.32 CAD bn (derived)</t>
  </si>
  <si>
    <t xml:space="preserve">Q2-26 filing (https://www.rbc.com/investor-relations/_assets-custom/pdf/2026q3pillar3.pdf): HTM / amortised-cost unrealized loss</t>
  </si>
  <si>
    <t xml:space="preserve">RBC loan-SPV C$14bn + CLO warehouse C$1.3bn</t>
  </si>
  <si>
    <t xml:space="preserve">EST: n.d.</t>
  </si>
  <si>
    <t xml:space="preserve">EST: n.d. (RBC private capital funds 82% sub-lines; amount n.d.)</t>
  </si>
  <si>
    <t xml:space="preserve">RBC: third-party securitisation C$34bn; minus PC base already in back-leverage/fund-finance (residual)</t>
  </si>
  <si>
    <t xml:space="preserve">RBC: third-party securitisation C$34bn; undrawn residual</t>
  </si>
  <si>
    <t xml:space="preserve">Filing (holdco; https://www.rbc.com/investor-relations/_assets-custom/pdf/ar_2025_e.pdf)</t>
  </si>
  <si>
    <t xml:space="preserve">Liquidity disclosure (2026-07-31 (Q3 FY26 avg); https://www.rbc.com/investor-relations/_assets-custom/pdf/2026q3_report.pdf)</t>
  </si>
  <si>
    <t xml:space="preserve">Liquidity disclosure (2026-07-31; https://www.rbc.com/investor-relations/_assets-custom/pdf/2026q3_report.pdf)</t>
  </si>
  <si>
    <t xml:space="preserve">0.00, 0.30, 0.45, 0.71, 1.07, 1.43, 1.78</t>
  </si>
  <si>
    <t xml:space="preserve">Liquidity disclosure</t>
  </si>
  <si>
    <t xml:space="preserve">OFR BSRM Basel IFS assets 2024-10-31 EUR x 1.0389</t>
  </si>
  <si>
    <t xml:space="preserve">OFR BSRM Basel IFS liabilities 2024-10-31 EUR x 1.0389</t>
  </si>
  <si>
    <t xml:space="preserve">Jefferies Q3 FY26 release (https://www.sec.gov/Archives/edgar/data/96223/000009622326000028/jfgpressrelease8312026.htm) tangible shareholders equity 31-Aug-2026 (used as CET1 proxy)</t>
  </si>
  <si>
    <t xml:space="preserve">EST: pseudo-RWA so that 4.5% minimum = 50% TCE loss (Jefferies has no CET1 requirement)</t>
  </si>
  <si>
    <t xml:space="preserve">EST: pseudo MDA hurdle = 25% TCE loss (BBB issuer: ~2 notches from HY)</t>
  </si>
  <si>
    <t xml:space="preserve">Jefferies Q3 FY26 release (https://www.sec.gov/Archives/edgar/data/96223/000009622326000028/jfgpressrelease8312026.htm) fiscal Q3 pre-tax earnings</t>
  </si>
  <si>
    <t xml:space="preserve">Filing (not disclosed; https://www.sec.gov/Archives/edgar/data/96223/000009622326000025/jef-20260531.htm)</t>
  </si>
  <si>
    <t xml:space="preserve">Liquidity disclosure (2026-05-31; https://www.sec.gov/Archives/edgar/data/96223/000009622326000025/jef-20260531.htm)</t>
  </si>
  <si>
    <t xml:space="preserve">EST: n/a: Jefferies liquidity pool used as HQLA</t>
  </si>
  <si>
    <t xml:space="preserve">no deposits</t>
  </si>
  <si>
    <t xml:space="preserve">Liquidity disclosure (2026-05-31; https://data.sec.gov/api/xbrl/companyfacts/CIK0000096223.json)</t>
  </si>
  <si>
    <t xml:space="preserve">0.00, 0.45, 0.90, 0.90, 0.90, 0.90, 0.90</t>
  </si>
  <si>
    <t xml:space="preserve">EST: 15% of total assets (bank-level call report / Jefferies 7.6x leverage)</t>
  </si>
  <si>
    <t xml:space="preserve">EST: 15% of total assets</t>
  </si>
  <si>
    <t xml:space="preserve">Method and equations</t>
  </si>
  <si>
    <t xml:space="preserve">Credit pool (CreditEngine)</t>
  </si>
  <si>
    <t xml:space="preserve">Underlying loans: Fitch private-credit rating mix (B+ 7%, B 24%, B- 44%, CCC+ 9%, CCC 16%). 3-yr PD by rating from S&amp;P 1981-2024 cumulative table, plus a hidden-default add-on (Lincoln bad-PIK 6.2%). Conditional PD = N[(N^-1(PD) - sqrt(rho) z)/sqrt(1-rho)], rho = 0.20; software sub-pool PD x m_sw. Incremental loss = PD(z) x LGD(scenario) - PD(0) x LGD(base) because carrying values already embed base expected loss. Pool value (hold) = 1 - incremental loss - valuation gap - weight x (1 - market-implied mark). Pool value (liquidated) = hold x (1 - fire-sale discount on private-credit loans) - spread MTM - liquidation cost.</t>
  </si>
  <si>
    <t xml:space="preserve">Bank loss on senior advance a (SPV back-leverage, TRS, ABF warehouse): LR = phi x max(0, a - V_liq)/a + (1 - phi) x max(0, a - V_hold)/a, phi = share enforced now. BDC fund-level revolvers: advance = secured debt / assets of that BDC, so they lose only if the whole portfolio falls below the secured debt.</t>
  </si>
  <si>
    <t xml:space="preserve">BDC layer (BDC): market-implied mark = 1 - (1 - P/NAV) x E/A (listed; non-traded use listed average). Loses IG if asset coverage &lt; 1.75x or NAV falls &gt; 20% (FSK, TCPC already HY) -&gt; revolvers 100% drawn. Forced sales = assets x [theta x max(borrowing-base deficiency incl. migration haircut, 150% coverage deficiency) + honoured redemptions x E/A x 0.7] x private-credit universe multiple.</t>
  </si>
  <si>
    <t xml:space="preserve">AI / GPU (AI_Deals)</t>
  </si>
  <si>
    <t xml:space="preserve">PD from lessee rating (S&amp;P 3-yr) conditioned on an AI factor (rho 0.30). GPU loans: collateral(t) = (1 - annual decline)^t, t = 2 yrs; balance(t) = LTV x (1 - share repaid); LGD = max(0, 1 - 0.8 x collateral/balance) x (1 - cash-collateralised share). Data centres: LGD 35-40% + syndication mark-down + quoted marks (Jupiter 89-91). Anthropic $60bn: senior Broadcom-backstopped LGD 10%, junior 70%, plus syndication mark-down on the whole hold. RCFs drawn in stress.</t>
  </si>
  <si>
    <t xml:space="preserve">Other modules</t>
  </si>
  <si>
    <t xml:space="preserve">M2 fund finance: sub lines LP default x 30% LGD; NAV loans (15% of book, LTV 20%) lose only when NAV falls below LTV, tail funds fall 2.5x average. M3 ABF / SE residual: senior warehouses, 80% advance on pools with scenario loss. M4: insurer facilities + FA-backed repo x PD x 40%. M6: holdings x net fraction x fundamental price decline (+ Japanese strategic equities). M7: CRE x loss rate. M8: AFS MTM for banks with AOCI in CET1 (net duration 2.5 US / 1.0 non-US) + (HTM losses + opt-out AFS losses) x share sold. M9: lost SRT relief x RWA. M10: BofA written sub-IG TRS at 80% advance on the generic pool. M11: prime/margin x client default x max(0, 2 x shock - 20% margin).</t>
  </si>
  <si>
    <t xml:space="preserve">Contagion loop (Contagion, 8 rounds)</t>
  </si>
  <si>
    <t xml:space="preserve">Start of round: CET1 and ratio from previous round. Notches = min(3, floor((ratio now - ratio start)/step)) + 1 if below MDA + 2 if below 4.5%. Outflows = contractual downgrade triggers (cumulative by notch) + uninsured deposits x run-off(notches, MDA, minimum) + ST wholesale x non-rollover + prime-MMF CP/CD x non-rollover + non-govt repo x (haircut add-on + inventory non-rollover) + committed lines drawn - flight-to-quality inflow at unaffected banks. Shortfall = outflows - 85% HQLA - backstop share x CB-eligible capacity. Sales = shortfall + capital-driven deleveraging (to MDA + 0.5%, max 25% of saleable assets), allocated pro rata across saleable classes. HTM losses crystallise on (1 - backstop) x outflow/HQLA x 50%.</t>
  </si>
  <si>
    <t xml:space="preserve">Prices: discount_k = min(cap_k, dealer multiplier x lambda_k x total sold_k / 10,000), total sold = banks + non-banks (BDCs, private-credit funds, insurers) + matched-book clients. Re-marks: holdings x net fraction x discount; private-credit pools and ABF pools re-marked at the new prices. Default = CET1 &lt; 0, below 4.5% minimum, or illiquid without backstop; creditor loss = LGD_ib x 35% in-sample x 40% unsecured x network exposure.</t>
  </si>
  <si>
    <t xml:space="preserve">Panic / information contagion (Contagion, system cells CC:CD of each round)</t>
  </si>
  <si>
    <t xml:space="preserve">News_r = news0 + w_cov x BDC asset share below 150% coverage (previous round) + w_notch x G-SIB notches / (3 x # G-SIBs) + w_mda x share of G-SIBs below MDA + w_def x (any failure) + w_fs x private-credit discount (previous round) / 30%. Panic S_r = S0 + (1 - S0) x [logistic((News - theta)/tau) - logistic(-theta/tau)] / [1 - logistic(-theta/tau)], so S = S0 with no news and S -&gt; 1 as news rises. Calibration: Laeven-Valencia 151 crises 1970-2017; Cookson et al. (SVB 2023: Twitter exposure -&gt; 4.3pp larger losses); Azizpour-Giesecke-Schwenkler (contagion drives default clustering); Longin-Solnik (correlations rise in bear markets); LLI 76.23 on 23-Mar-2020.</t>
  </si>
  <si>
    <t xml:space="preserve">Levers: credit factor z - zc x S; spreads ds + ds_pan x S; private-credit marks weight w_mkt + (1 - w_mkt) x S; fund deleveraging theta + (1 - theta) x S; redemptions red_rate + red_pan x S with requests x (1 + req_pan x S); deposit run-off + u_pan_all x S everywhere and + u_pan_weak x S at the n_weak banks with least capital headroom; wholesale / CP / repo pulls + w_pan, cp_pan, pull_pan x S; repo haircuts + dh_pan x S; dealer capacity x (1 + dm_pan x S); insurer sales + ins_pan x S; flight-to-quality recycling x (1 - rec_pan x S). Price discount_k = min(cap_k, dealer multiplier x (1 + dm_pan S) x lambda_k x sold_k / 10,000 + pmax_k x S^gamma).</t>
  </si>
  <si>
    <t xml:space="preserve">Monte Carlo and reverse stress</t>
  </si>
  <si>
    <t xml:space="preserve">Factors z (credit), z_AI = 0.5 z + 0.87 e1, z_liq = 0.6 z + 0.8 e2, rates dy = 1% x e3; all levers mapped from factors (MC_Summary lists the mapping). Fat tails: all four factors share one chi-square mixing variable (multivariate Student-t, nu = 4, unit variance) so extremes arrive together; with probability 10% a crisis regime sets the AI and liquidity loadings to 0.95 and adds 0.20 to S0; mean of z shifted -0.3 to condition on today (private-credit marks already under pressure). Probabilities are for a ~3-year horizon; Fat_Tails converts to 1-year and 3-month assuming a constant hazard. Reverse stress moves z = z_AI = z_liq together with no earnings credit and reports the first G-SIB MDA breach, the systemic point and the first failure, with the generic pool value at each point.</t>
  </si>
  <si>
    <t xml:space="preserve">Calibration sources</t>
  </si>
  <si>
    <t xml:space="preserve">FFIEC Call Reports RC-C Memo 10 and RC-L (30-Jun-2026); Q2-26 10-Qs, Pillar 3 and results releases (capital, liquidity, downgrade triggers, off-balance-sheet notes); OFR Bank Systemic Risk Monitor and MMF Monitor; NY Fed tri-party repo statistics; Gorton-Metrick; CGFS 36; Duarte-Eisenbach; Cont-Schaanning; S&amp;P and Moody's default and transition studies; BDC credit agreements (EX-10); NAIC; GPU price data and CoreWeave / Oracle / Anthropic filings and deal reports; Laeven-Valencia; Cookson et al. (SVB 2023).</t>
  </si>
  <si>
    <t xml:space="preserve">Known limitations</t>
  </si>
  <si>
    <t xml:space="preserve">Single 3-yr horizon, no dynamic balance-sheet management, no PPNR in named scenarios, no core-book (non-NDFI) credit losses except CRE, no derivative counterparty or CCP channel, non-bank sellers are exogenous within the contagion loop, interbank matrix is max-entropy (true bilateral exposures are not public), Japanese / European figures mix reporting dates (Dec-25 to Jul-26).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</si>
</sst>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.00%;\(0.00%\);\-"/>
    <numFmt numFmtId="167" formatCode="#,##0.00;\(#,##0.00\);\-"/>
    <numFmt numFmtId="168" formatCode="0;\(0\);\-"/>
    <numFmt numFmtId="169" formatCode="#,##0.00;\(#,##0.00\);\-"/>
    <numFmt numFmtId="170" formatCode="0.0%;\(0.0%\);\-"/>
    <numFmt numFmtId="171" formatCode="0.0%;\(0.0%\);\-"/>
    <numFmt numFmtId="172" formatCode="0.00%;\(0.00%\);\-"/>
    <numFmt numFmtId="173" formatCode="0%"/>
    <numFmt numFmtId="174" formatCode="0.000;\(0.000\);\-"/>
    <numFmt numFmtId="175" formatCode="#,##0.0;\(#,##0.0\);\-"/>
    <numFmt numFmtId="176" formatCode="0;\(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CE4D6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C0504D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CET1 ratio: now, after standalone, after contagion vs requirement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Dashboard!D25</c:f>
              <c:strCache>
                <c:ptCount val="1"/>
                <c:pt idx="0">
                  <c:v>CET1 now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Dashboard!$B$26:$B$49</c:f>
              <c:strCache>
                <c:ptCount val="24"/>
                <c:pt idx="0">
                  <c:v>JPM</c:v>
                </c:pt>
                <c:pt idx="1">
                  <c:v>BAC</c:v>
                </c:pt>
                <c:pt idx="2">
                  <c:v>C</c:v>
                </c:pt>
                <c:pt idx="3">
                  <c:v>WFC</c:v>
                </c:pt>
                <c:pt idx="4">
                  <c:v>GS</c:v>
                </c:pt>
                <c:pt idx="5">
                  <c:v>MS</c:v>
                </c:pt>
                <c:pt idx="6">
                  <c:v>PNC</c:v>
                </c:pt>
                <c:pt idx="7">
                  <c:v>USB</c:v>
                </c:pt>
                <c:pt idx="8">
                  <c:v>TFC</c:v>
                </c:pt>
                <c:pt idx="9">
                  <c:v>STT</c:v>
                </c:pt>
                <c:pt idx="10">
                  <c:v>BK</c:v>
                </c:pt>
                <c:pt idx="11">
                  <c:v>FCNCA</c:v>
                </c:pt>
                <c:pt idx="12">
                  <c:v>CFG</c:v>
                </c:pt>
                <c:pt idx="13">
                  <c:v>BARC</c:v>
                </c:pt>
                <c:pt idx="14">
                  <c:v>HSBA</c:v>
                </c:pt>
                <c:pt idx="15">
                  <c:v>DBK</c:v>
                </c:pt>
                <c:pt idx="16">
                  <c:v>BNP</c:v>
                </c:pt>
                <c:pt idx="17">
                  <c:v>GLE</c:v>
                </c:pt>
                <c:pt idx="18">
                  <c:v>UBS</c:v>
                </c:pt>
                <c:pt idx="19">
                  <c:v>MUFG</c:v>
                </c:pt>
                <c:pt idx="20">
                  <c:v>SMFG</c:v>
                </c:pt>
                <c:pt idx="21">
                  <c:v>MFG</c:v>
                </c:pt>
                <c:pt idx="22">
                  <c:v>RY</c:v>
                </c:pt>
                <c:pt idx="23">
                  <c:v>JEF</c:v>
                </c:pt>
              </c:strCache>
            </c:strRef>
          </c:cat>
          <c:val>
            <c:numRef>
              <c:f>Dashboard!$D$26:$D$49</c:f>
              <c:numCache>
                <c:formatCode>0.0%;\(0.0%\);\-</c:formatCode>
                <c:ptCount val="24"/>
                <c:pt idx="0">
                  <c:v>0.139271811312114</c:v>
                </c:pt>
                <c:pt idx="1">
                  <c:v>0.108777893524864</c:v>
                </c:pt>
                <c:pt idx="2">
                  <c:v>0.127770111210326</c:v>
                </c:pt>
                <c:pt idx="3">
                  <c:v>0.100462755635169</c:v>
                </c:pt>
                <c:pt idx="4">
                  <c:v>0.124112607099143</c:v>
                </c:pt>
                <c:pt idx="5">
                  <c:v>0.149043303121853</c:v>
                </c:pt>
                <c:pt idx="6">
                  <c:v>0.0980431309904153</c:v>
                </c:pt>
                <c:pt idx="7">
                  <c:v>0.108225108225108</c:v>
                </c:pt>
                <c:pt idx="8">
                  <c:v>0.107225567392311</c:v>
                </c:pt>
                <c:pt idx="9">
                  <c:v>0.109530583214794</c:v>
                </c:pt>
                <c:pt idx="10">
                  <c:v>0.109489051094891</c:v>
                </c:pt>
                <c:pt idx="11">
                  <c:v>0.107719393282774</c:v>
                </c:pt>
                <c:pt idx="12">
                  <c:v>0.105470953186689</c:v>
                </c:pt>
                <c:pt idx="13">
                  <c:v>0.143092105263158</c:v>
                </c:pt>
                <c:pt idx="14">
                  <c:v>0.140887025595763</c:v>
                </c:pt>
                <c:pt idx="15">
                  <c:v>0.139158496732026</c:v>
                </c:pt>
                <c:pt idx="16">
                  <c:v>0.129811320754717</c:v>
                </c:pt>
                <c:pt idx="17">
                  <c:v>0.131773399014778</c:v>
                </c:pt>
                <c:pt idx="18">
                  <c:v>0.143806310775948</c:v>
                </c:pt>
                <c:pt idx="19">
                  <c:v>0.12959533901186</c:v>
                </c:pt>
                <c:pt idx="20">
                  <c:v>0.126323003832438</c:v>
                </c:pt>
                <c:pt idx="21">
                  <c:v>0.135135628246874</c:v>
                </c:pt>
                <c:pt idx="22">
                  <c:v>0.134904884318766</c:v>
                </c:pt>
                <c:pt idx="23">
                  <c:v>0.09</c:v>
                </c:pt>
              </c:numCache>
            </c:numRef>
          </c:val>
        </c:ser>
        <c:ser>
          <c:idx val="1"/>
          <c:order val="1"/>
          <c:tx>
            <c:strRef>
              <c:f>Dashboard!F25</c:f>
              <c:strCache>
                <c:ptCount val="1"/>
                <c:pt idx="0">
                  <c:v>After standalone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Dashboard!$B$26:$B$49</c:f>
              <c:strCache>
                <c:ptCount val="24"/>
                <c:pt idx="0">
                  <c:v>JPM</c:v>
                </c:pt>
                <c:pt idx="1">
                  <c:v>BAC</c:v>
                </c:pt>
                <c:pt idx="2">
                  <c:v>C</c:v>
                </c:pt>
                <c:pt idx="3">
                  <c:v>WFC</c:v>
                </c:pt>
                <c:pt idx="4">
                  <c:v>GS</c:v>
                </c:pt>
                <c:pt idx="5">
                  <c:v>MS</c:v>
                </c:pt>
                <c:pt idx="6">
                  <c:v>PNC</c:v>
                </c:pt>
                <c:pt idx="7">
                  <c:v>USB</c:v>
                </c:pt>
                <c:pt idx="8">
                  <c:v>TFC</c:v>
                </c:pt>
                <c:pt idx="9">
                  <c:v>STT</c:v>
                </c:pt>
                <c:pt idx="10">
                  <c:v>BK</c:v>
                </c:pt>
                <c:pt idx="11">
                  <c:v>FCNCA</c:v>
                </c:pt>
                <c:pt idx="12">
                  <c:v>CFG</c:v>
                </c:pt>
                <c:pt idx="13">
                  <c:v>BARC</c:v>
                </c:pt>
                <c:pt idx="14">
                  <c:v>HSBA</c:v>
                </c:pt>
                <c:pt idx="15">
                  <c:v>DBK</c:v>
                </c:pt>
                <c:pt idx="16">
                  <c:v>BNP</c:v>
                </c:pt>
                <c:pt idx="17">
                  <c:v>GLE</c:v>
                </c:pt>
                <c:pt idx="18">
                  <c:v>UBS</c:v>
                </c:pt>
                <c:pt idx="19">
                  <c:v>MUFG</c:v>
                </c:pt>
                <c:pt idx="20">
                  <c:v>SMFG</c:v>
                </c:pt>
                <c:pt idx="21">
                  <c:v>MFG</c:v>
                </c:pt>
                <c:pt idx="22">
                  <c:v>RY</c:v>
                </c:pt>
                <c:pt idx="23">
                  <c:v>JEF</c:v>
                </c:pt>
              </c:strCache>
            </c:strRef>
          </c:cat>
          <c:val>
            <c:numRef>
              <c:f>Dashboard!$F$26:$F$49</c:f>
              <c:numCache>
                <c:formatCode>0.0%;\(0.0%\);\-</c:formatCode>
                <c:ptCount val="24"/>
                <c:pt idx="0">
                  <c:v>0.0905607079181314</c:v>
                </c:pt>
                <c:pt idx="1">
                  <c:v>0.0639123272540789</c:v>
                </c:pt>
                <c:pt idx="2">
                  <c:v>0.0747742857540621</c:v>
                </c:pt>
                <c:pt idx="3">
                  <c:v>0.042444949061729</c:v>
                </c:pt>
                <c:pt idx="4">
                  <c:v>0.0604096721270295</c:v>
                </c:pt>
                <c:pt idx="5">
                  <c:v>0.0746186198099384</c:v>
                </c:pt>
                <c:pt idx="6">
                  <c:v>0.0376352452513326</c:v>
                </c:pt>
                <c:pt idx="7">
                  <c:v>0.0746071784859687</c:v>
                </c:pt>
                <c:pt idx="8">
                  <c:v>0.051950611809369</c:v>
                </c:pt>
                <c:pt idx="9">
                  <c:v>-0.0110774117533918</c:v>
                </c:pt>
                <c:pt idx="10">
                  <c:v>0.0711944698172953</c:v>
                </c:pt>
                <c:pt idx="11">
                  <c:v>0.0674737213234118</c:v>
                </c:pt>
                <c:pt idx="12">
                  <c:v>0.0604462745025428</c:v>
                </c:pt>
                <c:pt idx="13">
                  <c:v>0.0592749158609733</c:v>
                </c:pt>
                <c:pt idx="14">
                  <c:v>0.106535135870253</c:v>
                </c:pt>
                <c:pt idx="15">
                  <c:v>0.0539177475366116</c:v>
                </c:pt>
                <c:pt idx="16">
                  <c:v>0.082018437906808</c:v>
                </c:pt>
                <c:pt idx="17">
                  <c:v>0.0910993331642846</c:v>
                </c:pt>
                <c:pt idx="18">
                  <c:v>0.113930319806123</c:v>
                </c:pt>
                <c:pt idx="19">
                  <c:v>0.0614378414799838</c:v>
                </c:pt>
                <c:pt idx="20">
                  <c:v>0.0858041786420753</c:v>
                </c:pt>
                <c:pt idx="21">
                  <c:v>0.097080579728884</c:v>
                </c:pt>
                <c:pt idx="22">
                  <c:v>0.0928939280886542</c:v>
                </c:pt>
                <c:pt idx="23">
                  <c:v>0.0722746654983493</c:v>
                </c:pt>
              </c:numCache>
            </c:numRef>
          </c:val>
        </c:ser>
        <c:ser>
          <c:idx val="2"/>
          <c:order val="2"/>
          <c:tx>
            <c:strRef>
              <c:f>Dashboard!G25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Dashboard!$B$26:$B$49</c:f>
              <c:strCache>
                <c:ptCount val="24"/>
                <c:pt idx="0">
                  <c:v>JPM</c:v>
                </c:pt>
                <c:pt idx="1">
                  <c:v>BAC</c:v>
                </c:pt>
                <c:pt idx="2">
                  <c:v>C</c:v>
                </c:pt>
                <c:pt idx="3">
                  <c:v>WFC</c:v>
                </c:pt>
                <c:pt idx="4">
                  <c:v>GS</c:v>
                </c:pt>
                <c:pt idx="5">
                  <c:v>MS</c:v>
                </c:pt>
                <c:pt idx="6">
                  <c:v>PNC</c:v>
                </c:pt>
                <c:pt idx="7">
                  <c:v>USB</c:v>
                </c:pt>
                <c:pt idx="8">
                  <c:v>TFC</c:v>
                </c:pt>
                <c:pt idx="9">
                  <c:v>STT</c:v>
                </c:pt>
                <c:pt idx="10">
                  <c:v>BK</c:v>
                </c:pt>
                <c:pt idx="11">
                  <c:v>FCNCA</c:v>
                </c:pt>
                <c:pt idx="12">
                  <c:v>CFG</c:v>
                </c:pt>
                <c:pt idx="13">
                  <c:v>BARC</c:v>
                </c:pt>
                <c:pt idx="14">
                  <c:v>HSBA</c:v>
                </c:pt>
                <c:pt idx="15">
                  <c:v>DBK</c:v>
                </c:pt>
                <c:pt idx="16">
                  <c:v>BNP</c:v>
                </c:pt>
                <c:pt idx="17">
                  <c:v>GLE</c:v>
                </c:pt>
                <c:pt idx="18">
                  <c:v>UBS</c:v>
                </c:pt>
                <c:pt idx="19">
                  <c:v>MUFG</c:v>
                </c:pt>
                <c:pt idx="20">
                  <c:v>SMFG</c:v>
                </c:pt>
                <c:pt idx="21">
                  <c:v>MFG</c:v>
                </c:pt>
                <c:pt idx="22">
                  <c:v>RY</c:v>
                </c:pt>
                <c:pt idx="23">
                  <c:v>JEF</c:v>
                </c:pt>
              </c:strCache>
            </c:strRef>
          </c:cat>
          <c:val>
            <c:numRef>
              <c:f>Dashboard!$G$26:$G$49</c:f>
              <c:numCache>
                <c:formatCode>0.0%;\(0.0%\);\-</c:formatCode>
                <c:ptCount val="24"/>
                <c:pt idx="0">
                  <c:v>0.0579926268046499</c:v>
                </c:pt>
                <c:pt idx="1">
                  <c:v>0.0269501064254917</c:v>
                </c:pt>
                <c:pt idx="2">
                  <c:v>0.0402347976121738</c:v>
                </c:pt>
                <c:pt idx="3">
                  <c:v>0.00207390282086281</c:v>
                </c:pt>
                <c:pt idx="4">
                  <c:v>0.0105156793887712</c:v>
                </c:pt>
                <c:pt idx="5">
                  <c:v>0.0189677475490801</c:v>
                </c:pt>
                <c:pt idx="6">
                  <c:v>0.00360182651565631</c:v>
                </c:pt>
                <c:pt idx="7">
                  <c:v>0.0509039617393305</c:v>
                </c:pt>
                <c:pt idx="8">
                  <c:v>0.0157292211183521</c:v>
                </c:pt>
                <c:pt idx="9">
                  <c:v>-0.112909158592408</c:v>
                </c:pt>
                <c:pt idx="10">
                  <c:v>0.0334695551461126</c:v>
                </c:pt>
                <c:pt idx="11">
                  <c:v>0.0594960655409115</c:v>
                </c:pt>
                <c:pt idx="12">
                  <c:v>0.0396275346594056</c:v>
                </c:pt>
                <c:pt idx="13">
                  <c:v>-0.0211494340470956</c:v>
                </c:pt>
                <c:pt idx="14">
                  <c:v>0.0755269060545672</c:v>
                </c:pt>
                <c:pt idx="15">
                  <c:v>-0.0205130863573704</c:v>
                </c:pt>
                <c:pt idx="16">
                  <c:v>0.0374031559348759</c:v>
                </c:pt>
                <c:pt idx="17">
                  <c:v>0.0472616971280715</c:v>
                </c:pt>
                <c:pt idx="18">
                  <c:v>0.0793534454428393</c:v>
                </c:pt>
                <c:pt idx="19">
                  <c:v>0.00281267876952754</c:v>
                </c:pt>
                <c:pt idx="20">
                  <c:v>0.0463485337720714</c:v>
                </c:pt>
                <c:pt idx="21">
                  <c:v>0.0683840792474054</c:v>
                </c:pt>
                <c:pt idx="22">
                  <c:v>0.0561728885356686</c:v>
                </c:pt>
                <c:pt idx="23">
                  <c:v>0.0549360248218316</c:v>
                </c:pt>
              </c:numCache>
            </c:numRef>
          </c:val>
        </c:ser>
        <c:ser>
          <c:idx val="3"/>
          <c:order val="3"/>
          <c:tx>
            <c:strRef>
              <c:f>Dashboard!E25</c:f>
              <c:strCache>
                <c:ptCount val="1"/>
                <c:pt idx="0">
                  <c:v>Req.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Dashboard!$B$26:$B$49</c:f>
              <c:strCache>
                <c:ptCount val="24"/>
                <c:pt idx="0">
                  <c:v>JPM</c:v>
                </c:pt>
                <c:pt idx="1">
                  <c:v>BAC</c:v>
                </c:pt>
                <c:pt idx="2">
                  <c:v>C</c:v>
                </c:pt>
                <c:pt idx="3">
                  <c:v>WFC</c:v>
                </c:pt>
                <c:pt idx="4">
                  <c:v>GS</c:v>
                </c:pt>
                <c:pt idx="5">
                  <c:v>MS</c:v>
                </c:pt>
                <c:pt idx="6">
                  <c:v>PNC</c:v>
                </c:pt>
                <c:pt idx="7">
                  <c:v>USB</c:v>
                </c:pt>
                <c:pt idx="8">
                  <c:v>TFC</c:v>
                </c:pt>
                <c:pt idx="9">
                  <c:v>STT</c:v>
                </c:pt>
                <c:pt idx="10">
                  <c:v>BK</c:v>
                </c:pt>
                <c:pt idx="11">
                  <c:v>FCNCA</c:v>
                </c:pt>
                <c:pt idx="12">
                  <c:v>CFG</c:v>
                </c:pt>
                <c:pt idx="13">
                  <c:v>BARC</c:v>
                </c:pt>
                <c:pt idx="14">
                  <c:v>HSBA</c:v>
                </c:pt>
                <c:pt idx="15">
                  <c:v>DBK</c:v>
                </c:pt>
                <c:pt idx="16">
                  <c:v>BNP</c:v>
                </c:pt>
                <c:pt idx="17">
                  <c:v>GLE</c:v>
                </c:pt>
                <c:pt idx="18">
                  <c:v>UBS</c:v>
                </c:pt>
                <c:pt idx="19">
                  <c:v>MUFG</c:v>
                </c:pt>
                <c:pt idx="20">
                  <c:v>SMFG</c:v>
                </c:pt>
                <c:pt idx="21">
                  <c:v>MFG</c:v>
                </c:pt>
                <c:pt idx="22">
                  <c:v>RY</c:v>
                </c:pt>
                <c:pt idx="23">
                  <c:v>JEF</c:v>
                </c:pt>
              </c:strCache>
            </c:strRef>
          </c:cat>
          <c:val>
            <c:numRef>
              <c:f>Dashboard!$E$26:$E$49</c:f>
              <c:numCache>
                <c:formatCode>0.0%;\(0.0%\);\-</c:formatCode>
                <c:ptCount val="24"/>
                <c:pt idx="0">
                  <c:v>0.115</c:v>
                </c:pt>
                <c:pt idx="1">
                  <c:v>0.1</c:v>
                </c:pt>
                <c:pt idx="2">
                  <c:v>0.116</c:v>
                </c:pt>
                <c:pt idx="3">
                  <c:v>0.085</c:v>
                </c:pt>
                <c:pt idx="4">
                  <c:v>0.114</c:v>
                </c:pt>
                <c:pt idx="5">
                  <c:v>0.118</c:v>
                </c:pt>
                <c:pt idx="6">
                  <c:v>0.07</c:v>
                </c:pt>
                <c:pt idx="7">
                  <c:v>0.071</c:v>
                </c:pt>
                <c:pt idx="8">
                  <c:v>0.07</c:v>
                </c:pt>
                <c:pt idx="9">
                  <c:v>0.08</c:v>
                </c:pt>
                <c:pt idx="10">
                  <c:v>0.085</c:v>
                </c:pt>
                <c:pt idx="11">
                  <c:v>0.07</c:v>
                </c:pt>
                <c:pt idx="12">
                  <c:v>0.09</c:v>
                </c:pt>
                <c:pt idx="13">
                  <c:v>0.122</c:v>
                </c:pt>
                <c:pt idx="14">
                  <c:v>0.112</c:v>
                </c:pt>
                <c:pt idx="15">
                  <c:v>0.112</c:v>
                </c:pt>
                <c:pt idx="16">
                  <c:v>0.1043</c:v>
                </c:pt>
                <c:pt idx="17">
                  <c:v>0.1026</c:v>
                </c:pt>
                <c:pt idx="18">
                  <c:v>0.1083</c:v>
                </c:pt>
                <c:pt idx="19">
                  <c:v>0.0869</c:v>
                </c:pt>
                <c:pt idx="20">
                  <c:v>0.0817</c:v>
                </c:pt>
                <c:pt idx="21">
                  <c:v>0.0813</c:v>
                </c:pt>
                <c:pt idx="22">
                  <c:v>0.111</c:v>
                </c:pt>
                <c:pt idx="23">
                  <c:v>0.0675</c:v>
                </c:pt>
              </c:numCache>
            </c:numRef>
          </c:val>
        </c:ser>
        <c:gapWidth val="150"/>
        <c:overlap val="0"/>
        <c:axId val="12228429"/>
        <c:axId val="1795078"/>
      </c:barChart>
      <c:catAx>
        <c:axId val="12228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5078"/>
        <c:crosses val="autoZero"/>
        <c:auto val="1"/>
        <c:lblAlgn val="ctr"/>
        <c:lblOffset val="100"/>
        <c:noMultiLvlLbl val="0"/>
      </c:catAx>
      <c:valAx>
        <c:axId val="1795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CET1 / RWA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28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G-SIBs below MDA vs joint stress factor (backstop 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Reverse_Stress!H4</c:f>
              <c:strCache>
                <c:ptCount val="1"/>
                <c:pt idx="0">
                  <c:v>G-SIBs &lt; MDA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Reverse_Stress!$A$5:$A$53</c:f>
              <c:strCache>
                <c:ptCount val="49"/>
                <c:pt idx="0">
                  <c:v>-</c:v>
                </c:pt>
                <c:pt idx="1">
                  <c:v>(0.06)</c:v>
                </c:pt>
                <c:pt idx="2">
                  <c:v>(0.13)</c:v>
                </c:pt>
                <c:pt idx="3">
                  <c:v>(0.19)</c:v>
                </c:pt>
                <c:pt idx="4">
                  <c:v>(0.25)</c:v>
                </c:pt>
                <c:pt idx="5">
                  <c:v>(0.31)</c:v>
                </c:pt>
                <c:pt idx="6">
                  <c:v>(0.38)</c:v>
                </c:pt>
                <c:pt idx="7">
                  <c:v>(0.44)</c:v>
                </c:pt>
                <c:pt idx="8">
                  <c:v>(0.50)</c:v>
                </c:pt>
                <c:pt idx="9">
                  <c:v>(0.56)</c:v>
                </c:pt>
                <c:pt idx="10">
                  <c:v>(0.63)</c:v>
                </c:pt>
                <c:pt idx="11">
                  <c:v>(0.69)</c:v>
                </c:pt>
                <c:pt idx="12">
                  <c:v>(0.75)</c:v>
                </c:pt>
                <c:pt idx="13">
                  <c:v>(0.81)</c:v>
                </c:pt>
                <c:pt idx="14">
                  <c:v>(0.88)</c:v>
                </c:pt>
                <c:pt idx="15">
                  <c:v>(0.94)</c:v>
                </c:pt>
                <c:pt idx="16">
                  <c:v>(1.00)</c:v>
                </c:pt>
                <c:pt idx="17">
                  <c:v>(1.06)</c:v>
                </c:pt>
                <c:pt idx="18">
                  <c:v>(1.13)</c:v>
                </c:pt>
                <c:pt idx="19">
                  <c:v>(1.19)</c:v>
                </c:pt>
                <c:pt idx="20">
                  <c:v>(1.25)</c:v>
                </c:pt>
                <c:pt idx="21">
                  <c:v>(1.31)</c:v>
                </c:pt>
                <c:pt idx="22">
                  <c:v>(1.38)</c:v>
                </c:pt>
                <c:pt idx="23">
                  <c:v>(1.44)</c:v>
                </c:pt>
                <c:pt idx="24">
                  <c:v>(1.50)</c:v>
                </c:pt>
                <c:pt idx="25">
                  <c:v>(1.56)</c:v>
                </c:pt>
                <c:pt idx="26">
                  <c:v>(1.63)</c:v>
                </c:pt>
                <c:pt idx="27">
                  <c:v>(1.69)</c:v>
                </c:pt>
                <c:pt idx="28">
                  <c:v>(1.75)</c:v>
                </c:pt>
                <c:pt idx="29">
                  <c:v>(1.81)</c:v>
                </c:pt>
                <c:pt idx="30">
                  <c:v>(1.88)</c:v>
                </c:pt>
                <c:pt idx="31">
                  <c:v>(1.94)</c:v>
                </c:pt>
                <c:pt idx="32">
                  <c:v>(2.00)</c:v>
                </c:pt>
                <c:pt idx="33">
                  <c:v>(2.06)</c:v>
                </c:pt>
                <c:pt idx="34">
                  <c:v>(2.13)</c:v>
                </c:pt>
                <c:pt idx="35">
                  <c:v>(2.19)</c:v>
                </c:pt>
                <c:pt idx="36">
                  <c:v>(2.25)</c:v>
                </c:pt>
                <c:pt idx="37">
                  <c:v>(2.31)</c:v>
                </c:pt>
                <c:pt idx="38">
                  <c:v>(2.38)</c:v>
                </c:pt>
                <c:pt idx="39">
                  <c:v>(2.44)</c:v>
                </c:pt>
                <c:pt idx="40">
                  <c:v>(2.50)</c:v>
                </c:pt>
                <c:pt idx="41">
                  <c:v>(2.56)</c:v>
                </c:pt>
                <c:pt idx="42">
                  <c:v>(2.63)</c:v>
                </c:pt>
                <c:pt idx="43">
                  <c:v>(2.69)</c:v>
                </c:pt>
                <c:pt idx="44">
                  <c:v>(2.75)</c:v>
                </c:pt>
                <c:pt idx="45">
                  <c:v>(2.81)</c:v>
                </c:pt>
                <c:pt idx="46">
                  <c:v>(2.88)</c:v>
                </c:pt>
                <c:pt idx="47">
                  <c:v>(2.94)</c:v>
                </c:pt>
                <c:pt idx="48">
                  <c:v>(3.00)</c:v>
                </c:pt>
              </c:strCache>
            </c:strRef>
          </c:cat>
          <c:val>
            <c:numRef>
              <c:f>Reverse_Stress!$H$5:$H$53</c:f>
              <c:numCache>
                <c:formatCode>0;\(0\);\-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10</c:v>
                </c:pt>
                <c:pt idx="17">
                  <c:v>11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Reverse_Stress!I4</c:f>
              <c:strCache>
                <c:ptCount val="1"/>
                <c:pt idx="0">
                  <c:v>G-SIBs &lt; min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Reverse_Stress!$A$5:$A$53</c:f>
              <c:strCache>
                <c:ptCount val="49"/>
                <c:pt idx="0">
                  <c:v>-</c:v>
                </c:pt>
                <c:pt idx="1">
                  <c:v>(0.06)</c:v>
                </c:pt>
                <c:pt idx="2">
                  <c:v>(0.13)</c:v>
                </c:pt>
                <c:pt idx="3">
                  <c:v>(0.19)</c:v>
                </c:pt>
                <c:pt idx="4">
                  <c:v>(0.25)</c:v>
                </c:pt>
                <c:pt idx="5">
                  <c:v>(0.31)</c:v>
                </c:pt>
                <c:pt idx="6">
                  <c:v>(0.38)</c:v>
                </c:pt>
                <c:pt idx="7">
                  <c:v>(0.44)</c:v>
                </c:pt>
                <c:pt idx="8">
                  <c:v>(0.50)</c:v>
                </c:pt>
                <c:pt idx="9">
                  <c:v>(0.56)</c:v>
                </c:pt>
                <c:pt idx="10">
                  <c:v>(0.63)</c:v>
                </c:pt>
                <c:pt idx="11">
                  <c:v>(0.69)</c:v>
                </c:pt>
                <c:pt idx="12">
                  <c:v>(0.75)</c:v>
                </c:pt>
                <c:pt idx="13">
                  <c:v>(0.81)</c:v>
                </c:pt>
                <c:pt idx="14">
                  <c:v>(0.88)</c:v>
                </c:pt>
                <c:pt idx="15">
                  <c:v>(0.94)</c:v>
                </c:pt>
                <c:pt idx="16">
                  <c:v>(1.00)</c:v>
                </c:pt>
                <c:pt idx="17">
                  <c:v>(1.06)</c:v>
                </c:pt>
                <c:pt idx="18">
                  <c:v>(1.13)</c:v>
                </c:pt>
                <c:pt idx="19">
                  <c:v>(1.19)</c:v>
                </c:pt>
                <c:pt idx="20">
                  <c:v>(1.25)</c:v>
                </c:pt>
                <c:pt idx="21">
                  <c:v>(1.31)</c:v>
                </c:pt>
                <c:pt idx="22">
                  <c:v>(1.38)</c:v>
                </c:pt>
                <c:pt idx="23">
                  <c:v>(1.44)</c:v>
                </c:pt>
                <c:pt idx="24">
                  <c:v>(1.50)</c:v>
                </c:pt>
                <c:pt idx="25">
                  <c:v>(1.56)</c:v>
                </c:pt>
                <c:pt idx="26">
                  <c:v>(1.63)</c:v>
                </c:pt>
                <c:pt idx="27">
                  <c:v>(1.69)</c:v>
                </c:pt>
                <c:pt idx="28">
                  <c:v>(1.75)</c:v>
                </c:pt>
                <c:pt idx="29">
                  <c:v>(1.81)</c:v>
                </c:pt>
                <c:pt idx="30">
                  <c:v>(1.88)</c:v>
                </c:pt>
                <c:pt idx="31">
                  <c:v>(1.94)</c:v>
                </c:pt>
                <c:pt idx="32">
                  <c:v>(2.00)</c:v>
                </c:pt>
                <c:pt idx="33">
                  <c:v>(2.06)</c:v>
                </c:pt>
                <c:pt idx="34">
                  <c:v>(2.13)</c:v>
                </c:pt>
                <c:pt idx="35">
                  <c:v>(2.19)</c:v>
                </c:pt>
                <c:pt idx="36">
                  <c:v>(2.25)</c:v>
                </c:pt>
                <c:pt idx="37">
                  <c:v>(2.31)</c:v>
                </c:pt>
                <c:pt idx="38">
                  <c:v>(2.38)</c:v>
                </c:pt>
                <c:pt idx="39">
                  <c:v>(2.44)</c:v>
                </c:pt>
                <c:pt idx="40">
                  <c:v>(2.50)</c:v>
                </c:pt>
                <c:pt idx="41">
                  <c:v>(2.56)</c:v>
                </c:pt>
                <c:pt idx="42">
                  <c:v>(2.63)</c:v>
                </c:pt>
                <c:pt idx="43">
                  <c:v>(2.69)</c:v>
                </c:pt>
                <c:pt idx="44">
                  <c:v>(2.75)</c:v>
                </c:pt>
                <c:pt idx="45">
                  <c:v>(2.81)</c:v>
                </c:pt>
                <c:pt idx="46">
                  <c:v>(2.88)</c:v>
                </c:pt>
                <c:pt idx="47">
                  <c:v>(2.94)</c:v>
                </c:pt>
                <c:pt idx="48">
                  <c:v>(3.00)</c:v>
                </c:pt>
              </c:strCache>
            </c:strRef>
          </c:cat>
          <c:val>
            <c:numRef>
              <c:f>Reverse_Stress!$I$5:$I$53</c:f>
              <c:numCache>
                <c:formatCode>0;\(0\);\-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934161"/>
        <c:axId val="91502900"/>
      </c:lineChart>
      <c:catAx>
        <c:axId val="12934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02900"/>
        <c:crosses val="autoZero"/>
        <c:auto val="1"/>
        <c:lblAlgn val="ctr"/>
        <c:lblOffset val="100"/>
        <c:noMultiLvlLbl val="0"/>
      </c:catAx>
      <c:valAx>
        <c:axId val="915029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\(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34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G-SIBs below MDA vs joint stress factor (backstop 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Reverse_Stress!H4</c:f>
              <c:strCache>
                <c:ptCount val="1"/>
                <c:pt idx="0">
                  <c:v>G-SIBs &lt; MDA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Reverse_Stress!$A$5:$A$53</c:f>
              <c:strCache>
                <c:ptCount val="49"/>
                <c:pt idx="0">
                  <c:v>-</c:v>
                </c:pt>
                <c:pt idx="1">
                  <c:v>(0.06)</c:v>
                </c:pt>
                <c:pt idx="2">
                  <c:v>(0.13)</c:v>
                </c:pt>
                <c:pt idx="3">
                  <c:v>(0.19)</c:v>
                </c:pt>
                <c:pt idx="4">
                  <c:v>(0.25)</c:v>
                </c:pt>
                <c:pt idx="5">
                  <c:v>(0.31)</c:v>
                </c:pt>
                <c:pt idx="6">
                  <c:v>(0.38)</c:v>
                </c:pt>
                <c:pt idx="7">
                  <c:v>(0.44)</c:v>
                </c:pt>
                <c:pt idx="8">
                  <c:v>(0.50)</c:v>
                </c:pt>
                <c:pt idx="9">
                  <c:v>(0.56)</c:v>
                </c:pt>
                <c:pt idx="10">
                  <c:v>(0.63)</c:v>
                </c:pt>
                <c:pt idx="11">
                  <c:v>(0.69)</c:v>
                </c:pt>
                <c:pt idx="12">
                  <c:v>(0.75)</c:v>
                </c:pt>
                <c:pt idx="13">
                  <c:v>(0.81)</c:v>
                </c:pt>
                <c:pt idx="14">
                  <c:v>(0.88)</c:v>
                </c:pt>
                <c:pt idx="15">
                  <c:v>(0.94)</c:v>
                </c:pt>
                <c:pt idx="16">
                  <c:v>(1.00)</c:v>
                </c:pt>
                <c:pt idx="17">
                  <c:v>(1.06)</c:v>
                </c:pt>
                <c:pt idx="18">
                  <c:v>(1.13)</c:v>
                </c:pt>
                <c:pt idx="19">
                  <c:v>(1.19)</c:v>
                </c:pt>
                <c:pt idx="20">
                  <c:v>(1.25)</c:v>
                </c:pt>
                <c:pt idx="21">
                  <c:v>(1.31)</c:v>
                </c:pt>
                <c:pt idx="22">
                  <c:v>(1.38)</c:v>
                </c:pt>
                <c:pt idx="23">
                  <c:v>(1.44)</c:v>
                </c:pt>
                <c:pt idx="24">
                  <c:v>(1.50)</c:v>
                </c:pt>
                <c:pt idx="25">
                  <c:v>(1.56)</c:v>
                </c:pt>
                <c:pt idx="26">
                  <c:v>(1.63)</c:v>
                </c:pt>
                <c:pt idx="27">
                  <c:v>(1.69)</c:v>
                </c:pt>
                <c:pt idx="28">
                  <c:v>(1.75)</c:v>
                </c:pt>
                <c:pt idx="29">
                  <c:v>(1.81)</c:v>
                </c:pt>
                <c:pt idx="30">
                  <c:v>(1.88)</c:v>
                </c:pt>
                <c:pt idx="31">
                  <c:v>(1.94)</c:v>
                </c:pt>
                <c:pt idx="32">
                  <c:v>(2.00)</c:v>
                </c:pt>
                <c:pt idx="33">
                  <c:v>(2.06)</c:v>
                </c:pt>
                <c:pt idx="34">
                  <c:v>(2.13)</c:v>
                </c:pt>
                <c:pt idx="35">
                  <c:v>(2.19)</c:v>
                </c:pt>
                <c:pt idx="36">
                  <c:v>(2.25)</c:v>
                </c:pt>
                <c:pt idx="37">
                  <c:v>(2.31)</c:v>
                </c:pt>
                <c:pt idx="38">
                  <c:v>(2.38)</c:v>
                </c:pt>
                <c:pt idx="39">
                  <c:v>(2.44)</c:v>
                </c:pt>
                <c:pt idx="40">
                  <c:v>(2.50)</c:v>
                </c:pt>
                <c:pt idx="41">
                  <c:v>(2.56)</c:v>
                </c:pt>
                <c:pt idx="42">
                  <c:v>(2.63)</c:v>
                </c:pt>
                <c:pt idx="43">
                  <c:v>(2.69)</c:v>
                </c:pt>
                <c:pt idx="44">
                  <c:v>(2.75)</c:v>
                </c:pt>
                <c:pt idx="45">
                  <c:v>(2.81)</c:v>
                </c:pt>
                <c:pt idx="46">
                  <c:v>(2.88)</c:v>
                </c:pt>
                <c:pt idx="47">
                  <c:v>(2.94)</c:v>
                </c:pt>
                <c:pt idx="48">
                  <c:v>(3.00)</c:v>
                </c:pt>
              </c:strCache>
            </c:strRef>
          </c:cat>
          <c:val>
            <c:numRef>
              <c:f>Reverse_Stress!$H$5:$H$53</c:f>
              <c:numCache>
                <c:formatCode>0;\(0\);\-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10</c:v>
                </c:pt>
                <c:pt idx="17">
                  <c:v>11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Reverse_Stress!I4</c:f>
              <c:strCache>
                <c:ptCount val="1"/>
                <c:pt idx="0">
                  <c:v>G-SIBs &lt; min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Reverse_Stress!$A$5:$A$53</c:f>
              <c:strCache>
                <c:ptCount val="49"/>
                <c:pt idx="0">
                  <c:v>-</c:v>
                </c:pt>
                <c:pt idx="1">
                  <c:v>(0.06)</c:v>
                </c:pt>
                <c:pt idx="2">
                  <c:v>(0.13)</c:v>
                </c:pt>
                <c:pt idx="3">
                  <c:v>(0.19)</c:v>
                </c:pt>
                <c:pt idx="4">
                  <c:v>(0.25)</c:v>
                </c:pt>
                <c:pt idx="5">
                  <c:v>(0.31)</c:v>
                </c:pt>
                <c:pt idx="6">
                  <c:v>(0.38)</c:v>
                </c:pt>
                <c:pt idx="7">
                  <c:v>(0.44)</c:v>
                </c:pt>
                <c:pt idx="8">
                  <c:v>(0.50)</c:v>
                </c:pt>
                <c:pt idx="9">
                  <c:v>(0.56)</c:v>
                </c:pt>
                <c:pt idx="10">
                  <c:v>(0.63)</c:v>
                </c:pt>
                <c:pt idx="11">
                  <c:v>(0.69)</c:v>
                </c:pt>
                <c:pt idx="12">
                  <c:v>(0.75)</c:v>
                </c:pt>
                <c:pt idx="13">
                  <c:v>(0.81)</c:v>
                </c:pt>
                <c:pt idx="14">
                  <c:v>(0.88)</c:v>
                </c:pt>
                <c:pt idx="15">
                  <c:v>(0.94)</c:v>
                </c:pt>
                <c:pt idx="16">
                  <c:v>(1.00)</c:v>
                </c:pt>
                <c:pt idx="17">
                  <c:v>(1.06)</c:v>
                </c:pt>
                <c:pt idx="18">
                  <c:v>(1.13)</c:v>
                </c:pt>
                <c:pt idx="19">
                  <c:v>(1.19)</c:v>
                </c:pt>
                <c:pt idx="20">
                  <c:v>(1.25)</c:v>
                </c:pt>
                <c:pt idx="21">
                  <c:v>(1.31)</c:v>
                </c:pt>
                <c:pt idx="22">
                  <c:v>(1.38)</c:v>
                </c:pt>
                <c:pt idx="23">
                  <c:v>(1.44)</c:v>
                </c:pt>
                <c:pt idx="24">
                  <c:v>(1.50)</c:v>
                </c:pt>
                <c:pt idx="25">
                  <c:v>(1.56)</c:v>
                </c:pt>
                <c:pt idx="26">
                  <c:v>(1.63)</c:v>
                </c:pt>
                <c:pt idx="27">
                  <c:v>(1.69)</c:v>
                </c:pt>
                <c:pt idx="28">
                  <c:v>(1.75)</c:v>
                </c:pt>
                <c:pt idx="29">
                  <c:v>(1.81)</c:v>
                </c:pt>
                <c:pt idx="30">
                  <c:v>(1.88)</c:v>
                </c:pt>
                <c:pt idx="31">
                  <c:v>(1.94)</c:v>
                </c:pt>
                <c:pt idx="32">
                  <c:v>(2.00)</c:v>
                </c:pt>
                <c:pt idx="33">
                  <c:v>(2.06)</c:v>
                </c:pt>
                <c:pt idx="34">
                  <c:v>(2.13)</c:v>
                </c:pt>
                <c:pt idx="35">
                  <c:v>(2.19)</c:v>
                </c:pt>
                <c:pt idx="36">
                  <c:v>(2.25)</c:v>
                </c:pt>
                <c:pt idx="37">
                  <c:v>(2.31)</c:v>
                </c:pt>
                <c:pt idx="38">
                  <c:v>(2.38)</c:v>
                </c:pt>
                <c:pt idx="39">
                  <c:v>(2.44)</c:v>
                </c:pt>
                <c:pt idx="40">
                  <c:v>(2.50)</c:v>
                </c:pt>
                <c:pt idx="41">
                  <c:v>(2.56)</c:v>
                </c:pt>
                <c:pt idx="42">
                  <c:v>(2.63)</c:v>
                </c:pt>
                <c:pt idx="43">
                  <c:v>(2.69)</c:v>
                </c:pt>
                <c:pt idx="44">
                  <c:v>(2.75)</c:v>
                </c:pt>
                <c:pt idx="45">
                  <c:v>(2.81)</c:v>
                </c:pt>
                <c:pt idx="46">
                  <c:v>(2.88)</c:v>
                </c:pt>
                <c:pt idx="47">
                  <c:v>(2.94)</c:v>
                </c:pt>
                <c:pt idx="48">
                  <c:v>(3.00)</c:v>
                </c:pt>
              </c:strCache>
            </c:strRef>
          </c:cat>
          <c:val>
            <c:numRef>
              <c:f>Reverse_Stress!$I$5:$I$53</c:f>
              <c:numCache>
                <c:formatCode>0;\(0\);\-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444278"/>
        <c:axId val="5403700"/>
      </c:lineChart>
      <c:catAx>
        <c:axId val="394442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3700"/>
        <c:crosses val="autoZero"/>
        <c:auto val="1"/>
        <c:lblAlgn val="ctr"/>
        <c:lblOffset val="100"/>
        <c:noMultiLvlLbl val="0"/>
      </c:catAx>
      <c:valAx>
        <c:axId val="54037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\(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442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total losses (backstop ON / OFF)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MC_Distribution!B3</c:f>
              <c:strCache>
                <c:ptCount val="1"/>
                <c:pt idx="0">
                  <c:v>Frequency 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MC_Distribution!$A$4:$A$16</c:f>
              <c:strCache>
                <c:ptCount val="13"/>
                <c:pt idx="0">
                  <c:v>0-25</c:v>
                </c:pt>
                <c:pt idx="1">
                  <c:v>25-50</c:v>
                </c:pt>
                <c:pt idx="2">
                  <c:v>50-75</c:v>
                </c:pt>
                <c:pt idx="3">
                  <c:v>75-100</c:v>
                </c:pt>
                <c:pt idx="4">
                  <c:v>100-150</c:v>
                </c:pt>
                <c:pt idx="5">
                  <c:v>150-200</c:v>
                </c:pt>
                <c:pt idx="6">
                  <c:v>200-300</c:v>
                </c:pt>
                <c:pt idx="7">
                  <c:v>300-400</c:v>
                </c:pt>
                <c:pt idx="8">
                  <c:v>400-500</c:v>
                </c:pt>
                <c:pt idx="9">
                  <c:v>500-750</c:v>
                </c:pt>
                <c:pt idx="10">
                  <c:v>750-1000</c:v>
                </c:pt>
                <c:pt idx="11">
                  <c:v>1000-1500</c:v>
                </c:pt>
                <c:pt idx="12">
                  <c:v>&gt;1500</c:v>
                </c:pt>
              </c:strCache>
            </c:strRef>
          </c:cat>
          <c:val>
            <c:numRef>
              <c:f>MC_Distribution!$B$4:$B$16</c:f>
              <c:numCache>
                <c:formatCode>0.00%;\(0.00%\);\-</c:formatCode>
                <c:ptCount val="13"/>
                <c:pt idx="0">
                  <c:v>0.1293</c:v>
                </c:pt>
                <c:pt idx="1">
                  <c:v>0.1428</c:v>
                </c:pt>
                <c:pt idx="2">
                  <c:v>0.1344</c:v>
                </c:pt>
                <c:pt idx="3">
                  <c:v>0.109</c:v>
                </c:pt>
                <c:pt idx="4">
                  <c:v>0.1271</c:v>
                </c:pt>
                <c:pt idx="5">
                  <c:v>0.0576</c:v>
                </c:pt>
                <c:pt idx="6">
                  <c:v>0.0288</c:v>
                </c:pt>
                <c:pt idx="7">
                  <c:v>0.0028</c:v>
                </c:pt>
                <c:pt idx="8">
                  <c:v>0.0181</c:v>
                </c:pt>
                <c:pt idx="9">
                  <c:v>0.0487</c:v>
                </c:pt>
                <c:pt idx="10">
                  <c:v>0.0189</c:v>
                </c:pt>
                <c:pt idx="11">
                  <c:v>0.011</c:v>
                </c:pt>
                <c:pt idx="12">
                  <c:v>0.0002</c:v>
                </c:pt>
              </c:numCache>
            </c:numRef>
          </c:val>
        </c:ser>
        <c:ser>
          <c:idx val="1"/>
          <c:order val="1"/>
          <c:tx>
            <c:strRef>
              <c:f>MC_Distribution!C3</c:f>
              <c:strCache>
                <c:ptCount val="1"/>
                <c:pt idx="0">
                  <c:v>Frequency OFF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MC_Distribution!$A$4:$A$16</c:f>
              <c:strCache>
                <c:ptCount val="13"/>
                <c:pt idx="0">
                  <c:v>0-25</c:v>
                </c:pt>
                <c:pt idx="1">
                  <c:v>25-50</c:v>
                </c:pt>
                <c:pt idx="2">
                  <c:v>50-75</c:v>
                </c:pt>
                <c:pt idx="3">
                  <c:v>75-100</c:v>
                </c:pt>
                <c:pt idx="4">
                  <c:v>100-150</c:v>
                </c:pt>
                <c:pt idx="5">
                  <c:v>150-200</c:v>
                </c:pt>
                <c:pt idx="6">
                  <c:v>200-300</c:v>
                </c:pt>
                <c:pt idx="7">
                  <c:v>300-400</c:v>
                </c:pt>
                <c:pt idx="8">
                  <c:v>400-500</c:v>
                </c:pt>
                <c:pt idx="9">
                  <c:v>500-750</c:v>
                </c:pt>
                <c:pt idx="10">
                  <c:v>750-1000</c:v>
                </c:pt>
                <c:pt idx="11">
                  <c:v>1000-1500</c:v>
                </c:pt>
                <c:pt idx="12">
                  <c:v>&gt;1500</c:v>
                </c:pt>
              </c:strCache>
            </c:strRef>
          </c:cat>
          <c:val>
            <c:numRef>
              <c:f>MC_Distribution!$C$4:$C$16</c:f>
              <c:numCache>
                <c:formatCode>0.00%;\(0.00%\);\-</c:formatCode>
                <c:ptCount val="13"/>
                <c:pt idx="0">
                  <c:v>0.115</c:v>
                </c:pt>
                <c:pt idx="1">
                  <c:v>0.1315</c:v>
                </c:pt>
                <c:pt idx="2">
                  <c:v>0.1295</c:v>
                </c:pt>
                <c:pt idx="3">
                  <c:v>0.1116</c:v>
                </c:pt>
                <c:pt idx="4">
                  <c:v>0.1495</c:v>
                </c:pt>
                <c:pt idx="5">
                  <c:v>0.0687</c:v>
                </c:pt>
                <c:pt idx="6">
                  <c:v>0.0281</c:v>
                </c:pt>
                <c:pt idx="7">
                  <c:v>0.0027</c:v>
                </c:pt>
                <c:pt idx="8">
                  <c:v>0.0102</c:v>
                </c:pt>
                <c:pt idx="9">
                  <c:v>0.0591</c:v>
                </c:pt>
                <c:pt idx="10">
                  <c:v>0.0283</c:v>
                </c:pt>
                <c:pt idx="11">
                  <c:v>0.0168</c:v>
                </c:pt>
                <c:pt idx="12">
                  <c:v>0.0032</c:v>
                </c:pt>
              </c:numCache>
            </c:numRef>
          </c:val>
        </c:ser>
        <c:gapWidth val="150"/>
        <c:overlap val="0"/>
        <c:axId val="95196570"/>
        <c:axId val="63735106"/>
      </c:barChart>
      <c:catAx>
        <c:axId val="95196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35106"/>
        <c:crosses val="autoZero"/>
        <c:auto val="1"/>
        <c:lblAlgn val="ctr"/>
        <c:lblOffset val="100"/>
        <c:noMultiLvlLbl val="0"/>
      </c:catAx>
      <c:valAx>
        <c:axId val="637351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;\(0.00%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96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total losses (backstop ON / OFF)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MC_Distribution!B3</c:f>
              <c:strCache>
                <c:ptCount val="1"/>
                <c:pt idx="0">
                  <c:v>Frequency 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MC_Distribution!$A$4:$A$16</c:f>
              <c:strCache>
                <c:ptCount val="13"/>
                <c:pt idx="0">
                  <c:v>0-25</c:v>
                </c:pt>
                <c:pt idx="1">
                  <c:v>25-50</c:v>
                </c:pt>
                <c:pt idx="2">
                  <c:v>50-75</c:v>
                </c:pt>
                <c:pt idx="3">
                  <c:v>75-100</c:v>
                </c:pt>
                <c:pt idx="4">
                  <c:v>100-150</c:v>
                </c:pt>
                <c:pt idx="5">
                  <c:v>150-200</c:v>
                </c:pt>
                <c:pt idx="6">
                  <c:v>200-300</c:v>
                </c:pt>
                <c:pt idx="7">
                  <c:v>300-400</c:v>
                </c:pt>
                <c:pt idx="8">
                  <c:v>400-500</c:v>
                </c:pt>
                <c:pt idx="9">
                  <c:v>500-750</c:v>
                </c:pt>
                <c:pt idx="10">
                  <c:v>750-1000</c:v>
                </c:pt>
                <c:pt idx="11">
                  <c:v>1000-1500</c:v>
                </c:pt>
                <c:pt idx="12">
                  <c:v>&gt;1500</c:v>
                </c:pt>
              </c:strCache>
            </c:strRef>
          </c:cat>
          <c:val>
            <c:numRef>
              <c:f>MC_Distribution!$B$4:$B$16</c:f>
              <c:numCache>
                <c:formatCode>0.00%;\(0.00%\);\-</c:formatCode>
                <c:ptCount val="13"/>
                <c:pt idx="0">
                  <c:v>0.1293</c:v>
                </c:pt>
                <c:pt idx="1">
                  <c:v>0.1428</c:v>
                </c:pt>
                <c:pt idx="2">
                  <c:v>0.1344</c:v>
                </c:pt>
                <c:pt idx="3">
                  <c:v>0.109</c:v>
                </c:pt>
                <c:pt idx="4">
                  <c:v>0.1271</c:v>
                </c:pt>
                <c:pt idx="5">
                  <c:v>0.0576</c:v>
                </c:pt>
                <c:pt idx="6">
                  <c:v>0.0288</c:v>
                </c:pt>
                <c:pt idx="7">
                  <c:v>0.0028</c:v>
                </c:pt>
                <c:pt idx="8">
                  <c:v>0.0181</c:v>
                </c:pt>
                <c:pt idx="9">
                  <c:v>0.0487</c:v>
                </c:pt>
                <c:pt idx="10">
                  <c:v>0.0189</c:v>
                </c:pt>
                <c:pt idx="11">
                  <c:v>0.011</c:v>
                </c:pt>
                <c:pt idx="12">
                  <c:v>0.0002</c:v>
                </c:pt>
              </c:numCache>
            </c:numRef>
          </c:val>
        </c:ser>
        <c:ser>
          <c:idx val="1"/>
          <c:order val="1"/>
          <c:tx>
            <c:strRef>
              <c:f>MC_Distribution!C3</c:f>
              <c:strCache>
                <c:ptCount val="1"/>
                <c:pt idx="0">
                  <c:v>Frequency OFF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MC_Distribution!$A$4:$A$16</c:f>
              <c:strCache>
                <c:ptCount val="13"/>
                <c:pt idx="0">
                  <c:v>0-25</c:v>
                </c:pt>
                <c:pt idx="1">
                  <c:v>25-50</c:v>
                </c:pt>
                <c:pt idx="2">
                  <c:v>50-75</c:v>
                </c:pt>
                <c:pt idx="3">
                  <c:v>75-100</c:v>
                </c:pt>
                <c:pt idx="4">
                  <c:v>100-150</c:v>
                </c:pt>
                <c:pt idx="5">
                  <c:v>150-200</c:v>
                </c:pt>
                <c:pt idx="6">
                  <c:v>200-300</c:v>
                </c:pt>
                <c:pt idx="7">
                  <c:v>300-400</c:v>
                </c:pt>
                <c:pt idx="8">
                  <c:v>400-500</c:v>
                </c:pt>
                <c:pt idx="9">
                  <c:v>500-750</c:v>
                </c:pt>
                <c:pt idx="10">
                  <c:v>750-1000</c:v>
                </c:pt>
                <c:pt idx="11">
                  <c:v>1000-1500</c:v>
                </c:pt>
                <c:pt idx="12">
                  <c:v>&gt;1500</c:v>
                </c:pt>
              </c:strCache>
            </c:strRef>
          </c:cat>
          <c:val>
            <c:numRef>
              <c:f>MC_Distribution!$C$4:$C$16</c:f>
              <c:numCache>
                <c:formatCode>0.00%;\(0.00%\);\-</c:formatCode>
                <c:ptCount val="13"/>
                <c:pt idx="0">
                  <c:v>0.115</c:v>
                </c:pt>
                <c:pt idx="1">
                  <c:v>0.1315</c:v>
                </c:pt>
                <c:pt idx="2">
                  <c:v>0.1295</c:v>
                </c:pt>
                <c:pt idx="3">
                  <c:v>0.1116</c:v>
                </c:pt>
                <c:pt idx="4">
                  <c:v>0.1495</c:v>
                </c:pt>
                <c:pt idx="5">
                  <c:v>0.0687</c:v>
                </c:pt>
                <c:pt idx="6">
                  <c:v>0.0281</c:v>
                </c:pt>
                <c:pt idx="7">
                  <c:v>0.0027</c:v>
                </c:pt>
                <c:pt idx="8">
                  <c:v>0.0102</c:v>
                </c:pt>
                <c:pt idx="9">
                  <c:v>0.0591</c:v>
                </c:pt>
                <c:pt idx="10">
                  <c:v>0.0283</c:v>
                </c:pt>
                <c:pt idx="11">
                  <c:v>0.0168</c:v>
                </c:pt>
                <c:pt idx="12">
                  <c:v>0.0032</c:v>
                </c:pt>
              </c:numCache>
            </c:numRef>
          </c:val>
        </c:ser>
        <c:gapWidth val="150"/>
        <c:overlap val="0"/>
        <c:axId val="9228015"/>
        <c:axId val="70963116"/>
      </c:barChart>
      <c:catAx>
        <c:axId val="922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63116"/>
        <c:crosses val="autoZero"/>
        <c:auto val="1"/>
        <c:lblAlgn val="ctr"/>
        <c:lblOffset val="100"/>
        <c:noMultiLvlLbl val="0"/>
      </c:catAx>
      <c:valAx>
        <c:axId val="70963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;\(0.00%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8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P(&gt;=1 G-SIB below 4.5%), ~3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Fat_Tails!B5</c:f>
              <c:strCache>
                <c:ptCount val="1"/>
                <c:pt idx="0">
                  <c:v>P(G-SIB &lt; 4.5%), 3-yr, backstop 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Fat_Tails!$A$6:$A$10</c:f>
              <c:strCache>
                <c:ptCount val="5"/>
                <c:pt idx="0">
                  <c:v>L0 Gaussian factors, no panic</c:v>
                </c:pt>
                <c:pt idx="1">
                  <c:v>L1 + fat tails (Student-t, nu=4)</c:v>
                </c:pt>
                <c:pt idx="2">
                  <c:v>L2 + crisis regime (correlations to 0.95, 10%)</c:v>
                </c:pt>
                <c:pt idx="3">
                  <c:v>L3 + panic / information contagion</c:v>
                </c:pt>
                <c:pt idx="4">
                  <c:v>L4 + conditioned on today (credit factor -0.3, panic 0.15)</c:v>
                </c:pt>
              </c:strCache>
            </c:strRef>
          </c:cat>
          <c:val>
            <c:numRef>
              <c:f>Fat_Tails!$B$6:$B$10</c:f>
              <c:numCache>
                <c:formatCode>0.00%;\(0.00%\);\-</c:formatCode>
                <c:ptCount val="5"/>
                <c:pt idx="0">
                  <c:v>0.01</c:v>
                </c:pt>
                <c:pt idx="1">
                  <c:v>0.0157</c:v>
                </c:pt>
                <c:pt idx="2">
                  <c:v>0.0166</c:v>
                </c:pt>
                <c:pt idx="3">
                  <c:v>0.05455</c:v>
                </c:pt>
                <c:pt idx="4">
                  <c:v>0.0764</c:v>
                </c:pt>
              </c:numCache>
            </c:numRef>
          </c:val>
        </c:ser>
        <c:ser>
          <c:idx val="1"/>
          <c:order val="1"/>
          <c:tx>
            <c:strRef>
              <c:f>Fat_Tails!E5</c:f>
              <c:strCache>
                <c:ptCount val="1"/>
                <c:pt idx="0">
                  <c:v>Backstop OFF, 3-yr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Fat_Tails!$A$6:$A$10</c:f>
              <c:strCache>
                <c:ptCount val="5"/>
                <c:pt idx="0">
                  <c:v>L0 Gaussian factors, no panic</c:v>
                </c:pt>
                <c:pt idx="1">
                  <c:v>L1 + fat tails (Student-t, nu=4)</c:v>
                </c:pt>
                <c:pt idx="2">
                  <c:v>L2 + crisis regime (correlations to 0.95, 10%)</c:v>
                </c:pt>
                <c:pt idx="3">
                  <c:v>L3 + panic / information contagion</c:v>
                </c:pt>
                <c:pt idx="4">
                  <c:v>L4 + conditioned on today (credit factor -0.3, panic 0.15)</c:v>
                </c:pt>
              </c:strCache>
            </c:strRef>
          </c:cat>
          <c:val>
            <c:numRef>
              <c:f>Fat_Tails!$E$6:$E$10</c:f>
              <c:numCache>
                <c:formatCode>0.00%;\(0.00%\);\-</c:formatCode>
                <c:ptCount val="5"/>
                <c:pt idx="0">
                  <c:v>0.0136</c:v>
                </c:pt>
                <c:pt idx="1">
                  <c:v>0.0188</c:v>
                </c:pt>
                <c:pt idx="2">
                  <c:v>0.01955</c:v>
                </c:pt>
                <c:pt idx="3">
                  <c:v>0.07185</c:v>
                </c:pt>
                <c:pt idx="4">
                  <c:v>0.10525</c:v>
                </c:pt>
              </c:numCache>
            </c:numRef>
          </c:val>
        </c:ser>
        <c:gapWidth val="150"/>
        <c:overlap val="0"/>
        <c:axId val="31994997"/>
        <c:axId val="77742507"/>
      </c:barChart>
      <c:catAx>
        <c:axId val="319949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42507"/>
        <c:crosses val="autoZero"/>
        <c:auto val="1"/>
        <c:lblAlgn val="ctr"/>
        <c:lblOffset val="100"/>
        <c:noMultiLvlLbl val="0"/>
      </c:catAx>
      <c:valAx>
        <c:axId val="777425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49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Given a trigger: P(&gt;=1 G-SIB below 4.5%), ~3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Fat_Tails!B14</c:f>
              <c:strCache>
                <c:ptCount val="1"/>
                <c:pt idx="0">
                  <c:v>P(G-SIB &lt; 4.5%), 3-yr, backstop 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Fat_Tails!$A$15:$A$21</c:f>
              <c:strCache>
                <c:ptCount val="7"/>
                <c:pt idx="0">
                  <c:v>None (today)</c:v>
                </c:pt>
                <c:pt idx="1">
                  <c:v>T1 Largest semi-liquid funds break gates (honour 20%)</c:v>
                </c:pt>
                <c:pt idx="2">
                  <c:v>T2 Private-credit marks cut 10 points</c:v>
                </c:pt>
                <c:pt idx="3">
                  <c:v>T3 Non-govt repo seizes (haircuts +15, MMF pull +50%)</c:v>
                </c:pt>
                <c:pt idx="4">
                  <c:v>T4 A PE-owned insurer fails (FA repo + facilities lost)</c:v>
                </c:pt>
                <c:pt idx="5">
                  <c:v>T5 A G-SIB fails for reasons outside the model</c:v>
                </c:pt>
                <c:pt idx="6">
                  <c:v>T6 T1 + T2 + T3 together</c:v>
                </c:pt>
              </c:strCache>
            </c:strRef>
          </c:cat>
          <c:val>
            <c:numRef>
              <c:f>Fat_Tails!$B$15:$B$21</c:f>
              <c:numCache>
                <c:formatCode>0.00%;\(0.00%\);\-</c:formatCode>
                <c:ptCount val="7"/>
                <c:pt idx="0">
                  <c:v>0.0764</c:v>
                </c:pt>
                <c:pt idx="1">
                  <c:v>0.08375</c:v>
                </c:pt>
                <c:pt idx="2">
                  <c:v>0.1328</c:v>
                </c:pt>
                <c:pt idx="3">
                  <c:v>0.0764</c:v>
                </c:pt>
                <c:pt idx="4">
                  <c:v>0.08265</c:v>
                </c:pt>
                <c:pt idx="5">
                  <c:v>0.0812</c:v>
                </c:pt>
                <c:pt idx="6">
                  <c:v>0.1389</c:v>
                </c:pt>
              </c:numCache>
            </c:numRef>
          </c:val>
        </c:ser>
        <c:ser>
          <c:idx val="1"/>
          <c:order val="1"/>
          <c:tx>
            <c:strRef>
              <c:f>Fat_Tails!E14</c:f>
              <c:strCache>
                <c:ptCount val="1"/>
                <c:pt idx="0">
                  <c:v>Backstop OFF, 3-yr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Fat_Tails!$A$15:$A$21</c:f>
              <c:strCache>
                <c:ptCount val="7"/>
                <c:pt idx="0">
                  <c:v>None (today)</c:v>
                </c:pt>
                <c:pt idx="1">
                  <c:v>T1 Largest semi-liquid funds break gates (honour 20%)</c:v>
                </c:pt>
                <c:pt idx="2">
                  <c:v>T2 Private-credit marks cut 10 points</c:v>
                </c:pt>
                <c:pt idx="3">
                  <c:v>T3 Non-govt repo seizes (haircuts +15, MMF pull +50%)</c:v>
                </c:pt>
                <c:pt idx="4">
                  <c:v>T4 A PE-owned insurer fails (FA repo + facilities lost)</c:v>
                </c:pt>
                <c:pt idx="5">
                  <c:v>T5 A G-SIB fails for reasons outside the model</c:v>
                </c:pt>
                <c:pt idx="6">
                  <c:v>T6 T1 + T2 + T3 together</c:v>
                </c:pt>
              </c:strCache>
            </c:strRef>
          </c:cat>
          <c:val>
            <c:numRef>
              <c:f>Fat_Tails!$E$15:$E$21</c:f>
              <c:numCache>
                <c:formatCode>0.00%;\(0.00%\);\-</c:formatCode>
                <c:ptCount val="7"/>
                <c:pt idx="0">
                  <c:v>0.10525</c:v>
                </c:pt>
                <c:pt idx="1">
                  <c:v>0.12365</c:v>
                </c:pt>
                <c:pt idx="2">
                  <c:v>0.1842</c:v>
                </c:pt>
                <c:pt idx="3">
                  <c:v>0.1071</c:v>
                </c:pt>
                <c:pt idx="4">
                  <c:v>0.1297</c:v>
                </c:pt>
                <c:pt idx="5">
                  <c:v>0.12715</c:v>
                </c:pt>
                <c:pt idx="6">
                  <c:v>0.20765</c:v>
                </c:pt>
              </c:numCache>
            </c:numRef>
          </c:val>
        </c:ser>
        <c:gapWidth val="150"/>
        <c:overlap val="0"/>
        <c:axId val="51445981"/>
        <c:axId val="74241383"/>
      </c:barChart>
      <c:catAx>
        <c:axId val="514459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41383"/>
        <c:crosses val="autoZero"/>
        <c:auto val="1"/>
        <c:lblAlgn val="ctr"/>
        <c:lblOffset val="100"/>
        <c:noMultiLvlLbl val="0"/>
      </c:catAx>
      <c:valAx>
        <c:axId val="742413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459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P(&gt;=1 G-SIB below 4.5%), ~3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Fat_Tails!B5</c:f>
              <c:strCache>
                <c:ptCount val="1"/>
                <c:pt idx="0">
                  <c:v>P(G-SIB &lt; 4.5%), 3-yr, backstop 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Fat_Tails!$A$6:$A$10</c:f>
              <c:strCache>
                <c:ptCount val="5"/>
                <c:pt idx="0">
                  <c:v>L0 Gaussian factors, no panic</c:v>
                </c:pt>
                <c:pt idx="1">
                  <c:v>L1 + fat tails (Student-t, nu=4)</c:v>
                </c:pt>
                <c:pt idx="2">
                  <c:v>L2 + crisis regime (correlations to 0.95, 10%)</c:v>
                </c:pt>
                <c:pt idx="3">
                  <c:v>L3 + panic / information contagion</c:v>
                </c:pt>
                <c:pt idx="4">
                  <c:v>L4 + conditioned on today (credit factor -0.3, panic 0.15)</c:v>
                </c:pt>
              </c:strCache>
            </c:strRef>
          </c:cat>
          <c:val>
            <c:numRef>
              <c:f>Fat_Tails!$B$6:$B$10</c:f>
              <c:numCache>
                <c:formatCode>0.00%;\(0.00%\);\-</c:formatCode>
                <c:ptCount val="5"/>
                <c:pt idx="0">
                  <c:v>0.01</c:v>
                </c:pt>
                <c:pt idx="1">
                  <c:v>0.0157</c:v>
                </c:pt>
                <c:pt idx="2">
                  <c:v>0.0166</c:v>
                </c:pt>
                <c:pt idx="3">
                  <c:v>0.05455</c:v>
                </c:pt>
                <c:pt idx="4">
                  <c:v>0.0764</c:v>
                </c:pt>
              </c:numCache>
            </c:numRef>
          </c:val>
        </c:ser>
        <c:ser>
          <c:idx val="1"/>
          <c:order val="1"/>
          <c:tx>
            <c:strRef>
              <c:f>Fat_Tails!E5</c:f>
              <c:strCache>
                <c:ptCount val="1"/>
                <c:pt idx="0">
                  <c:v>Backstop OFF, 3-yr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Fat_Tails!$A$6:$A$10</c:f>
              <c:strCache>
                <c:ptCount val="5"/>
                <c:pt idx="0">
                  <c:v>L0 Gaussian factors, no panic</c:v>
                </c:pt>
                <c:pt idx="1">
                  <c:v>L1 + fat tails (Student-t, nu=4)</c:v>
                </c:pt>
                <c:pt idx="2">
                  <c:v>L2 + crisis regime (correlations to 0.95, 10%)</c:v>
                </c:pt>
                <c:pt idx="3">
                  <c:v>L3 + panic / information contagion</c:v>
                </c:pt>
                <c:pt idx="4">
                  <c:v>L4 + conditioned on today (credit factor -0.3, panic 0.15)</c:v>
                </c:pt>
              </c:strCache>
            </c:strRef>
          </c:cat>
          <c:val>
            <c:numRef>
              <c:f>Fat_Tails!$E$6:$E$10</c:f>
              <c:numCache>
                <c:formatCode>0.00%;\(0.00%\);\-</c:formatCode>
                <c:ptCount val="5"/>
                <c:pt idx="0">
                  <c:v>0.0136</c:v>
                </c:pt>
                <c:pt idx="1">
                  <c:v>0.0188</c:v>
                </c:pt>
                <c:pt idx="2">
                  <c:v>0.01955</c:v>
                </c:pt>
                <c:pt idx="3">
                  <c:v>0.07185</c:v>
                </c:pt>
                <c:pt idx="4">
                  <c:v>0.10525</c:v>
                </c:pt>
              </c:numCache>
            </c:numRef>
          </c:val>
        </c:ser>
        <c:gapWidth val="150"/>
        <c:overlap val="0"/>
        <c:axId val="52592172"/>
        <c:axId val="25043064"/>
      </c:barChart>
      <c:catAx>
        <c:axId val="525921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43064"/>
        <c:crosses val="autoZero"/>
        <c:auto val="1"/>
        <c:lblAlgn val="ctr"/>
        <c:lblOffset val="100"/>
        <c:noMultiLvlLbl val="0"/>
      </c:catAx>
      <c:valAx>
        <c:axId val="250430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921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Given a trigger: P(&gt;=1 G-SIB below 4.5%), ~3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Fat_Tails!B14</c:f>
              <c:strCache>
                <c:ptCount val="1"/>
                <c:pt idx="0">
                  <c:v>P(G-SIB &lt; 4.5%), 3-yr, backstop 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Fat_Tails!$A$15:$A$21</c:f>
              <c:strCache>
                <c:ptCount val="7"/>
                <c:pt idx="0">
                  <c:v>None (today)</c:v>
                </c:pt>
                <c:pt idx="1">
                  <c:v>T1 Largest semi-liquid funds break gates (honour 20%)</c:v>
                </c:pt>
                <c:pt idx="2">
                  <c:v>T2 Private-credit marks cut 10 points</c:v>
                </c:pt>
                <c:pt idx="3">
                  <c:v>T3 Non-govt repo seizes (haircuts +15, MMF pull +50%)</c:v>
                </c:pt>
                <c:pt idx="4">
                  <c:v>T4 A PE-owned insurer fails (FA repo + facilities lost)</c:v>
                </c:pt>
                <c:pt idx="5">
                  <c:v>T5 A G-SIB fails for reasons outside the model</c:v>
                </c:pt>
                <c:pt idx="6">
                  <c:v>T6 T1 + T2 + T3 together</c:v>
                </c:pt>
              </c:strCache>
            </c:strRef>
          </c:cat>
          <c:val>
            <c:numRef>
              <c:f>Fat_Tails!$B$15:$B$21</c:f>
              <c:numCache>
                <c:formatCode>0.00%;\(0.00%\);\-</c:formatCode>
                <c:ptCount val="7"/>
                <c:pt idx="0">
                  <c:v>0.0764</c:v>
                </c:pt>
                <c:pt idx="1">
                  <c:v>0.08375</c:v>
                </c:pt>
                <c:pt idx="2">
                  <c:v>0.1328</c:v>
                </c:pt>
                <c:pt idx="3">
                  <c:v>0.0764</c:v>
                </c:pt>
                <c:pt idx="4">
                  <c:v>0.08265</c:v>
                </c:pt>
                <c:pt idx="5">
                  <c:v>0.0812</c:v>
                </c:pt>
                <c:pt idx="6">
                  <c:v>0.1389</c:v>
                </c:pt>
              </c:numCache>
            </c:numRef>
          </c:val>
        </c:ser>
        <c:ser>
          <c:idx val="1"/>
          <c:order val="1"/>
          <c:tx>
            <c:strRef>
              <c:f>Fat_Tails!E14</c:f>
              <c:strCache>
                <c:ptCount val="1"/>
                <c:pt idx="0">
                  <c:v>Backstop OFF, 3-yr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Fat_Tails!$A$15:$A$21</c:f>
              <c:strCache>
                <c:ptCount val="7"/>
                <c:pt idx="0">
                  <c:v>None (today)</c:v>
                </c:pt>
                <c:pt idx="1">
                  <c:v>T1 Largest semi-liquid funds break gates (honour 20%)</c:v>
                </c:pt>
                <c:pt idx="2">
                  <c:v>T2 Private-credit marks cut 10 points</c:v>
                </c:pt>
                <c:pt idx="3">
                  <c:v>T3 Non-govt repo seizes (haircuts +15, MMF pull +50%)</c:v>
                </c:pt>
                <c:pt idx="4">
                  <c:v>T4 A PE-owned insurer fails (FA repo + facilities lost)</c:v>
                </c:pt>
                <c:pt idx="5">
                  <c:v>T5 A G-SIB fails for reasons outside the model</c:v>
                </c:pt>
                <c:pt idx="6">
                  <c:v>T6 T1 + T2 + T3 together</c:v>
                </c:pt>
              </c:strCache>
            </c:strRef>
          </c:cat>
          <c:val>
            <c:numRef>
              <c:f>Fat_Tails!$E$15:$E$21</c:f>
              <c:numCache>
                <c:formatCode>0.00%;\(0.00%\);\-</c:formatCode>
                <c:ptCount val="7"/>
                <c:pt idx="0">
                  <c:v>0.10525</c:v>
                </c:pt>
                <c:pt idx="1">
                  <c:v>0.12365</c:v>
                </c:pt>
                <c:pt idx="2">
                  <c:v>0.1842</c:v>
                </c:pt>
                <c:pt idx="3">
                  <c:v>0.1071</c:v>
                </c:pt>
                <c:pt idx="4">
                  <c:v>0.1297</c:v>
                </c:pt>
                <c:pt idx="5">
                  <c:v>0.12715</c:v>
                </c:pt>
                <c:pt idx="6">
                  <c:v>0.20765</c:v>
                </c:pt>
              </c:numCache>
            </c:numRef>
          </c:val>
        </c:ser>
        <c:gapWidth val="150"/>
        <c:overlap val="0"/>
        <c:axId val="32046300"/>
        <c:axId val="86984796"/>
      </c:barChart>
      <c:catAx>
        <c:axId val="32046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84796"/>
        <c:crosses val="autoZero"/>
        <c:auto val="1"/>
        <c:lblAlgn val="ctr"/>
        <c:lblOffset val="100"/>
        <c:noMultiLvlLbl val="0"/>
      </c:catAx>
      <c:valAx>
        <c:axId val="869847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463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23</xdr:row>
      <xdr:rowOff>160560</xdr:rowOff>
    </xdr:from>
    <xdr:to>
      <xdr:col>28</xdr:col>
      <xdr:colOff>186120</xdr:colOff>
      <xdr:row>39</xdr:row>
      <xdr:rowOff>8280</xdr:rowOff>
    </xdr:to>
    <xdr:graphicFrame>
      <xdr:nvGraphicFramePr>
        <xdr:cNvPr id="0" name="Chart 1"/>
        <xdr:cNvGraphicFramePr/>
      </xdr:nvGraphicFramePr>
      <xdr:xfrm>
        <a:off x="10409040" y="4570560"/>
        <a:ext cx="93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110</xdr:row>
      <xdr:rowOff>160920</xdr:rowOff>
    </xdr:from>
    <xdr:to>
      <xdr:col>9</xdr:col>
      <xdr:colOff>276480</xdr:colOff>
      <xdr:row>125</xdr:row>
      <xdr:rowOff>182160</xdr:rowOff>
    </xdr:to>
    <xdr:graphicFrame>
      <xdr:nvGraphicFramePr>
        <xdr:cNvPr id="1" name="Chart 1"/>
        <xdr:cNvGraphicFramePr/>
      </xdr:nvGraphicFramePr>
      <xdr:xfrm>
        <a:off x="775440" y="21773160"/>
        <a:ext cx="647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111</xdr:row>
      <xdr:rowOff>0</xdr:rowOff>
    </xdr:from>
    <xdr:to>
      <xdr:col>9</xdr:col>
      <xdr:colOff>277200</xdr:colOff>
      <xdr:row>126</xdr:row>
      <xdr:rowOff>21960</xdr:rowOff>
    </xdr:to>
    <xdr:graphicFrame>
      <xdr:nvGraphicFramePr>
        <xdr:cNvPr id="2" name="Chart 2"/>
        <xdr:cNvGraphicFramePr/>
      </xdr:nvGraphicFramePr>
      <xdr:xfrm>
        <a:off x="775440" y="21802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16</xdr:col>
      <xdr:colOff>62640</xdr:colOff>
      <xdr:row>15</xdr:row>
      <xdr:rowOff>57960</xdr:rowOff>
    </xdr:to>
    <xdr:graphicFrame>
      <xdr:nvGraphicFramePr>
        <xdr:cNvPr id="3" name="Chart 1"/>
        <xdr:cNvGraphicFramePr/>
      </xdr:nvGraphicFramePr>
      <xdr:xfrm>
        <a:off x="7330320" y="379800"/>
        <a:ext cx="647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16</xdr:col>
      <xdr:colOff>63360</xdr:colOff>
      <xdr:row>15</xdr:row>
      <xdr:rowOff>88920</xdr:rowOff>
    </xdr:to>
    <xdr:graphicFrame>
      <xdr:nvGraphicFramePr>
        <xdr:cNvPr id="4" name="Chart 2"/>
        <xdr:cNvGraphicFramePr/>
      </xdr:nvGraphicFramePr>
      <xdr:xfrm>
        <a:off x="7330320" y="409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160920</xdr:rowOff>
    </xdr:from>
    <xdr:to>
      <xdr:col>23</xdr:col>
      <xdr:colOff>255240</xdr:colOff>
      <xdr:row>13</xdr:row>
      <xdr:rowOff>270000</xdr:rowOff>
    </xdr:to>
    <xdr:graphicFrame>
      <xdr:nvGraphicFramePr>
        <xdr:cNvPr id="5" name="Chart 1"/>
        <xdr:cNvGraphicFramePr/>
      </xdr:nvGraphicFramePr>
      <xdr:xfrm>
        <a:off x="19289880" y="570600"/>
        <a:ext cx="575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18</xdr:row>
      <xdr:rowOff>160560</xdr:rowOff>
    </xdr:from>
    <xdr:to>
      <xdr:col>23</xdr:col>
      <xdr:colOff>255240</xdr:colOff>
      <xdr:row>32</xdr:row>
      <xdr:rowOff>57960</xdr:rowOff>
    </xdr:to>
    <xdr:graphicFrame>
      <xdr:nvGraphicFramePr>
        <xdr:cNvPr id="6" name="Chart 2"/>
        <xdr:cNvGraphicFramePr/>
      </xdr:nvGraphicFramePr>
      <xdr:xfrm>
        <a:off x="19289880" y="4246920"/>
        <a:ext cx="575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23</xdr:col>
      <xdr:colOff>255960</xdr:colOff>
      <xdr:row>13</xdr:row>
      <xdr:rowOff>300240</xdr:rowOff>
    </xdr:to>
    <xdr:graphicFrame>
      <xdr:nvGraphicFramePr>
        <xdr:cNvPr id="7" name="Chart 3"/>
        <xdr:cNvGraphicFramePr/>
      </xdr:nvGraphicFramePr>
      <xdr:xfrm>
        <a:off x="19289880" y="600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19</xdr:row>
      <xdr:rowOff>0</xdr:rowOff>
    </xdr:from>
    <xdr:to>
      <xdr:col>23</xdr:col>
      <xdr:colOff>255960</xdr:colOff>
      <xdr:row>32</xdr:row>
      <xdr:rowOff>88920</xdr:rowOff>
    </xdr:to>
    <xdr:graphicFrame>
      <xdr:nvGraphicFramePr>
        <xdr:cNvPr id="8" name="Chart 4"/>
        <xdr:cNvGraphicFramePr/>
      </xdr:nvGraphicFramePr>
      <xdr:xfrm>
        <a:off x="19289880" y="4276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60" hidden="false" customHeight="true" outlineLevel="0" collapsed="false">
      <c r="A4" s="3" t="s">
        <v>3</v>
      </c>
    </row>
    <row r="5" customFormat="false" ht="75" hidden="false" customHeight="true" outlineLevel="0" collapsed="false">
      <c r="A5" s="3" t="s">
        <v>4</v>
      </c>
    </row>
    <row r="6" customFormat="false" ht="60" hidden="false" customHeight="true" outlineLevel="0" collapsed="false">
      <c r="A6" s="3" t="s">
        <v>5</v>
      </c>
    </row>
    <row r="7" customFormat="false" ht="30" hidden="false" customHeight="true" outlineLevel="0" collapsed="false">
      <c r="A7" s="3" t="s">
        <v>6</v>
      </c>
    </row>
    <row r="8" customFormat="false" ht="60" hidden="false" customHeight="true" outlineLevel="0" collapsed="false">
      <c r="A8" s="3" t="s">
        <v>7</v>
      </c>
    </row>
    <row r="9" customFormat="false" ht="15" hidden="false" customHeight="true" outlineLevel="0" collapsed="false">
      <c r="A9" s="4" t="s">
        <v>8</v>
      </c>
    </row>
    <row r="10" customFormat="false" ht="30" hidden="false" customHeight="true" outlineLevel="0" collapsed="false">
      <c r="A10" s="3" t="s">
        <v>9</v>
      </c>
    </row>
    <row r="11" customFormat="false" ht="30" hidden="false" customHeight="true" outlineLevel="0" collapsed="false">
      <c r="A11" s="3" t="s">
        <v>10</v>
      </c>
    </row>
    <row r="12" customFormat="false" ht="15" hidden="false" customHeight="true" outlineLevel="0" collapsed="false">
      <c r="A12" s="4" t="s">
        <v>11</v>
      </c>
    </row>
    <row r="13" customFormat="false" ht="75" hidden="false" customHeight="true" outlineLevel="0" collapsed="false">
      <c r="A13" s="3" t="s">
        <v>12</v>
      </c>
    </row>
    <row r="14" customFormat="false" ht="15" hidden="false" customHeight="true" outlineLevel="0" collapsed="false">
      <c r="A14" s="4" t="s">
        <v>13</v>
      </c>
    </row>
    <row r="15" customFormat="false" ht="75" hidden="false" customHeight="true" outlineLevel="0" collapsed="false">
      <c r="A15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7" min="4" style="1" width="11"/>
    <col collapsed="false" customWidth="true" hidden="false" outlineLevel="0" max="8" min="8" style="1" width="15"/>
    <col collapsed="false" customWidth="true" hidden="false" outlineLevel="0" max="12" min="9" style="1" width="11"/>
  </cols>
  <sheetData>
    <row r="1" customFormat="false" ht="17.25" hidden="false" customHeight="true" outlineLevel="0" collapsed="false">
      <c r="A1" s="5" t="s">
        <v>15</v>
      </c>
    </row>
    <row r="2" customFormat="false" ht="15" hidden="false" customHeight="true" outlineLevel="0" collapsed="false">
      <c r="A2" s="6" t="s">
        <v>16</v>
      </c>
    </row>
    <row r="4" customFormat="false" ht="15" hidden="false" customHeight="true" outlineLevel="0" collapsed="false">
      <c r="B4" s="7" t="s">
        <v>17</v>
      </c>
      <c r="C4" s="8" t="s">
        <v>18</v>
      </c>
      <c r="E4" s="6" t="s">
        <v>19</v>
      </c>
    </row>
    <row r="6" customFormat="false" ht="15" hidden="false" customHeight="true" outlineLevel="0" collapsed="false">
      <c r="B6" s="9" t="s">
        <v>20</v>
      </c>
      <c r="H6" s="9" t="s">
        <v>21</v>
      </c>
      <c r="L6" s="7" t="s">
        <v>22</v>
      </c>
      <c r="M6" s="7" t="s">
        <v>23</v>
      </c>
    </row>
    <row r="7" customFormat="false" ht="15" hidden="false" customHeight="true" outlineLevel="0" collapsed="false">
      <c r="B7" s="10" t="s">
        <v>24</v>
      </c>
      <c r="F7" s="11" t="n">
        <f aca="false">Results!B33</f>
        <v>748.907118737328</v>
      </c>
      <c r="H7" s="12" t="str">
        <f aca="false">MC_Summary!A5</f>
        <v>P(systemic: &gt;=3 G-SIBs &lt; MDA or any G-SIB default)</v>
      </c>
      <c r="L7" s="13" t="n">
        <f aca="false">MC_Summary!B5</f>
        <v>0.0997</v>
      </c>
      <c r="M7" s="13" t="n">
        <f aca="false">MC_Summary!C5</f>
        <v>0.12</v>
      </c>
    </row>
    <row r="8" customFormat="false" ht="15" hidden="false" customHeight="true" outlineLevel="0" collapsed="false">
      <c r="B8" s="10" t="s">
        <v>25</v>
      </c>
      <c r="F8" s="11" t="n">
        <f aca="false">Results!B34</f>
        <v>1465.09373008232</v>
      </c>
      <c r="H8" s="12" t="str">
        <f aca="false">MC_Summary!A6</f>
        <v>P(&gt;=1 G-SIB below MDA)</v>
      </c>
      <c r="L8" s="13" t="n">
        <f aca="false">MC_Summary!B6</f>
        <v>0.1014</v>
      </c>
      <c r="M8" s="13" t="n">
        <f aca="false">MC_Summary!C6</f>
        <v>0.1251</v>
      </c>
    </row>
    <row r="9" customFormat="false" ht="15" hidden="false" customHeight="true" outlineLevel="0" collapsed="false">
      <c r="B9" s="10" t="s">
        <v>26</v>
      </c>
      <c r="F9" s="14" t="n">
        <f aca="false">Results!B35</f>
        <v>1.95630899136398</v>
      </c>
      <c r="H9" s="12" t="str">
        <f aca="false">MC_Summary!A7</f>
        <v>P(&gt;=3 G-SIBs below MDA)</v>
      </c>
      <c r="L9" s="13" t="n">
        <f aca="false">MC_Summary!B7</f>
        <v>0.0997</v>
      </c>
      <c r="M9" s="13" t="n">
        <f aca="false">MC_Summary!C7</f>
        <v>0.12</v>
      </c>
    </row>
    <row r="10" customFormat="false" ht="15" hidden="false" customHeight="true" outlineLevel="0" collapsed="false">
      <c r="B10" s="10" t="s">
        <v>27</v>
      </c>
      <c r="F10" s="15" t="n">
        <f aca="false">Results!B36</f>
        <v>18</v>
      </c>
      <c r="H10" s="12" t="str">
        <f aca="false">MC_Summary!A8</f>
        <v>P(&gt;=1 G-SIB below 4.5% minimum)</v>
      </c>
      <c r="L10" s="13" t="n">
        <f aca="false">MC_Summary!B8</f>
        <v>0.0767</v>
      </c>
      <c r="M10" s="13" t="n">
        <f aca="false">MC_Summary!C8</f>
        <v>0.1053</v>
      </c>
    </row>
    <row r="11" customFormat="false" ht="15" hidden="false" customHeight="true" outlineLevel="0" collapsed="false">
      <c r="B11" s="10" t="s">
        <v>28</v>
      </c>
      <c r="F11" s="15" t="n">
        <f aca="false">Results!B37</f>
        <v>11</v>
      </c>
      <c r="H11" s="12" t="str">
        <f aca="false">MC_Summary!A9</f>
        <v>P(any institution in default / resolution)</v>
      </c>
      <c r="L11" s="13" t="n">
        <f aca="false">MC_Summary!B9</f>
        <v>0.0766</v>
      </c>
      <c r="M11" s="13" t="n">
        <f aca="false">MC_Summary!C9</f>
        <v>0.1098</v>
      </c>
    </row>
    <row r="12" customFormat="false" ht="15" hidden="false" customHeight="true" outlineLevel="0" collapsed="false">
      <c r="B12" s="10" t="s">
        <v>29</v>
      </c>
      <c r="F12" s="15" t="n">
        <f aca="false">Results!B38</f>
        <v>14</v>
      </c>
    </row>
    <row r="13" customFormat="false" ht="15" hidden="false" customHeight="true" outlineLevel="0" collapsed="false">
      <c r="B13" s="10" t="s">
        <v>30</v>
      </c>
      <c r="F13" s="11" t="n">
        <f aca="false">Results!B39</f>
        <v>1192.22650906098</v>
      </c>
      <c r="H13" s="9" t="s">
        <v>31</v>
      </c>
      <c r="L13" s="7" t="s">
        <v>32</v>
      </c>
      <c r="M13" s="7" t="s">
        <v>33</v>
      </c>
    </row>
    <row r="14" customFormat="false" ht="15" hidden="false" customHeight="true" outlineLevel="0" collapsed="false">
      <c r="B14" s="10" t="s">
        <v>34</v>
      </c>
      <c r="F14" s="11" t="n">
        <f aca="false">Results!B40</f>
        <v>1693.20052387676</v>
      </c>
      <c r="H14" s="10" t="s">
        <v>35</v>
      </c>
      <c r="L14" s="16" t="n">
        <f aca="false">Reverse_Stress!B108</f>
        <v>-0.875</v>
      </c>
      <c r="M14" s="17" t="n">
        <f aca="false">Reverse_Stress!C108</f>
        <v>0.846126511785262</v>
      </c>
    </row>
    <row r="15" customFormat="false" ht="15" hidden="false" customHeight="true" outlineLevel="0" collapsed="false">
      <c r="B15" s="10" t="s">
        <v>36</v>
      </c>
      <c r="F15" s="18" t="str">
        <f aca="false">Results!B41</f>
        <v>YES</v>
      </c>
      <c r="H15" s="10" t="s">
        <v>37</v>
      </c>
      <c r="L15" s="16" t="n">
        <f aca="false">Reverse_Stress!D108</f>
        <v>-1</v>
      </c>
      <c r="M15" s="17" t="n">
        <f aca="false">Reverse_Stress!E108</f>
        <v>0.820604903153857</v>
      </c>
    </row>
    <row r="16" customFormat="false" ht="15" hidden="false" customHeight="true" outlineLevel="0" collapsed="false">
      <c r="B16" s="10" t="s">
        <v>38</v>
      </c>
      <c r="F16" s="11" t="n">
        <f aca="false">Results!B42</f>
        <v>2113.5618395659</v>
      </c>
      <c r="H16" s="10" t="s">
        <v>39</v>
      </c>
      <c r="L16" s="16" t="n">
        <f aca="false">Reverse_Stress!F108</f>
        <v>-1.125</v>
      </c>
      <c r="M16" s="17" t="n">
        <f aca="false">Reverse_Stress!G108</f>
        <v>0.794351903003939</v>
      </c>
    </row>
    <row r="17" customFormat="false" ht="15" hidden="false" customHeight="true" outlineLevel="0" collapsed="false">
      <c r="B17" s="10" t="s">
        <v>40</v>
      </c>
      <c r="F17" s="18" t="str">
        <f aca="false">Results!B43</f>
        <v>34 / 33</v>
      </c>
      <c r="H17" s="10" t="s">
        <v>41</v>
      </c>
      <c r="L17" s="16" t="n">
        <f aca="false">Reverse_Stress!H108</f>
        <v>-1.125</v>
      </c>
      <c r="M17" s="17" t="n">
        <f aca="false">Reverse_Stress!I108</f>
        <v>0.794351903003939</v>
      </c>
    </row>
    <row r="18" customFormat="false" ht="15" hidden="false" customHeight="true" outlineLevel="0" collapsed="false">
      <c r="B18" s="10" t="s">
        <v>42</v>
      </c>
      <c r="F18" s="19" t="n">
        <f aca="false">Results!B44</f>
        <v>0.408146622487016</v>
      </c>
      <c r="H18" s="6" t="s">
        <v>43</v>
      </c>
    </row>
    <row r="19" customFormat="false" ht="15" hidden="false" customHeight="true" outlineLevel="0" collapsed="false">
      <c r="B19" s="10" t="s">
        <v>44</v>
      </c>
      <c r="F19" s="18" t="str">
        <f aca="false">Results!B45</f>
        <v>79.1% / 92.4%</v>
      </c>
      <c r="H19" s="9" t="s">
        <v>45</v>
      </c>
    </row>
    <row r="20" customFormat="false" ht="15" hidden="false" customHeight="true" outlineLevel="0" collapsed="false">
      <c r="B20" s="10" t="s">
        <v>46</v>
      </c>
      <c r="F20" s="19" t="n">
        <f aca="false">Results!B46</f>
        <v>1</v>
      </c>
      <c r="H20" s="10" t="s">
        <v>47</v>
      </c>
      <c r="L20" s="20" t="n">
        <f aca="false">1-(1-MC_Summary!B8)^(1/3)</f>
        <v>0.0262496834701826</v>
      </c>
      <c r="M20" s="20" t="n">
        <f aca="false">1-(1-MC_Summary!C8)^(1/3)</f>
        <v>0.0364095677631287</v>
      </c>
    </row>
    <row r="21" customFormat="false" ht="15" hidden="false" customHeight="true" outlineLevel="0" collapsed="false">
      <c r="B21" s="10" t="s">
        <v>48</v>
      </c>
      <c r="F21" s="18" t="str">
        <f aca="false">Results!B47</f>
        <v>100% &gt; 100% &gt; 100% &gt; 100% &gt; 100% &gt; 100% &gt; 100% &gt; 100%</v>
      </c>
      <c r="H21" s="10" t="s">
        <v>49</v>
      </c>
      <c r="L21" s="20" t="n">
        <f aca="false">1-(1-MC_Summary!B8)^(1/12)</f>
        <v>0.00662802627441661</v>
      </c>
      <c r="M21" s="20" t="n">
        <f aca="false">1-(1-MC_Summary!C8)^(1/12)</f>
        <v>0.00922937975889571</v>
      </c>
    </row>
    <row r="23" customFormat="false" ht="15" hidden="false" customHeight="true" outlineLevel="0" collapsed="false">
      <c r="B23" s="6" t="s">
        <v>50</v>
      </c>
    </row>
    <row r="25" customFormat="false" ht="42" hidden="false" customHeight="true" outlineLevel="0" collapsed="false">
      <c r="B25" s="21" t="s">
        <v>51</v>
      </c>
      <c r="C25" s="21" t="s">
        <v>52</v>
      </c>
      <c r="D25" s="21" t="s">
        <v>53</v>
      </c>
      <c r="E25" s="21" t="s">
        <v>54</v>
      </c>
      <c r="F25" s="21" t="s">
        <v>55</v>
      </c>
      <c r="G25" s="21" t="s">
        <v>56</v>
      </c>
      <c r="H25" s="21" t="s">
        <v>57</v>
      </c>
      <c r="I25" s="21" t="s">
        <v>58</v>
      </c>
      <c r="J25" s="21" t="s">
        <v>59</v>
      </c>
      <c r="K25" s="21" t="s">
        <v>60</v>
      </c>
      <c r="L25" s="21" t="s">
        <v>61</v>
      </c>
    </row>
    <row r="26" customFormat="false" ht="15" hidden="false" customHeight="true" outlineLevel="0" collapsed="false">
      <c r="B26" s="12" t="str">
        <f aca="false">Results!A6</f>
        <v>JPM</v>
      </c>
      <c r="C26" s="12" t="str">
        <f aca="false">Results!B6</f>
        <v>JPMorgan</v>
      </c>
      <c r="D26" s="22" t="n">
        <f aca="false">Results!D6</f>
        <v>0.139271811312114</v>
      </c>
      <c r="E26" s="22" t="n">
        <f aca="false">Results!E6</f>
        <v>0.115</v>
      </c>
      <c r="F26" s="22" t="n">
        <f aca="false">Results!G6</f>
        <v>0.0905607079181314</v>
      </c>
      <c r="G26" s="22" t="n">
        <f aca="false">Results!I6</f>
        <v>0.0579926268046499</v>
      </c>
      <c r="H26" s="12" t="str">
        <f aca="false">Results!L6</f>
        <v>MDA breach</v>
      </c>
      <c r="I26" s="23" t="n">
        <f aca="false">Results!F6</f>
        <v>90.5415498016209</v>
      </c>
      <c r="J26" s="23" t="n">
        <f aca="false">Results!H6</f>
        <v>167.342947321811</v>
      </c>
      <c r="K26" s="23" t="n">
        <f aca="false">Results!O6</f>
        <v>0</v>
      </c>
      <c r="L26" s="24" t="n">
        <f aca="false">Results!M6</f>
        <v>4</v>
      </c>
    </row>
    <row r="27" customFormat="false" ht="15" hidden="false" customHeight="true" outlineLevel="0" collapsed="false">
      <c r="B27" s="12" t="str">
        <f aca="false">Results!A7</f>
        <v>BAC</v>
      </c>
      <c r="C27" s="12" t="str">
        <f aca="false">Results!B7</f>
        <v>Bank of America</v>
      </c>
      <c r="D27" s="22" t="n">
        <f aca="false">Results!D7</f>
        <v>0.108777893524864</v>
      </c>
      <c r="E27" s="22" t="n">
        <f aca="false">Results!E7</f>
        <v>0.1</v>
      </c>
      <c r="F27" s="22" t="n">
        <f aca="false">Results!G7</f>
        <v>0.0639123272540789</v>
      </c>
      <c r="G27" s="22" t="n">
        <f aca="false">Results!I7</f>
        <v>0.0269501064254917</v>
      </c>
      <c r="H27" s="12" t="str">
        <f aca="false">Results!L7</f>
        <v>Below minimum</v>
      </c>
      <c r="I27" s="23" t="n">
        <f aca="false">Results!F7</f>
        <v>72.5047308269883</v>
      </c>
      <c r="J27" s="23" t="n">
        <f aca="false">Results!H7</f>
        <v>145.313356961789</v>
      </c>
      <c r="K27" s="23" t="n">
        <f aca="false">Results!O7</f>
        <v>280.44922143275</v>
      </c>
      <c r="L27" s="24" t="n">
        <f aca="false">Results!M7</f>
        <v>6</v>
      </c>
    </row>
    <row r="28" customFormat="false" ht="15" hidden="false" customHeight="true" outlineLevel="0" collapsed="false">
      <c r="B28" s="12" t="str">
        <f aca="false">Results!A8</f>
        <v>C</v>
      </c>
      <c r="C28" s="12" t="str">
        <f aca="false">Results!B8</f>
        <v>Citigroup</v>
      </c>
      <c r="D28" s="22" t="n">
        <f aca="false">Results!D8</f>
        <v>0.127770111210326</v>
      </c>
      <c r="E28" s="22" t="n">
        <f aca="false">Results!E8</f>
        <v>0.116</v>
      </c>
      <c r="F28" s="22" t="n">
        <f aca="false">Results!G8</f>
        <v>0.0747742857540621</v>
      </c>
      <c r="G28" s="22" t="n">
        <f aca="false">Results!I8</f>
        <v>0.0402347976121738</v>
      </c>
      <c r="H28" s="12" t="str">
        <f aca="false">Results!L8</f>
        <v>Below minimum</v>
      </c>
      <c r="I28" s="23" t="n">
        <f aca="false">Results!F8</f>
        <v>57.9164019699365</v>
      </c>
      <c r="J28" s="23" t="n">
        <f aca="false">Results!H8</f>
        <v>103.869533047288</v>
      </c>
      <c r="K28" s="23" t="n">
        <f aca="false">Results!O8</f>
        <v>263.57462853276</v>
      </c>
      <c r="L28" s="24" t="n">
        <f aca="false">Results!M8</f>
        <v>6</v>
      </c>
    </row>
    <row r="29" customFormat="false" ht="15" hidden="false" customHeight="true" outlineLevel="0" collapsed="false">
      <c r="B29" s="12" t="str">
        <f aca="false">Results!A9</f>
        <v>WFC</v>
      </c>
      <c r="C29" s="12" t="str">
        <f aca="false">Results!B9</f>
        <v>Wells Fargo</v>
      </c>
      <c r="D29" s="22" t="n">
        <f aca="false">Results!D9</f>
        <v>0.100462755635169</v>
      </c>
      <c r="E29" s="22" t="n">
        <f aca="false">Results!E9</f>
        <v>0.085</v>
      </c>
      <c r="F29" s="22" t="n">
        <f aca="false">Results!G9</f>
        <v>0.042444949061729</v>
      </c>
      <c r="G29" s="22" t="n">
        <f aca="false">Results!I9</f>
        <v>0.00207390282086281</v>
      </c>
      <c r="H29" s="12" t="str">
        <f aca="false">Results!L9</f>
        <v>Below minimum</v>
      </c>
      <c r="I29" s="23" t="n">
        <f aca="false">Results!F9</f>
        <v>73.1828378268631</v>
      </c>
      <c r="J29" s="23" t="n">
        <f aca="false">Results!H9</f>
        <v>131.599095800657</v>
      </c>
      <c r="K29" s="23" t="n">
        <f aca="false">Results!O9</f>
        <v>326.580851754145</v>
      </c>
      <c r="L29" s="24" t="n">
        <f aca="false">Results!M9</f>
        <v>6</v>
      </c>
    </row>
    <row r="30" customFormat="false" ht="15" hidden="false" customHeight="true" outlineLevel="0" collapsed="false">
      <c r="B30" s="12" t="str">
        <f aca="false">Results!A10</f>
        <v>GS</v>
      </c>
      <c r="C30" s="12" t="str">
        <f aca="false">Results!B10</f>
        <v>Goldman Sachs</v>
      </c>
      <c r="D30" s="22" t="n">
        <f aca="false">Results!D10</f>
        <v>0.124112607099143</v>
      </c>
      <c r="E30" s="22" t="n">
        <f aca="false">Results!E10</f>
        <v>0.114</v>
      </c>
      <c r="F30" s="22" t="n">
        <f aca="false">Results!G10</f>
        <v>0.0604096721270295</v>
      </c>
      <c r="G30" s="22" t="n">
        <f aca="false">Results!I10</f>
        <v>0.0105156793887712</v>
      </c>
      <c r="H30" s="12" t="str">
        <f aca="false">Results!L10</f>
        <v>Below minimum</v>
      </c>
      <c r="I30" s="23" t="n">
        <f aca="false">Results!F10</f>
        <v>48.0969217019943</v>
      </c>
      <c r="J30" s="23" t="n">
        <f aca="false">Results!H10</f>
        <v>92.1213851345239</v>
      </c>
      <c r="K30" s="23" t="n">
        <f aca="false">Results!O10</f>
        <v>0</v>
      </c>
      <c r="L30" s="24" t="n">
        <f aca="false">Results!M10</f>
        <v>6</v>
      </c>
    </row>
    <row r="31" customFormat="false" ht="15" hidden="false" customHeight="true" outlineLevel="0" collapsed="false">
      <c r="B31" s="12" t="str">
        <f aca="false">Results!A11</f>
        <v>MS</v>
      </c>
      <c r="C31" s="12" t="str">
        <f aca="false">Results!B11</f>
        <v>Morgan Stanley</v>
      </c>
      <c r="D31" s="22" t="n">
        <f aca="false">Results!D11</f>
        <v>0.149043303121853</v>
      </c>
      <c r="E31" s="22" t="n">
        <f aca="false">Results!E11</f>
        <v>0.118</v>
      </c>
      <c r="F31" s="22" t="n">
        <f aca="false">Results!G11</f>
        <v>0.0746186198099384</v>
      </c>
      <c r="G31" s="22" t="n">
        <f aca="false">Results!I11</f>
        <v>0.0189677475490801</v>
      </c>
      <c r="H31" s="12" t="str">
        <f aca="false">Results!L11</f>
        <v>Below minimum</v>
      </c>
      <c r="I31" s="23" t="n">
        <f aca="false">Results!F11</f>
        <v>40.7856044226178</v>
      </c>
      <c r="J31" s="23" t="n">
        <f aca="false">Results!H11</f>
        <v>76.5949372910787</v>
      </c>
      <c r="K31" s="23" t="n">
        <f aca="false">Results!O11</f>
        <v>0</v>
      </c>
      <c r="L31" s="24" t="n">
        <f aca="false">Results!M11</f>
        <v>6</v>
      </c>
    </row>
    <row r="32" customFormat="false" ht="15" hidden="false" customHeight="true" outlineLevel="0" collapsed="false">
      <c r="B32" s="12" t="str">
        <f aca="false">Results!A12</f>
        <v>PNC</v>
      </c>
      <c r="C32" s="12" t="str">
        <f aca="false">Results!B12</f>
        <v>PNC</v>
      </c>
      <c r="D32" s="22" t="n">
        <f aca="false">Results!D12</f>
        <v>0.0980431309904153</v>
      </c>
      <c r="E32" s="22" t="n">
        <f aca="false">Results!E12</f>
        <v>0.07</v>
      </c>
      <c r="F32" s="22" t="n">
        <f aca="false">Results!G12</f>
        <v>0.0376352452513326</v>
      </c>
      <c r="G32" s="22" t="n">
        <f aca="false">Results!I12</f>
        <v>0.00360182651565631</v>
      </c>
      <c r="H32" s="12" t="str">
        <f aca="false">Results!L12</f>
        <v>Below minimum</v>
      </c>
      <c r="I32" s="23" t="n">
        <f aca="false">Results!F12</f>
        <v>28.7444507123833</v>
      </c>
      <c r="J32" s="23" t="n">
        <f aca="false">Results!H12</f>
        <v>47.1519017034361</v>
      </c>
      <c r="K32" s="23" t="n">
        <f aca="false">Results!O12</f>
        <v>71.5984874</v>
      </c>
      <c r="L32" s="24" t="n">
        <f aca="false">Results!M12</f>
        <v>6</v>
      </c>
    </row>
    <row r="33" customFormat="false" ht="15" hidden="false" customHeight="true" outlineLevel="0" collapsed="false">
      <c r="B33" s="12" t="str">
        <f aca="false">Results!A13</f>
        <v>USB</v>
      </c>
      <c r="C33" s="12" t="str">
        <f aca="false">Results!B13</f>
        <v>U.S. Bancorp</v>
      </c>
      <c r="D33" s="22" t="n">
        <f aca="false">Results!D13</f>
        <v>0.108225108225108</v>
      </c>
      <c r="E33" s="22" t="n">
        <f aca="false">Results!E13</f>
        <v>0.071</v>
      </c>
      <c r="F33" s="22" t="n">
        <f aca="false">Results!G13</f>
        <v>0.0746071784859687</v>
      </c>
      <c r="G33" s="22" t="n">
        <f aca="false">Results!I13</f>
        <v>0.0509039617393305</v>
      </c>
      <c r="H33" s="12" t="str">
        <f aca="false">Results!L13</f>
        <v>MDA breach</v>
      </c>
      <c r="I33" s="23" t="n">
        <f aca="false">Results!F13</f>
        <v>14.0514024449052</v>
      </c>
      <c r="J33" s="23" t="n">
        <f aca="false">Results!H13</f>
        <v>27.061055175598</v>
      </c>
      <c r="K33" s="23" t="n">
        <f aca="false">Results!O13</f>
        <v>0</v>
      </c>
      <c r="L33" s="24" t="n">
        <f aca="false">Results!M13</f>
        <v>3</v>
      </c>
    </row>
    <row r="34" customFormat="false" ht="15" hidden="false" customHeight="true" outlineLevel="0" collapsed="false">
      <c r="B34" s="12" t="str">
        <f aca="false">Results!A14</f>
        <v>TFC</v>
      </c>
      <c r="C34" s="12" t="str">
        <f aca="false">Results!B14</f>
        <v>Truist</v>
      </c>
      <c r="D34" s="22" t="n">
        <f aca="false">Results!D14</f>
        <v>0.107225567392311</v>
      </c>
      <c r="E34" s="22" t="n">
        <f aca="false">Results!E14</f>
        <v>0.07</v>
      </c>
      <c r="F34" s="22" t="n">
        <f aca="false">Results!G14</f>
        <v>0.051950611809369</v>
      </c>
      <c r="G34" s="22" t="n">
        <f aca="false">Results!I14</f>
        <v>0.0157292211183521</v>
      </c>
      <c r="H34" s="12" t="str">
        <f aca="false">Results!L14</f>
        <v>Below minimum</v>
      </c>
      <c r="I34" s="23" t="n">
        <f aca="false">Results!F14</f>
        <v>22.0731438863716</v>
      </c>
      <c r="J34" s="23" t="n">
        <f aca="false">Results!H14</f>
        <v>38.9647721067832</v>
      </c>
      <c r="K34" s="23" t="n">
        <f aca="false">Results!O14</f>
        <v>74.5706332</v>
      </c>
      <c r="L34" s="24" t="n">
        <f aca="false">Results!M14</f>
        <v>6</v>
      </c>
    </row>
    <row r="35" customFormat="false" ht="15" hidden="false" customHeight="true" outlineLevel="0" collapsed="false">
      <c r="B35" s="12" t="str">
        <f aca="false">Results!A15</f>
        <v>STT</v>
      </c>
      <c r="C35" s="12" t="str">
        <f aca="false">Results!B15</f>
        <v>State Street</v>
      </c>
      <c r="D35" s="22" t="n">
        <f aca="false">Results!D15</f>
        <v>0.109530583214794</v>
      </c>
      <c r="E35" s="22" t="n">
        <f aca="false">Results!E15</f>
        <v>0.08</v>
      </c>
      <c r="F35" s="22" t="n">
        <f aca="false">Results!G15</f>
        <v>-0.0110774117533918</v>
      </c>
      <c r="G35" s="22" t="n">
        <f aca="false">Results!I15</f>
        <v>-0.112909158592408</v>
      </c>
      <c r="H35" s="12" t="str">
        <f aca="false">Results!L15</f>
        <v>Insolvent</v>
      </c>
      <c r="I35" s="23" t="n">
        <f aca="false">Results!F15</f>
        <v>17.082082819929</v>
      </c>
      <c r="J35" s="23" t="n">
        <f aca="false">Results!H15</f>
        <v>32.54502991394</v>
      </c>
      <c r="K35" s="23" t="n">
        <f aca="false">Results!O15</f>
        <v>116.968057862954</v>
      </c>
      <c r="L35" s="24" t="n">
        <f aca="false">Results!M15</f>
        <v>6</v>
      </c>
    </row>
    <row r="36" customFormat="false" ht="15" hidden="false" customHeight="true" outlineLevel="0" collapsed="false">
      <c r="B36" s="12" t="str">
        <f aca="false">Results!A16</f>
        <v>BK</v>
      </c>
      <c r="C36" s="12" t="str">
        <f aca="false">Results!B16</f>
        <v>BNY</v>
      </c>
      <c r="D36" s="22" t="n">
        <f aca="false">Results!D16</f>
        <v>0.109489051094891</v>
      </c>
      <c r="E36" s="22" t="n">
        <f aca="false">Results!E16</f>
        <v>0.085</v>
      </c>
      <c r="F36" s="22" t="n">
        <f aca="false">Results!G16</f>
        <v>0.0711944698172953</v>
      </c>
      <c r="G36" s="22" t="n">
        <f aca="false">Results!I16</f>
        <v>0.0334695551461126</v>
      </c>
      <c r="H36" s="12" t="str">
        <f aca="false">Results!L16</f>
        <v>Below minimum</v>
      </c>
      <c r="I36" s="23" t="n">
        <f aca="false">Results!F16</f>
        <v>6.25249274416618</v>
      </c>
      <c r="J36" s="23" t="n">
        <f aca="false">Results!H16</f>
        <v>14.0669824688136</v>
      </c>
      <c r="K36" s="23" t="n">
        <f aca="false">Results!O16</f>
        <v>85.534064394763</v>
      </c>
      <c r="L36" s="24" t="n">
        <f aca="false">Results!M16</f>
        <v>6</v>
      </c>
    </row>
    <row r="37" customFormat="false" ht="15" hidden="false" customHeight="true" outlineLevel="0" collapsed="false">
      <c r="B37" s="12" t="str">
        <f aca="false">Results!A17</f>
        <v>FCNCA</v>
      </c>
      <c r="C37" s="12" t="str">
        <f aca="false">Results!B17</f>
        <v>First Citizens</v>
      </c>
      <c r="D37" s="22" t="n">
        <f aca="false">Results!D17</f>
        <v>0.107719393282774</v>
      </c>
      <c r="E37" s="22" t="n">
        <f aca="false">Results!E17</f>
        <v>0.07</v>
      </c>
      <c r="F37" s="22" t="n">
        <f aca="false">Results!G17</f>
        <v>0.0674737213234118</v>
      </c>
      <c r="G37" s="22" t="n">
        <f aca="false">Results!I17</f>
        <v>0.0594960655409115</v>
      </c>
      <c r="H37" s="12" t="str">
        <f aca="false">Results!L17</f>
        <v>MDA breach</v>
      </c>
      <c r="I37" s="23" t="n">
        <f aca="false">Results!F17</f>
        <v>6.43289912719403</v>
      </c>
      <c r="J37" s="23" t="n">
        <f aca="false">Results!H17</f>
        <v>8.02338840523956</v>
      </c>
      <c r="K37" s="23" t="n">
        <f aca="false">Results!O17</f>
        <v>0</v>
      </c>
      <c r="L37" s="24" t="n">
        <f aca="false">Results!M17</f>
        <v>2</v>
      </c>
    </row>
    <row r="38" customFormat="false" ht="15" hidden="false" customHeight="true" outlineLevel="0" collapsed="false">
      <c r="B38" s="12" t="str">
        <f aca="false">Results!A18</f>
        <v>CFG</v>
      </c>
      <c r="C38" s="12" t="str">
        <f aca="false">Results!B18</f>
        <v>Citizens</v>
      </c>
      <c r="D38" s="22" t="n">
        <f aca="false">Results!D18</f>
        <v>0.105470953186689</v>
      </c>
      <c r="E38" s="22" t="n">
        <f aca="false">Results!E18</f>
        <v>0.09</v>
      </c>
      <c r="F38" s="22" t="n">
        <f aca="false">Results!G18</f>
        <v>0.0604462745025428</v>
      </c>
      <c r="G38" s="22" t="n">
        <f aca="false">Results!I18</f>
        <v>0.0396275346594056</v>
      </c>
      <c r="H38" s="12" t="str">
        <f aca="false">Results!L18</f>
        <v>Below minimum</v>
      </c>
      <c r="I38" s="23" t="n">
        <f aca="false">Results!F18</f>
        <v>7.1255055731551</v>
      </c>
      <c r="J38" s="23" t="n">
        <f aca="false">Results!H18</f>
        <v>11.1119611532784</v>
      </c>
      <c r="K38" s="23" t="n">
        <f aca="false">Results!O18</f>
        <v>8.44163670000003</v>
      </c>
      <c r="L38" s="24" t="n">
        <f aca="false">Results!M18</f>
        <v>5</v>
      </c>
    </row>
    <row r="39" customFormat="false" ht="15" hidden="false" customHeight="true" outlineLevel="0" collapsed="false">
      <c r="B39" s="12" t="str">
        <f aca="false">Results!A19</f>
        <v>BARC</v>
      </c>
      <c r="C39" s="12" t="str">
        <f aca="false">Results!B19</f>
        <v>Barclays</v>
      </c>
      <c r="D39" s="22" t="n">
        <f aca="false">Results!D19</f>
        <v>0.143092105263158</v>
      </c>
      <c r="E39" s="22" t="n">
        <f aca="false">Results!E19</f>
        <v>0.122</v>
      </c>
      <c r="F39" s="22" t="n">
        <f aca="false">Results!G19</f>
        <v>0.0592749158609733</v>
      </c>
      <c r="G39" s="22" t="n">
        <f aca="false">Results!I19</f>
        <v>-0.0211494340470956</v>
      </c>
      <c r="H39" s="12" t="str">
        <f aca="false">Results!L19</f>
        <v>Insolvent</v>
      </c>
      <c r="I39" s="23" t="n">
        <f aca="false">Results!F19</f>
        <v>38.2477487713896</v>
      </c>
      <c r="J39" s="23" t="n">
        <f aca="false">Results!H19</f>
        <v>80.2600929610457</v>
      </c>
      <c r="K39" s="23" t="n">
        <f aca="false">Results!O19</f>
        <v>76.9606164772833</v>
      </c>
      <c r="L39" s="24" t="n">
        <f aca="false">Results!M19</f>
        <v>6</v>
      </c>
    </row>
    <row r="40" customFormat="false" ht="15" hidden="false" customHeight="true" outlineLevel="0" collapsed="false">
      <c r="B40" s="12" t="str">
        <f aca="false">Results!A20</f>
        <v>HSBA</v>
      </c>
      <c r="C40" s="12" t="str">
        <f aca="false">Results!B20</f>
        <v>HSBC</v>
      </c>
      <c r="D40" s="22" t="n">
        <f aca="false">Results!D20</f>
        <v>0.140887025595763</v>
      </c>
      <c r="E40" s="22" t="n">
        <f aca="false">Results!E20</f>
        <v>0.112</v>
      </c>
      <c r="F40" s="22" t="n">
        <f aca="false">Results!G20</f>
        <v>0.106535135870253</v>
      </c>
      <c r="G40" s="22" t="n">
        <f aca="false">Results!I20</f>
        <v>0.0755269060545672</v>
      </c>
      <c r="H40" s="12" t="str">
        <f aca="false">Results!L20</f>
        <v>MDA breach</v>
      </c>
      <c r="I40" s="23" t="n">
        <f aca="false">Results!F20</f>
        <v>23.411477074979</v>
      </c>
      <c r="J40" s="23" t="n">
        <f aca="false">Results!H20</f>
        <v>53.7658053403115</v>
      </c>
      <c r="K40" s="23" t="n">
        <f aca="false">Results!O20</f>
        <v>0</v>
      </c>
      <c r="L40" s="24" t="n">
        <f aca="false">Results!M20</f>
        <v>3</v>
      </c>
    </row>
    <row r="41" customFormat="false" ht="15" hidden="false" customHeight="true" outlineLevel="0" collapsed="false">
      <c r="B41" s="12" t="str">
        <f aca="false">Results!A21</f>
        <v>DBK</v>
      </c>
      <c r="C41" s="12" t="str">
        <f aca="false">Results!B21</f>
        <v>Deutsche Bank</v>
      </c>
      <c r="D41" s="22" t="n">
        <f aca="false">Results!D21</f>
        <v>0.139158496732026</v>
      </c>
      <c r="E41" s="22" t="n">
        <f aca="false">Results!E21</f>
        <v>0.112</v>
      </c>
      <c r="F41" s="22" t="n">
        <f aca="false">Results!G21</f>
        <v>0.0539177475366116</v>
      </c>
      <c r="G41" s="22" t="n">
        <f aca="false">Results!I21</f>
        <v>-0.0205130863573704</v>
      </c>
      <c r="H41" s="12" t="str">
        <f aca="false">Results!L21</f>
        <v>Insolvent</v>
      </c>
      <c r="I41" s="23" t="n">
        <f aca="false">Results!F21</f>
        <v>33.9273455784296</v>
      </c>
      <c r="J41" s="23" t="n">
        <f aca="false">Results!H21</f>
        <v>67.6274552143469</v>
      </c>
      <c r="K41" s="23" t="n">
        <f aca="false">Results!O21</f>
        <v>58.3606683427607</v>
      </c>
      <c r="L41" s="24" t="n">
        <f aca="false">Results!M21</f>
        <v>6</v>
      </c>
    </row>
    <row r="42" customFormat="false" ht="15" hidden="false" customHeight="true" outlineLevel="0" collapsed="false">
      <c r="B42" s="12" t="str">
        <f aca="false">Results!A22</f>
        <v>BNP</v>
      </c>
      <c r="C42" s="12" t="str">
        <f aca="false">Results!B22</f>
        <v>BNP Paribas</v>
      </c>
      <c r="D42" s="22" t="n">
        <f aca="false">Results!D22</f>
        <v>0.129811320754717</v>
      </c>
      <c r="E42" s="22" t="n">
        <f aca="false">Results!E22</f>
        <v>0.1043</v>
      </c>
      <c r="F42" s="22" t="n">
        <f aca="false">Results!G22</f>
        <v>0.082018437906808</v>
      </c>
      <c r="G42" s="22" t="n">
        <f aca="false">Results!I22</f>
        <v>0.0374031559348759</v>
      </c>
      <c r="H42" s="12" t="str">
        <f aca="false">Results!L22</f>
        <v>Below minimum</v>
      </c>
      <c r="I42" s="23" t="n">
        <f aca="false">Results!F22</f>
        <v>37.4237491507271</v>
      </c>
      <c r="J42" s="23" t="n">
        <f aca="false">Results!H22</f>
        <v>81.1584869638541</v>
      </c>
      <c r="K42" s="23" t="n">
        <f aca="false">Results!O22</f>
        <v>205.958126229456</v>
      </c>
      <c r="L42" s="24" t="n">
        <f aca="false">Results!M22</f>
        <v>6</v>
      </c>
    </row>
    <row r="43" customFormat="false" ht="15" hidden="false" customHeight="true" outlineLevel="0" collapsed="false">
      <c r="B43" s="12" t="str">
        <f aca="false">Results!A23</f>
        <v>GLE</v>
      </c>
      <c r="C43" s="12" t="str">
        <f aca="false">Results!B23</f>
        <v>Societe Generale</v>
      </c>
      <c r="D43" s="22" t="n">
        <f aca="false">Results!D23</f>
        <v>0.131773399014778</v>
      </c>
      <c r="E43" s="22" t="n">
        <f aca="false">Results!E23</f>
        <v>0.1026</v>
      </c>
      <c r="F43" s="22" t="n">
        <f aca="false">Results!G23</f>
        <v>0.0910993331642846</v>
      </c>
      <c r="G43" s="22" t="n">
        <f aca="false">Results!I23</f>
        <v>0.0472616971280715</v>
      </c>
      <c r="H43" s="12" t="str">
        <f aca="false">Results!L23</f>
        <v>MDA breach</v>
      </c>
      <c r="I43" s="23" t="n">
        <f aca="false">Results!F23</f>
        <v>15.4754745087719</v>
      </c>
      <c r="J43" s="23" t="n">
        <f aca="false">Results!H23</f>
        <v>37.4211481641164</v>
      </c>
      <c r="K43" s="23" t="n">
        <f aca="false">Results!O23</f>
        <v>0</v>
      </c>
      <c r="L43" s="24" t="n">
        <f aca="false">Results!M23</f>
        <v>4</v>
      </c>
    </row>
    <row r="44" customFormat="false" ht="15" hidden="false" customHeight="true" outlineLevel="0" collapsed="false">
      <c r="B44" s="12" t="str">
        <f aca="false">Results!A24</f>
        <v>UBS</v>
      </c>
      <c r="C44" s="12" t="str">
        <f aca="false">Results!B24</f>
        <v>UBS</v>
      </c>
      <c r="D44" s="22" t="n">
        <f aca="false">Results!D24</f>
        <v>0.143806310775948</v>
      </c>
      <c r="E44" s="22" t="n">
        <f aca="false">Results!E24</f>
        <v>0.1083</v>
      </c>
      <c r="F44" s="22" t="n">
        <f aca="false">Results!G24</f>
        <v>0.113930319806123</v>
      </c>
      <c r="G44" s="22" t="n">
        <f aca="false">Results!I24</f>
        <v>0.0793534454428393</v>
      </c>
      <c r="H44" s="12" t="str">
        <f aca="false">Results!L24</f>
        <v>MDA breach</v>
      </c>
      <c r="I44" s="23" t="n">
        <f aca="false">Results!F24</f>
        <v>10.46175279767</v>
      </c>
      <c r="J44" s="23" t="n">
        <f aca="false">Results!H24</f>
        <v>29.2789027486616</v>
      </c>
      <c r="K44" s="23" t="n">
        <f aca="false">Results!O24</f>
        <v>0</v>
      </c>
      <c r="L44" s="24" t="n">
        <f aca="false">Results!M24</f>
        <v>3</v>
      </c>
    </row>
    <row r="45" customFormat="false" ht="15" hidden="false" customHeight="true" outlineLevel="0" collapsed="false">
      <c r="B45" s="12" t="str">
        <f aca="false">Results!A25</f>
        <v>MUFG</v>
      </c>
      <c r="C45" s="12" t="str">
        <f aca="false">Results!B25</f>
        <v>MUFG</v>
      </c>
      <c r="D45" s="22" t="n">
        <f aca="false">Results!D25</f>
        <v>0.12959533901186</v>
      </c>
      <c r="E45" s="22" t="n">
        <f aca="false">Results!E25</f>
        <v>0.0869</v>
      </c>
      <c r="F45" s="22" t="n">
        <f aca="false">Results!G25</f>
        <v>0.0614378414799838</v>
      </c>
      <c r="G45" s="22" t="n">
        <f aca="false">Results!I25</f>
        <v>0.00281267876952754</v>
      </c>
      <c r="H45" s="12" t="str">
        <f aca="false">Results!L25</f>
        <v>Below minimum</v>
      </c>
      <c r="I45" s="23" t="n">
        <f aca="false">Results!F25</f>
        <v>48.6231959646889</v>
      </c>
      <c r="J45" s="23" t="n">
        <f aca="false">Results!H25</f>
        <v>97.3022906701138</v>
      </c>
      <c r="K45" s="23" t="n">
        <f aca="false">Results!O25</f>
        <v>122.314833701279</v>
      </c>
      <c r="L45" s="24" t="n">
        <f aca="false">Results!M25</f>
        <v>6</v>
      </c>
    </row>
    <row r="46" customFormat="false" ht="15" hidden="false" customHeight="true" outlineLevel="0" collapsed="false">
      <c r="B46" s="12" t="str">
        <f aca="false">Results!A26</f>
        <v>SMFG</v>
      </c>
      <c r="C46" s="12" t="str">
        <f aca="false">Results!B26</f>
        <v>SMFG</v>
      </c>
      <c r="D46" s="22" t="n">
        <f aca="false">Results!D26</f>
        <v>0.126323003832438</v>
      </c>
      <c r="E46" s="22" t="n">
        <f aca="false">Results!E26</f>
        <v>0.0817</v>
      </c>
      <c r="F46" s="22" t="n">
        <f aca="false">Results!G26</f>
        <v>0.0858041786420753</v>
      </c>
      <c r="G46" s="22" t="n">
        <f aca="false">Results!I26</f>
        <v>0.0463485337720714</v>
      </c>
      <c r="H46" s="12" t="str">
        <f aca="false">Results!L26</f>
        <v>MDA breach</v>
      </c>
      <c r="I46" s="23" t="n">
        <f aca="false">Results!F26</f>
        <v>21.1369078004484</v>
      </c>
      <c r="J46" s="23" t="n">
        <f aca="false">Results!H26</f>
        <v>47.8996942812661</v>
      </c>
      <c r="K46" s="23" t="n">
        <f aca="false">Results!O26</f>
        <v>0</v>
      </c>
      <c r="L46" s="24" t="n">
        <f aca="false">Results!M26</f>
        <v>4</v>
      </c>
    </row>
    <row r="47" customFormat="false" ht="15" hidden="false" customHeight="true" outlineLevel="0" collapsed="false">
      <c r="B47" s="12" t="str">
        <f aca="false">Results!A27</f>
        <v>MFG</v>
      </c>
      <c r="C47" s="12" t="str">
        <f aca="false">Results!B27</f>
        <v>Mizuho</v>
      </c>
      <c r="D47" s="22" t="n">
        <f aca="false">Results!D27</f>
        <v>0.135135628246874</v>
      </c>
      <c r="E47" s="22" t="n">
        <f aca="false">Results!E27</f>
        <v>0.0813</v>
      </c>
      <c r="F47" s="22" t="n">
        <f aca="false">Results!G27</f>
        <v>0.097080579728884</v>
      </c>
      <c r="G47" s="22" t="n">
        <f aca="false">Results!I27</f>
        <v>0.0683840792474054</v>
      </c>
      <c r="H47" s="12" t="str">
        <f aca="false">Results!L27</f>
        <v>MDA breach</v>
      </c>
      <c r="I47" s="23" t="n">
        <f aca="false">Results!F27</f>
        <v>15.3135603574867</v>
      </c>
      <c r="J47" s="23" t="n">
        <f aca="false">Results!H27</f>
        <v>30.9828618774724</v>
      </c>
      <c r="K47" s="23" t="n">
        <f aca="false">Results!O27</f>
        <v>0</v>
      </c>
      <c r="L47" s="24" t="n">
        <f aca="false">Results!M27</f>
        <v>3</v>
      </c>
    </row>
    <row r="48" customFormat="false" ht="15" hidden="false" customHeight="true" outlineLevel="0" collapsed="false">
      <c r="B48" s="12" t="str">
        <f aca="false">Results!A28</f>
        <v>RY</v>
      </c>
      <c r="C48" s="12" t="str">
        <f aca="false">Results!B28</f>
        <v>RBC</v>
      </c>
      <c r="D48" s="22" t="n">
        <f aca="false">Results!D28</f>
        <v>0.134904884318766</v>
      </c>
      <c r="E48" s="22" t="n">
        <f aca="false">Results!E28</f>
        <v>0.111</v>
      </c>
      <c r="F48" s="22" t="n">
        <f aca="false">Results!G28</f>
        <v>0.0928939280886542</v>
      </c>
      <c r="G48" s="22" t="n">
        <f aca="false">Results!I28</f>
        <v>0.0561728885356686</v>
      </c>
      <c r="H48" s="12" t="str">
        <f aca="false">Results!L28</f>
        <v>MDA breach</v>
      </c>
      <c r="I48" s="23" t="n">
        <f aca="false">Results!F28</f>
        <v>18.9389692803866</v>
      </c>
      <c r="J48" s="23" t="n">
        <f aca="false">Results!H28</f>
        <v>40.6598325496584</v>
      </c>
      <c r="K48" s="23" t="n">
        <f aca="false">Results!O28</f>
        <v>0</v>
      </c>
      <c r="L48" s="24" t="n">
        <f aca="false">Results!M28</f>
        <v>4</v>
      </c>
    </row>
    <row r="49" customFormat="false" ht="15" hidden="false" customHeight="true" outlineLevel="0" collapsed="false">
      <c r="B49" s="12" t="str">
        <f aca="false">Results!A29</f>
        <v>JEF</v>
      </c>
      <c r="C49" s="12" t="str">
        <f aca="false">Results!B29</f>
        <v>Jefferies</v>
      </c>
      <c r="D49" s="22" t="n">
        <f aca="false">Results!D29</f>
        <v>0.09</v>
      </c>
      <c r="E49" s="22" t="n">
        <f aca="false">Results!E29</f>
        <v>0.0675</v>
      </c>
      <c r="F49" s="22" t="n">
        <f aca="false">Results!G29</f>
        <v>0.0722746654983493</v>
      </c>
      <c r="G49" s="22" t="n">
        <f aca="false">Results!I29</f>
        <v>0.0549360248218316</v>
      </c>
      <c r="H49" s="12" t="str">
        <f aca="false">Results!L29</f>
        <v>MDA breach</v>
      </c>
      <c r="I49" s="23" t="n">
        <f aca="false">Results!F29</f>
        <v>1.15691359422469</v>
      </c>
      <c r="J49" s="23" t="n">
        <f aca="false">Results!H29</f>
        <v>2.97081282723926</v>
      </c>
      <c r="K49" s="23" t="n">
        <f aca="false">Results!O29</f>
        <v>1.88869784860557</v>
      </c>
      <c r="L49" s="24" t="n">
        <f aca="false">Results!M29</f>
        <v>2</v>
      </c>
    </row>
  </sheetData>
  <dataValidations count="1">
    <dataValidation allowBlank="false" errorStyle="stop" operator="between" showDropDown="false" showErrorMessage="false" showInputMessage="false" sqref="C4" type="list">
      <formula1>Scenarios!$E$4:$N$4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62"/>
    <col collapsed="false" customWidth="true" hidden="false" outlineLevel="0" max="4" min="4" style="1" width="6"/>
    <col collapsed="false" customWidth="true" hidden="false" outlineLevel="0" max="15" min="5" style="1" width="11"/>
    <col collapsed="false" customWidth="true" hidden="false" outlineLevel="0" max="16" min="16" style="1" width="90"/>
  </cols>
  <sheetData>
    <row r="1" customFormat="false" ht="17.25" hidden="false" customHeight="true" outlineLevel="0" collapsed="false">
      <c r="A1" s="5" t="s">
        <v>62</v>
      </c>
    </row>
    <row r="2" customFormat="false" ht="15" hidden="false" customHeight="true" outlineLevel="0" collapsed="false">
      <c r="A2" s="6" t="s">
        <v>63</v>
      </c>
    </row>
    <row r="4" customFormat="false" ht="42" hidden="false" customHeight="true" outlineLevel="0" collapsed="false">
      <c r="A4" s="21" t="s">
        <v>64</v>
      </c>
      <c r="B4" s="21" t="s">
        <v>65</v>
      </c>
      <c r="C4" s="21" t="s">
        <v>66</v>
      </c>
      <c r="D4" s="21" t="s">
        <v>67</v>
      </c>
      <c r="E4" s="21" t="s">
        <v>68</v>
      </c>
      <c r="F4" s="21" t="s">
        <v>69</v>
      </c>
      <c r="G4" s="21" t="s">
        <v>70</v>
      </c>
      <c r="H4" s="21" t="s">
        <v>71</v>
      </c>
      <c r="I4" s="21" t="s">
        <v>72</v>
      </c>
      <c r="J4" s="21" t="s">
        <v>73</v>
      </c>
      <c r="K4" s="21" t="s">
        <v>74</v>
      </c>
      <c r="L4" s="21" t="s">
        <v>18</v>
      </c>
      <c r="M4" s="21" t="s">
        <v>75</v>
      </c>
      <c r="N4" s="21" t="s">
        <v>76</v>
      </c>
      <c r="O4" s="21" t="s">
        <v>77</v>
      </c>
      <c r="P4" s="21" t="s">
        <v>78</v>
      </c>
    </row>
    <row r="5" customFormat="false" ht="15" hidden="false" customHeight="true" outlineLevel="0" collapsed="false">
      <c r="A5" s="10" t="s">
        <v>32</v>
      </c>
      <c r="B5" s="10" t="s">
        <v>79</v>
      </c>
      <c r="C5" s="10" t="s">
        <v>80</v>
      </c>
      <c r="D5" s="10" t="s">
        <v>32</v>
      </c>
      <c r="E5" s="25" t="n">
        <v>0</v>
      </c>
      <c r="F5" s="25" t="n">
        <v>-1</v>
      </c>
      <c r="G5" s="25" t="n">
        <v>-0.5</v>
      </c>
      <c r="H5" s="25" t="n">
        <v>-2</v>
      </c>
      <c r="I5" s="25" t="n">
        <v>-1</v>
      </c>
      <c r="J5" s="25" t="n">
        <v>-0.5</v>
      </c>
      <c r="K5" s="25" t="n">
        <v>-0.5</v>
      </c>
      <c r="L5" s="25" t="n">
        <v>-2.5</v>
      </c>
      <c r="M5" s="25" t="n">
        <v>-1</v>
      </c>
      <c r="N5" s="26" t="n">
        <v>-2.5</v>
      </c>
      <c r="O5" s="27" t="n">
        <f aca="false">INDEX($E5:$N5,1,MATCH(sel_scen,$E$4:$N$4,0))</f>
        <v>-2.5</v>
      </c>
      <c r="P5" s="6" t="s">
        <v>81</v>
      </c>
    </row>
    <row r="6" customFormat="false" ht="15" hidden="false" customHeight="true" outlineLevel="0" collapsed="false">
      <c r="A6" s="10" t="s">
        <v>82</v>
      </c>
      <c r="B6" s="10" t="s">
        <v>79</v>
      </c>
      <c r="C6" s="10" t="s">
        <v>83</v>
      </c>
      <c r="D6" s="10" t="s">
        <v>84</v>
      </c>
      <c r="E6" s="25" t="n">
        <v>0</v>
      </c>
      <c r="F6" s="25" t="n">
        <v>0.02</v>
      </c>
      <c r="G6" s="25" t="n">
        <v>0</v>
      </c>
      <c r="H6" s="25" t="n">
        <v>0.03</v>
      </c>
      <c r="I6" s="25" t="n">
        <v>0.02</v>
      </c>
      <c r="J6" s="25" t="n">
        <v>0</v>
      </c>
      <c r="K6" s="25" t="n">
        <v>0</v>
      </c>
      <c r="L6" s="25" t="n">
        <v>0.062</v>
      </c>
      <c r="M6" s="25" t="n">
        <v>0.02</v>
      </c>
      <c r="N6" s="26" t="n">
        <v>0.062</v>
      </c>
      <c r="O6" s="27" t="n">
        <f aca="false">INDEX($E6:$N6,1,MATCH(sel_scen,$E$4:$N$4,0))</f>
        <v>0.062</v>
      </c>
      <c r="P6" s="6" t="s">
        <v>85</v>
      </c>
    </row>
    <row r="7" customFormat="false" ht="15" hidden="false" customHeight="true" outlineLevel="0" collapsed="false">
      <c r="A7" s="10" t="s">
        <v>86</v>
      </c>
      <c r="B7" s="10" t="s">
        <v>79</v>
      </c>
      <c r="C7" s="10" t="s">
        <v>87</v>
      </c>
      <c r="D7" s="10" t="s">
        <v>88</v>
      </c>
      <c r="E7" s="25" t="n">
        <v>1</v>
      </c>
      <c r="F7" s="25" t="n">
        <v>2</v>
      </c>
      <c r="G7" s="25" t="n">
        <v>1.5</v>
      </c>
      <c r="H7" s="25" t="n">
        <v>1.25</v>
      </c>
      <c r="I7" s="25" t="n">
        <v>1.5</v>
      </c>
      <c r="J7" s="25" t="n">
        <v>1</v>
      </c>
      <c r="K7" s="25" t="n">
        <v>1</v>
      </c>
      <c r="L7" s="25" t="n">
        <v>2</v>
      </c>
      <c r="M7" s="25" t="n">
        <v>1.5</v>
      </c>
      <c r="N7" s="26" t="n">
        <v>2</v>
      </c>
      <c r="O7" s="27" t="n">
        <f aca="false">INDEX($E7:$N7,1,MATCH(sel_scen,$E$4:$N$4,0))</f>
        <v>2</v>
      </c>
      <c r="P7" s="6" t="s">
        <v>89</v>
      </c>
    </row>
    <row r="8" customFormat="false" ht="15" hidden="false" customHeight="true" outlineLevel="0" collapsed="false">
      <c r="A8" s="10" t="s">
        <v>90</v>
      </c>
      <c r="B8" s="10" t="s">
        <v>79</v>
      </c>
      <c r="C8" s="10" t="s">
        <v>91</v>
      </c>
      <c r="D8" s="10" t="s">
        <v>84</v>
      </c>
      <c r="E8" s="25" t="n">
        <v>0.35</v>
      </c>
      <c r="F8" s="25" t="n">
        <v>0.4</v>
      </c>
      <c r="G8" s="25" t="n">
        <v>0.35</v>
      </c>
      <c r="H8" s="25" t="n">
        <v>0.5</v>
      </c>
      <c r="I8" s="25" t="n">
        <v>0.4</v>
      </c>
      <c r="J8" s="25" t="n">
        <v>0.35</v>
      </c>
      <c r="K8" s="25" t="n">
        <v>0.35</v>
      </c>
      <c r="L8" s="25" t="n">
        <v>0.5</v>
      </c>
      <c r="M8" s="25" t="n">
        <v>0.4</v>
      </c>
      <c r="N8" s="26" t="n">
        <v>0.5</v>
      </c>
      <c r="O8" s="27" t="n">
        <f aca="false">INDEX($E8:$N8,1,MATCH(sel_scen,$E$4:$N$4,0))</f>
        <v>0.5</v>
      </c>
      <c r="P8" s="6" t="s">
        <v>92</v>
      </c>
    </row>
    <row r="9" customFormat="false" ht="15" hidden="false" customHeight="true" outlineLevel="0" collapsed="false">
      <c r="A9" s="10" t="s">
        <v>93</v>
      </c>
      <c r="B9" s="10" t="s">
        <v>79</v>
      </c>
      <c r="C9" s="10" t="s">
        <v>94</v>
      </c>
      <c r="D9" s="10" t="s">
        <v>84</v>
      </c>
      <c r="E9" s="25" t="n">
        <v>0.5</v>
      </c>
      <c r="F9" s="25" t="n">
        <v>0.65</v>
      </c>
      <c r="G9" s="25" t="n">
        <v>0.55</v>
      </c>
      <c r="H9" s="25" t="n">
        <v>0.65</v>
      </c>
      <c r="I9" s="25" t="n">
        <v>0.6</v>
      </c>
      <c r="J9" s="25" t="n">
        <v>0.5</v>
      </c>
      <c r="K9" s="25" t="n">
        <v>0.5</v>
      </c>
      <c r="L9" s="25" t="n">
        <v>0.7</v>
      </c>
      <c r="M9" s="25" t="n">
        <v>0.6</v>
      </c>
      <c r="N9" s="26" t="n">
        <v>0.7</v>
      </c>
      <c r="O9" s="27" t="n">
        <f aca="false">INDEX($E9:$N9,1,MATCH(sel_scen,$E$4:$N$4,0))</f>
        <v>0.7</v>
      </c>
      <c r="P9" s="6" t="s">
        <v>95</v>
      </c>
    </row>
    <row r="10" customFormat="false" ht="15" hidden="false" customHeight="true" outlineLevel="0" collapsed="false">
      <c r="A10" s="10" t="s">
        <v>96</v>
      </c>
      <c r="B10" s="10" t="s">
        <v>79</v>
      </c>
      <c r="C10" s="10" t="s">
        <v>97</v>
      </c>
      <c r="D10" s="10" t="s">
        <v>98</v>
      </c>
      <c r="E10" s="28" t="n">
        <v>0</v>
      </c>
      <c r="F10" s="28" t="n">
        <v>150</v>
      </c>
      <c r="G10" s="28" t="n">
        <v>75</v>
      </c>
      <c r="H10" s="28" t="n">
        <v>600</v>
      </c>
      <c r="I10" s="28" t="n">
        <v>250</v>
      </c>
      <c r="J10" s="28" t="n">
        <v>150</v>
      </c>
      <c r="K10" s="28" t="n">
        <v>50</v>
      </c>
      <c r="L10" s="28" t="n">
        <v>700</v>
      </c>
      <c r="M10" s="28" t="n">
        <v>250</v>
      </c>
      <c r="N10" s="29" t="n">
        <v>700</v>
      </c>
      <c r="O10" s="30" t="n">
        <f aca="false">INDEX($E10:$N10,1,MATCH(sel_scen,$E$4:$N$4,0))</f>
        <v>700</v>
      </c>
      <c r="P10" s="6" t="s">
        <v>99</v>
      </c>
    </row>
    <row r="11" customFormat="false" ht="15" hidden="false" customHeight="true" outlineLevel="0" collapsed="false">
      <c r="A11" s="10" t="s">
        <v>100</v>
      </c>
      <c r="B11" s="10" t="s">
        <v>79</v>
      </c>
      <c r="C11" s="10" t="s">
        <v>101</v>
      </c>
      <c r="D11" s="10" t="s">
        <v>98</v>
      </c>
      <c r="E11" s="28" t="n">
        <v>0</v>
      </c>
      <c r="F11" s="28" t="n">
        <v>300</v>
      </c>
      <c r="G11" s="28" t="n">
        <v>150</v>
      </c>
      <c r="H11" s="28" t="n">
        <v>200</v>
      </c>
      <c r="I11" s="28" t="n">
        <v>150</v>
      </c>
      <c r="J11" s="28" t="n">
        <v>0</v>
      </c>
      <c r="K11" s="28" t="n">
        <v>0</v>
      </c>
      <c r="L11" s="28" t="n">
        <v>300</v>
      </c>
      <c r="M11" s="28" t="n">
        <v>150</v>
      </c>
      <c r="N11" s="29" t="n">
        <v>300</v>
      </c>
      <c r="O11" s="30" t="n">
        <f aca="false">INDEX($E11:$N11,1,MATCH(sel_scen,$E$4:$N$4,0))</f>
        <v>300</v>
      </c>
      <c r="P11" s="6" t="s">
        <v>102</v>
      </c>
    </row>
    <row r="12" customFormat="false" ht="15" hidden="false" customHeight="true" outlineLevel="0" collapsed="false">
      <c r="A12" s="10" t="s">
        <v>103</v>
      </c>
      <c r="B12" s="10" t="s">
        <v>79</v>
      </c>
      <c r="C12" s="10" t="s">
        <v>104</v>
      </c>
      <c r="D12" s="10" t="s">
        <v>84</v>
      </c>
      <c r="E12" s="25" t="n">
        <v>0</v>
      </c>
      <c r="F12" s="25" t="n">
        <v>0.03</v>
      </c>
      <c r="G12" s="25" t="n">
        <v>0</v>
      </c>
      <c r="H12" s="25" t="n">
        <v>0.05</v>
      </c>
      <c r="I12" s="25" t="n">
        <v>0.03</v>
      </c>
      <c r="J12" s="25" t="n">
        <v>0.02</v>
      </c>
      <c r="K12" s="25" t="n">
        <v>0</v>
      </c>
      <c r="L12" s="25" t="n">
        <v>0.1</v>
      </c>
      <c r="M12" s="25" t="n">
        <v>0.03</v>
      </c>
      <c r="N12" s="26" t="n">
        <v>0.1</v>
      </c>
      <c r="O12" s="27" t="n">
        <f aca="false">INDEX($E12:$N12,1,MATCH(sel_scen,$E$4:$N$4,0))</f>
        <v>0.1</v>
      </c>
      <c r="P12" s="6" t="s">
        <v>105</v>
      </c>
    </row>
    <row r="13" customFormat="false" ht="15" hidden="false" customHeight="true" outlineLevel="0" collapsed="false">
      <c r="A13" s="10" t="s">
        <v>106</v>
      </c>
      <c r="B13" s="10" t="s">
        <v>79</v>
      </c>
      <c r="C13" s="10" t="s">
        <v>107</v>
      </c>
      <c r="D13" s="10" t="s">
        <v>84</v>
      </c>
      <c r="E13" s="25" t="n">
        <v>0</v>
      </c>
      <c r="F13" s="25" t="n">
        <v>0.5</v>
      </c>
      <c r="G13" s="25" t="n">
        <v>0.25</v>
      </c>
      <c r="H13" s="25" t="n">
        <v>1</v>
      </c>
      <c r="I13" s="25" t="n">
        <v>0.5</v>
      </c>
      <c r="J13" s="25" t="n">
        <v>1</v>
      </c>
      <c r="K13" s="25" t="n">
        <v>0.25</v>
      </c>
      <c r="L13" s="25" t="n">
        <v>1</v>
      </c>
      <c r="M13" s="25" t="n">
        <v>0.5</v>
      </c>
      <c r="N13" s="26" t="n">
        <v>1</v>
      </c>
      <c r="O13" s="27" t="n">
        <f aca="false">INDEX($E13:$N13,1,MATCH(sel_scen,$E$4:$N$4,0))</f>
        <v>1</v>
      </c>
      <c r="P13" s="6" t="s">
        <v>108</v>
      </c>
    </row>
    <row r="14" customFormat="false" ht="15" hidden="false" customHeight="true" outlineLevel="0" collapsed="false">
      <c r="A14" s="10" t="s">
        <v>109</v>
      </c>
      <c r="B14" s="10" t="s">
        <v>79</v>
      </c>
      <c r="C14" s="10" t="s">
        <v>110</v>
      </c>
      <c r="D14" s="10" t="s">
        <v>84</v>
      </c>
      <c r="E14" s="25" t="n">
        <v>0.1</v>
      </c>
      <c r="F14" s="25" t="n">
        <v>0.3</v>
      </c>
      <c r="G14" s="25" t="n">
        <v>0.2</v>
      </c>
      <c r="H14" s="25" t="n">
        <v>0.5</v>
      </c>
      <c r="I14" s="25" t="n">
        <v>0.4</v>
      </c>
      <c r="J14" s="25" t="n">
        <v>0.6</v>
      </c>
      <c r="K14" s="25" t="n">
        <v>0.2</v>
      </c>
      <c r="L14" s="25" t="n">
        <v>0.8</v>
      </c>
      <c r="M14" s="25" t="n">
        <v>0.4</v>
      </c>
      <c r="N14" s="26" t="n">
        <v>0.8</v>
      </c>
      <c r="O14" s="27" t="n">
        <f aca="false">INDEX($E14:$N14,1,MATCH(sel_scen,$E$4:$N$4,0))</f>
        <v>0.8</v>
      </c>
      <c r="P14" s="6" t="s">
        <v>111</v>
      </c>
    </row>
    <row r="15" customFormat="false" ht="15" hidden="false" customHeight="true" outlineLevel="0" collapsed="false">
      <c r="A15" s="10" t="s">
        <v>112</v>
      </c>
      <c r="B15" s="10" t="s">
        <v>79</v>
      </c>
      <c r="C15" s="10" t="s">
        <v>113</v>
      </c>
      <c r="D15" s="10" t="s">
        <v>84</v>
      </c>
      <c r="E15" s="25" t="n">
        <v>0.02</v>
      </c>
      <c r="F15" s="25" t="n">
        <v>0.03</v>
      </c>
      <c r="G15" s="25" t="n">
        <v>0.02</v>
      </c>
      <c r="H15" s="25" t="n">
        <v>0.05</v>
      </c>
      <c r="I15" s="25" t="n">
        <v>0.03</v>
      </c>
      <c r="J15" s="25" t="n">
        <v>0.05</v>
      </c>
      <c r="K15" s="25" t="n">
        <v>0.02</v>
      </c>
      <c r="L15" s="25" t="n">
        <v>0.05</v>
      </c>
      <c r="M15" s="25" t="n">
        <v>0.03</v>
      </c>
      <c r="N15" s="26" t="n">
        <v>0.05</v>
      </c>
      <c r="O15" s="27" t="n">
        <f aca="false">INDEX($E15:$N15,1,MATCH(sel_scen,$E$4:$N$4,0))</f>
        <v>0.05</v>
      </c>
      <c r="P15" s="6" t="s">
        <v>114</v>
      </c>
    </row>
    <row r="16" customFormat="false" ht="15" hidden="false" customHeight="true" outlineLevel="0" collapsed="false">
      <c r="A16" s="10" t="s">
        <v>115</v>
      </c>
      <c r="B16" s="10" t="s">
        <v>79</v>
      </c>
      <c r="C16" s="10" t="s">
        <v>116</v>
      </c>
      <c r="D16" s="10" t="s">
        <v>84</v>
      </c>
      <c r="E16" s="25" t="n">
        <v>0.7</v>
      </c>
      <c r="F16" s="25" t="n">
        <v>0.7</v>
      </c>
      <c r="G16" s="25" t="n">
        <v>0.7</v>
      </c>
      <c r="H16" s="25" t="n">
        <v>0.7</v>
      </c>
      <c r="I16" s="25" t="n">
        <v>0.7</v>
      </c>
      <c r="J16" s="25" t="n">
        <v>0.7</v>
      </c>
      <c r="K16" s="25" t="n">
        <v>0.7</v>
      </c>
      <c r="L16" s="25" t="n">
        <v>0.7</v>
      </c>
      <c r="M16" s="25" t="n">
        <v>0.7</v>
      </c>
      <c r="N16" s="26" t="n">
        <v>0.75</v>
      </c>
      <c r="O16" s="27" t="n">
        <f aca="false">INDEX($E16:$N16,1,MATCH(sel_scen,$E$4:$N$4,0))</f>
        <v>0.7</v>
      </c>
      <c r="P16" s="6" t="s">
        <v>117</v>
      </c>
    </row>
    <row r="17" customFormat="false" ht="15" hidden="false" customHeight="true" outlineLevel="0" collapsed="false">
      <c r="A17" s="10" t="s">
        <v>118</v>
      </c>
      <c r="B17" s="10" t="s">
        <v>79</v>
      </c>
      <c r="C17" s="10" t="s">
        <v>119</v>
      </c>
      <c r="D17" s="10" t="s">
        <v>84</v>
      </c>
      <c r="E17" s="25" t="n">
        <v>0.1</v>
      </c>
      <c r="F17" s="25" t="n">
        <v>0.4</v>
      </c>
      <c r="G17" s="25" t="n">
        <v>0.25</v>
      </c>
      <c r="H17" s="25" t="n">
        <v>0.75</v>
      </c>
      <c r="I17" s="25" t="n">
        <v>0.6</v>
      </c>
      <c r="J17" s="25" t="n">
        <v>0.75</v>
      </c>
      <c r="K17" s="25" t="n">
        <v>0.3</v>
      </c>
      <c r="L17" s="25" t="n">
        <v>0.9</v>
      </c>
      <c r="M17" s="25" t="n">
        <v>0.6</v>
      </c>
      <c r="N17" s="26" t="n">
        <v>0.9</v>
      </c>
      <c r="O17" s="27" t="n">
        <f aca="false">INDEX($E17:$N17,1,MATCH(sel_scen,$E$4:$N$4,0))</f>
        <v>0.9</v>
      </c>
      <c r="P17" s="6" t="s">
        <v>120</v>
      </c>
    </row>
    <row r="18" customFormat="false" ht="15" hidden="false" customHeight="true" outlineLevel="0" collapsed="false">
      <c r="A18" s="10" t="s">
        <v>121</v>
      </c>
      <c r="B18" s="10" t="s">
        <v>122</v>
      </c>
      <c r="C18" s="10" t="s">
        <v>123</v>
      </c>
      <c r="D18" s="10" t="s">
        <v>84</v>
      </c>
      <c r="E18" s="25" t="n">
        <v>1</v>
      </c>
      <c r="F18" s="25" t="n">
        <v>1</v>
      </c>
      <c r="G18" s="25" t="n">
        <v>1</v>
      </c>
      <c r="H18" s="25" t="n">
        <v>1</v>
      </c>
      <c r="I18" s="25" t="n">
        <v>1</v>
      </c>
      <c r="J18" s="25" t="n">
        <v>1</v>
      </c>
      <c r="K18" s="25" t="n">
        <v>1</v>
      </c>
      <c r="L18" s="25" t="n">
        <v>1</v>
      </c>
      <c r="M18" s="25" t="n">
        <v>1</v>
      </c>
      <c r="N18" s="26" t="n">
        <v>1</v>
      </c>
      <c r="O18" s="27" t="n">
        <f aca="false">INDEX($E18:$N18,1,MATCH(sel_scen,$E$4:$N$4,0))</f>
        <v>1</v>
      </c>
      <c r="P18" s="6" t="s">
        <v>124</v>
      </c>
    </row>
    <row r="19" customFormat="false" ht="15" hidden="false" customHeight="true" outlineLevel="0" collapsed="false">
      <c r="A19" s="10" t="s">
        <v>125</v>
      </c>
      <c r="B19" s="10" t="s">
        <v>79</v>
      </c>
      <c r="C19" s="10" t="s">
        <v>126</v>
      </c>
      <c r="D19" s="10" t="s">
        <v>84</v>
      </c>
      <c r="E19" s="25" t="n">
        <v>0.001</v>
      </c>
      <c r="F19" s="25" t="n">
        <v>0.002</v>
      </c>
      <c r="G19" s="25" t="n">
        <v>0.001</v>
      </c>
      <c r="H19" s="25" t="n">
        <v>0.005</v>
      </c>
      <c r="I19" s="25" t="n">
        <v>0.002</v>
      </c>
      <c r="J19" s="25" t="n">
        <v>0.002</v>
      </c>
      <c r="K19" s="25" t="n">
        <v>0.001</v>
      </c>
      <c r="L19" s="25" t="n">
        <v>0.01</v>
      </c>
      <c r="M19" s="25" t="n">
        <v>0.002</v>
      </c>
      <c r="N19" s="26" t="n">
        <v>0.01</v>
      </c>
      <c r="O19" s="27" t="n">
        <f aca="false">INDEX($E19:$N19,1,MATCH(sel_scen,$E$4:$N$4,0))</f>
        <v>0.01</v>
      </c>
      <c r="P19" s="6" t="s">
        <v>127</v>
      </c>
    </row>
    <row r="20" customFormat="false" ht="15" hidden="false" customHeight="true" outlineLevel="0" collapsed="false">
      <c r="A20" s="10" t="s">
        <v>128</v>
      </c>
      <c r="B20" s="10" t="s">
        <v>129</v>
      </c>
      <c r="C20" s="10" t="s">
        <v>130</v>
      </c>
      <c r="D20" s="10" t="s">
        <v>84</v>
      </c>
      <c r="E20" s="25" t="n">
        <v>0</v>
      </c>
      <c r="F20" s="25" t="n">
        <v>0.005</v>
      </c>
      <c r="G20" s="25" t="n">
        <v>0</v>
      </c>
      <c r="H20" s="25" t="n">
        <v>0.02</v>
      </c>
      <c r="I20" s="25" t="n">
        <v>0.01</v>
      </c>
      <c r="J20" s="25" t="n">
        <v>0.01</v>
      </c>
      <c r="K20" s="25" t="n">
        <v>0</v>
      </c>
      <c r="L20" s="25" t="n">
        <v>0.05</v>
      </c>
      <c r="M20" s="25" t="n">
        <v>0.01</v>
      </c>
      <c r="N20" s="26" t="n">
        <v>0.05</v>
      </c>
      <c r="O20" s="27" t="n">
        <f aca="false">INDEX($E20:$N20,1,MATCH(sel_scen,$E$4:$N$4,0))</f>
        <v>0.05</v>
      </c>
      <c r="P20" s="6" t="s">
        <v>131</v>
      </c>
    </row>
    <row r="21" customFormat="false" ht="15" hidden="false" customHeight="true" outlineLevel="0" collapsed="false">
      <c r="A21" s="10" t="s">
        <v>132</v>
      </c>
      <c r="B21" s="10" t="s">
        <v>129</v>
      </c>
      <c r="C21" s="10" t="s">
        <v>133</v>
      </c>
      <c r="D21" s="10" t="s">
        <v>84</v>
      </c>
      <c r="E21" s="25" t="n">
        <v>0</v>
      </c>
      <c r="F21" s="25" t="n">
        <v>0.15</v>
      </c>
      <c r="G21" s="25" t="n">
        <v>0.05</v>
      </c>
      <c r="H21" s="25" t="n">
        <v>0.3</v>
      </c>
      <c r="I21" s="25" t="n">
        <v>0.15</v>
      </c>
      <c r="J21" s="25" t="n">
        <v>0.1</v>
      </c>
      <c r="K21" s="25" t="n">
        <v>0.05</v>
      </c>
      <c r="L21" s="25" t="n">
        <v>0.4</v>
      </c>
      <c r="M21" s="25" t="n">
        <v>0.15</v>
      </c>
      <c r="N21" s="26" t="n">
        <v>0.4</v>
      </c>
      <c r="O21" s="27" t="n">
        <f aca="false">INDEX($E21:$N21,1,MATCH(sel_scen,$E$4:$N$4,0))</f>
        <v>0.4</v>
      </c>
      <c r="P21" s="6" t="s">
        <v>134</v>
      </c>
    </row>
    <row r="22" customFormat="false" ht="15" hidden="false" customHeight="true" outlineLevel="0" collapsed="false">
      <c r="A22" s="10" t="s">
        <v>135</v>
      </c>
      <c r="B22" s="10" t="s">
        <v>129</v>
      </c>
      <c r="C22" s="10" t="s">
        <v>136</v>
      </c>
      <c r="D22" s="10" t="s">
        <v>84</v>
      </c>
      <c r="E22" s="25" t="n">
        <v>0.1</v>
      </c>
      <c r="F22" s="25" t="n">
        <v>0.3</v>
      </c>
      <c r="G22" s="25" t="n">
        <v>0.2</v>
      </c>
      <c r="H22" s="25" t="n">
        <v>0.5</v>
      </c>
      <c r="I22" s="25" t="n">
        <v>0.4</v>
      </c>
      <c r="J22" s="25" t="n">
        <v>0.5</v>
      </c>
      <c r="K22" s="25" t="n">
        <v>0.2</v>
      </c>
      <c r="L22" s="25" t="n">
        <v>0.6</v>
      </c>
      <c r="M22" s="25" t="n">
        <v>0.4</v>
      </c>
      <c r="N22" s="26" t="n">
        <v>0.6</v>
      </c>
      <c r="O22" s="27" t="n">
        <f aca="false">INDEX($E22:$N22,1,MATCH(sel_scen,$E$4:$N$4,0))</f>
        <v>0.6</v>
      </c>
      <c r="P22" s="6" t="s">
        <v>137</v>
      </c>
    </row>
    <row r="23" customFormat="false" ht="15" hidden="false" customHeight="true" outlineLevel="0" collapsed="false">
      <c r="A23" s="10" t="s">
        <v>138</v>
      </c>
      <c r="B23" s="10" t="s">
        <v>139</v>
      </c>
      <c r="C23" s="10" t="s">
        <v>140</v>
      </c>
      <c r="D23" s="10" t="s">
        <v>84</v>
      </c>
      <c r="E23" s="25" t="n">
        <v>0.02</v>
      </c>
      <c r="F23" s="25" t="n">
        <v>0.04</v>
      </c>
      <c r="G23" s="25" t="n">
        <v>0.03</v>
      </c>
      <c r="H23" s="25" t="n">
        <v>0.12</v>
      </c>
      <c r="I23" s="25" t="n">
        <v>0.06</v>
      </c>
      <c r="J23" s="25" t="n">
        <v>0.05</v>
      </c>
      <c r="K23" s="25" t="n">
        <v>0.03</v>
      </c>
      <c r="L23" s="25" t="n">
        <v>0.25</v>
      </c>
      <c r="M23" s="25" t="n">
        <v>0.06</v>
      </c>
      <c r="N23" s="26" t="n">
        <v>0.25</v>
      </c>
      <c r="O23" s="27" t="n">
        <f aca="false">INDEX($E23:$N23,1,MATCH(sel_scen,$E$4:$N$4,0))</f>
        <v>0.25</v>
      </c>
      <c r="P23" s="6" t="s">
        <v>141</v>
      </c>
    </row>
    <row r="24" customFormat="false" ht="15" hidden="false" customHeight="true" outlineLevel="0" collapsed="false">
      <c r="A24" s="10" t="s">
        <v>142</v>
      </c>
      <c r="B24" s="10" t="s">
        <v>139</v>
      </c>
      <c r="C24" s="10" t="s">
        <v>143</v>
      </c>
      <c r="D24" s="10" t="s">
        <v>84</v>
      </c>
      <c r="E24" s="25" t="n">
        <v>0.1</v>
      </c>
      <c r="F24" s="25" t="n">
        <v>0.3</v>
      </c>
      <c r="G24" s="25" t="n">
        <v>0.2</v>
      </c>
      <c r="H24" s="25" t="n">
        <v>0.5</v>
      </c>
      <c r="I24" s="25" t="n">
        <v>0.4</v>
      </c>
      <c r="J24" s="25" t="n">
        <v>0.6</v>
      </c>
      <c r="K24" s="25" t="n">
        <v>0.2</v>
      </c>
      <c r="L24" s="25" t="n">
        <v>0.75</v>
      </c>
      <c r="M24" s="25" t="n">
        <v>0.4</v>
      </c>
      <c r="N24" s="26" t="n">
        <v>0.75</v>
      </c>
      <c r="O24" s="27" t="n">
        <f aca="false">INDEX($E24:$N24,1,MATCH(sel_scen,$E$4:$N$4,0))</f>
        <v>0.75</v>
      </c>
      <c r="P24" s="6" t="s">
        <v>114</v>
      </c>
    </row>
    <row r="25" customFormat="false" ht="15" hidden="false" customHeight="true" outlineLevel="0" collapsed="false">
      <c r="A25" s="10" t="s">
        <v>144</v>
      </c>
      <c r="B25" s="10" t="s">
        <v>145</v>
      </c>
      <c r="C25" s="10" t="s">
        <v>146</v>
      </c>
      <c r="D25" s="10" t="s">
        <v>84</v>
      </c>
      <c r="E25" s="25" t="n">
        <v>0.002</v>
      </c>
      <c r="F25" s="25" t="n">
        <v>0.01</v>
      </c>
      <c r="G25" s="25" t="n">
        <v>0.005</v>
      </c>
      <c r="H25" s="25" t="n">
        <v>0.05</v>
      </c>
      <c r="I25" s="25" t="n">
        <v>0.02</v>
      </c>
      <c r="J25" s="25" t="n">
        <v>0.03</v>
      </c>
      <c r="K25" s="25" t="n">
        <v>0.01</v>
      </c>
      <c r="L25" s="25" t="n">
        <v>0.15</v>
      </c>
      <c r="M25" s="25" t="n">
        <v>0.02</v>
      </c>
      <c r="N25" s="26" t="n">
        <v>0.15</v>
      </c>
      <c r="O25" s="27" t="n">
        <f aca="false">INDEX($E25:$N25,1,MATCH(sel_scen,$E$4:$N$4,0))</f>
        <v>0.15</v>
      </c>
      <c r="P25" s="6" t="s">
        <v>147</v>
      </c>
    </row>
    <row r="26" customFormat="false" ht="15" hidden="false" customHeight="true" outlineLevel="0" collapsed="false">
      <c r="A26" s="10" t="s">
        <v>148</v>
      </c>
      <c r="B26" s="10" t="s">
        <v>145</v>
      </c>
      <c r="C26" s="10" t="s">
        <v>149</v>
      </c>
      <c r="D26" s="10" t="s">
        <v>84</v>
      </c>
      <c r="E26" s="25" t="n">
        <v>0</v>
      </c>
      <c r="F26" s="25" t="n">
        <v>0.5</v>
      </c>
      <c r="G26" s="25" t="n">
        <v>0</v>
      </c>
      <c r="H26" s="25" t="n">
        <v>1</v>
      </c>
      <c r="I26" s="25" t="n">
        <v>0.5</v>
      </c>
      <c r="J26" s="25" t="n">
        <v>1</v>
      </c>
      <c r="K26" s="25" t="n">
        <v>0.5</v>
      </c>
      <c r="L26" s="25" t="n">
        <v>1</v>
      </c>
      <c r="M26" s="25" t="n">
        <v>0.5</v>
      </c>
      <c r="N26" s="26" t="n">
        <v>1</v>
      </c>
      <c r="O26" s="27" t="n">
        <f aca="false">INDEX($E26:$N26,1,MATCH(sel_scen,$E$4:$N$4,0))</f>
        <v>1</v>
      </c>
      <c r="P26" s="6" t="s">
        <v>150</v>
      </c>
    </row>
    <row r="27" customFormat="false" ht="15" hidden="false" customHeight="true" outlineLevel="0" collapsed="false">
      <c r="A27" s="10" t="s">
        <v>151</v>
      </c>
      <c r="B27" s="10" t="s">
        <v>152</v>
      </c>
      <c r="C27" s="10" t="s">
        <v>153</v>
      </c>
      <c r="D27" s="10" t="s">
        <v>32</v>
      </c>
      <c r="E27" s="25" t="n">
        <v>0</v>
      </c>
      <c r="F27" s="25" t="n">
        <v>-1.5</v>
      </c>
      <c r="G27" s="25" t="n">
        <v>-2.5</v>
      </c>
      <c r="H27" s="25" t="n">
        <v>-1</v>
      </c>
      <c r="I27" s="25" t="n">
        <v>-1</v>
      </c>
      <c r="J27" s="25" t="n">
        <v>-0.5</v>
      </c>
      <c r="K27" s="25" t="n">
        <v>-0.5</v>
      </c>
      <c r="L27" s="25" t="n">
        <v>-2.5</v>
      </c>
      <c r="M27" s="25" t="n">
        <v>-1</v>
      </c>
      <c r="N27" s="26" t="n">
        <v>-2.5</v>
      </c>
      <c r="O27" s="27" t="n">
        <f aca="false">INDEX($E27:$N27,1,MATCH(sel_scen,$E$4:$N$4,0))</f>
        <v>-2.5</v>
      </c>
      <c r="P27" s="6" t="s">
        <v>154</v>
      </c>
    </row>
    <row r="28" customFormat="false" ht="15" hidden="false" customHeight="true" outlineLevel="0" collapsed="false">
      <c r="A28" s="10" t="s">
        <v>155</v>
      </c>
      <c r="B28" s="10" t="s">
        <v>152</v>
      </c>
      <c r="C28" s="10" t="s">
        <v>156</v>
      </c>
      <c r="D28" s="10" t="s">
        <v>84</v>
      </c>
      <c r="E28" s="25" t="n">
        <v>0.25</v>
      </c>
      <c r="F28" s="25" t="n">
        <v>0.35</v>
      </c>
      <c r="G28" s="25" t="n">
        <v>0.47</v>
      </c>
      <c r="H28" s="25" t="n">
        <v>0.3</v>
      </c>
      <c r="I28" s="25" t="n">
        <v>0.3</v>
      </c>
      <c r="J28" s="25" t="n">
        <v>0.25</v>
      </c>
      <c r="K28" s="25" t="n">
        <v>0.25</v>
      </c>
      <c r="L28" s="25" t="n">
        <v>0.47</v>
      </c>
      <c r="M28" s="25" t="n">
        <v>0.3</v>
      </c>
      <c r="N28" s="26" t="n">
        <v>0.47</v>
      </c>
      <c r="O28" s="27" t="n">
        <f aca="false">INDEX($E28:$N28,1,MATCH(sel_scen,$E$4:$N$4,0))</f>
        <v>0.47</v>
      </c>
      <c r="P28" s="6" t="s">
        <v>157</v>
      </c>
    </row>
    <row r="29" customFormat="false" ht="15" hidden="false" customHeight="true" outlineLevel="0" collapsed="false">
      <c r="A29" s="10" t="s">
        <v>158</v>
      </c>
      <c r="B29" s="10" t="s">
        <v>152</v>
      </c>
      <c r="C29" s="10" t="s">
        <v>159</v>
      </c>
      <c r="D29" s="10" t="s">
        <v>84</v>
      </c>
      <c r="E29" s="25" t="n">
        <v>0.01</v>
      </c>
      <c r="F29" s="25" t="n">
        <v>0.08</v>
      </c>
      <c r="G29" s="25" t="n">
        <v>0.15</v>
      </c>
      <c r="H29" s="25" t="n">
        <v>0.08</v>
      </c>
      <c r="I29" s="25" t="n">
        <v>0.06</v>
      </c>
      <c r="J29" s="25" t="n">
        <v>0.05</v>
      </c>
      <c r="K29" s="25" t="n">
        <v>0.03</v>
      </c>
      <c r="L29" s="25" t="n">
        <v>0.15</v>
      </c>
      <c r="M29" s="25" t="n">
        <v>0.06</v>
      </c>
      <c r="N29" s="26" t="n">
        <v>0.15</v>
      </c>
      <c r="O29" s="27" t="n">
        <f aca="false">INDEX($E29:$N29,1,MATCH(sel_scen,$E$4:$N$4,0))</f>
        <v>0.15</v>
      </c>
      <c r="P29" s="6" t="s">
        <v>160</v>
      </c>
    </row>
    <row r="30" customFormat="false" ht="15" hidden="false" customHeight="true" outlineLevel="0" collapsed="false">
      <c r="A30" s="10" t="s">
        <v>161</v>
      </c>
      <c r="B30" s="10" t="s">
        <v>152</v>
      </c>
      <c r="C30" s="10" t="s">
        <v>162</v>
      </c>
      <c r="D30" s="10" t="s">
        <v>84</v>
      </c>
      <c r="E30" s="25" t="n">
        <v>0</v>
      </c>
      <c r="F30" s="25" t="n">
        <v>0.4</v>
      </c>
      <c r="G30" s="25" t="n">
        <v>0.7</v>
      </c>
      <c r="H30" s="25" t="n">
        <v>0.3</v>
      </c>
      <c r="I30" s="25" t="n">
        <v>0.3</v>
      </c>
      <c r="J30" s="25" t="n">
        <v>0.1</v>
      </c>
      <c r="K30" s="25" t="n">
        <v>0.1</v>
      </c>
      <c r="L30" s="25" t="n">
        <v>0.85</v>
      </c>
      <c r="M30" s="25" t="n">
        <v>0.3</v>
      </c>
      <c r="N30" s="26" t="n">
        <v>0.85</v>
      </c>
      <c r="O30" s="27" t="n">
        <f aca="false">INDEX($E30:$N30,1,MATCH(sel_scen,$E$4:$N$4,0))</f>
        <v>0.85</v>
      </c>
      <c r="P30" s="6" t="s">
        <v>163</v>
      </c>
    </row>
    <row r="31" customFormat="false" ht="15" hidden="false" customHeight="true" outlineLevel="0" collapsed="false">
      <c r="A31" s="10" t="s">
        <v>164</v>
      </c>
      <c r="B31" s="10" t="s">
        <v>152</v>
      </c>
      <c r="C31" s="10" t="s">
        <v>165</v>
      </c>
      <c r="D31" s="10" t="s">
        <v>84</v>
      </c>
      <c r="E31" s="25" t="n">
        <v>0</v>
      </c>
      <c r="F31" s="25" t="n">
        <v>0.5</v>
      </c>
      <c r="G31" s="25" t="n">
        <v>1</v>
      </c>
      <c r="H31" s="25" t="n">
        <v>0.5</v>
      </c>
      <c r="I31" s="25" t="n">
        <v>0.5</v>
      </c>
      <c r="J31" s="25" t="n">
        <v>0.5</v>
      </c>
      <c r="K31" s="25" t="n">
        <v>0.25</v>
      </c>
      <c r="L31" s="25" t="n">
        <v>1</v>
      </c>
      <c r="M31" s="25" t="n">
        <v>0.5</v>
      </c>
      <c r="N31" s="26" t="n">
        <v>1</v>
      </c>
      <c r="O31" s="27" t="n">
        <f aca="false">INDEX($E31:$N31,1,MATCH(sel_scen,$E$4:$N$4,0))</f>
        <v>1</v>
      </c>
      <c r="P31" s="6" t="s">
        <v>114</v>
      </c>
    </row>
    <row r="32" customFormat="false" ht="15" hidden="false" customHeight="true" outlineLevel="0" collapsed="false">
      <c r="A32" s="10" t="s">
        <v>166</v>
      </c>
      <c r="B32" s="10" t="s">
        <v>167</v>
      </c>
      <c r="C32" s="10" t="s">
        <v>168</v>
      </c>
      <c r="D32" s="10" t="s">
        <v>84</v>
      </c>
      <c r="E32" s="25" t="n">
        <v>0</v>
      </c>
      <c r="F32" s="25" t="n">
        <v>-0.01</v>
      </c>
      <c r="G32" s="25" t="n">
        <v>-0.005</v>
      </c>
      <c r="H32" s="25" t="n">
        <v>-0.06</v>
      </c>
      <c r="I32" s="25" t="n">
        <v>-0.02</v>
      </c>
      <c r="J32" s="25" t="n">
        <v>-0.02</v>
      </c>
      <c r="K32" s="25" t="n">
        <v>-0.08</v>
      </c>
      <c r="L32" s="25" t="n">
        <v>-0.08</v>
      </c>
      <c r="M32" s="25" t="n">
        <v>-0.02</v>
      </c>
      <c r="N32" s="26" t="n">
        <v>-0.08</v>
      </c>
      <c r="O32" s="27" t="n">
        <f aca="false">INDEX($E32:$N32,1,MATCH(sel_scen,$E$4:$N$4,0))</f>
        <v>-0.08</v>
      </c>
      <c r="P32" s="6" t="s">
        <v>169</v>
      </c>
    </row>
    <row r="33" customFormat="false" ht="15" hidden="false" customHeight="true" outlineLevel="0" collapsed="false">
      <c r="A33" s="10" t="s">
        <v>170</v>
      </c>
      <c r="B33" s="10" t="s">
        <v>167</v>
      </c>
      <c r="C33" s="10" t="s">
        <v>171</v>
      </c>
      <c r="D33" s="10" t="s">
        <v>84</v>
      </c>
      <c r="E33" s="25" t="n">
        <v>0</v>
      </c>
      <c r="F33" s="25" t="n">
        <v>-0.03</v>
      </c>
      <c r="G33" s="25" t="n">
        <v>-0.02</v>
      </c>
      <c r="H33" s="25" t="n">
        <v>-0.2</v>
      </c>
      <c r="I33" s="25" t="n">
        <v>-0.06</v>
      </c>
      <c r="J33" s="25" t="n">
        <v>-0.05</v>
      </c>
      <c r="K33" s="25" t="n">
        <v>-0.08</v>
      </c>
      <c r="L33" s="25" t="n">
        <v>-0.25</v>
      </c>
      <c r="M33" s="25" t="n">
        <v>-0.06</v>
      </c>
      <c r="N33" s="26" t="n">
        <v>-0.25</v>
      </c>
      <c r="O33" s="27" t="n">
        <f aca="false">INDEX($E33:$N33,1,MATCH(sel_scen,$E$4:$N$4,0))</f>
        <v>-0.25</v>
      </c>
      <c r="P33" s="6" t="s">
        <v>172</v>
      </c>
    </row>
    <row r="34" customFormat="false" ht="15" hidden="false" customHeight="true" outlineLevel="0" collapsed="false">
      <c r="A34" s="10" t="s">
        <v>173</v>
      </c>
      <c r="B34" s="10" t="s">
        <v>167</v>
      </c>
      <c r="C34" s="10" t="s">
        <v>174</v>
      </c>
      <c r="D34" s="10" t="s">
        <v>84</v>
      </c>
      <c r="E34" s="25" t="n">
        <v>0</v>
      </c>
      <c r="F34" s="25" t="n">
        <v>-0.04</v>
      </c>
      <c r="G34" s="25" t="n">
        <v>-0.02</v>
      </c>
      <c r="H34" s="25" t="n">
        <v>-0.2</v>
      </c>
      <c r="I34" s="25" t="n">
        <v>-0.06</v>
      </c>
      <c r="J34" s="25" t="n">
        <v>-0.05</v>
      </c>
      <c r="K34" s="25" t="n">
        <v>-0.03</v>
      </c>
      <c r="L34" s="25" t="n">
        <v>-0.3</v>
      </c>
      <c r="M34" s="25" t="n">
        <v>-0.06</v>
      </c>
      <c r="N34" s="26" t="n">
        <v>-0.3</v>
      </c>
      <c r="O34" s="27" t="n">
        <f aca="false">INDEX($E34:$N34,1,MATCH(sel_scen,$E$4:$N$4,0))</f>
        <v>-0.3</v>
      </c>
      <c r="P34" s="6" t="s">
        <v>175</v>
      </c>
    </row>
    <row r="35" customFormat="false" ht="15" hidden="false" customHeight="true" outlineLevel="0" collapsed="false">
      <c r="A35" s="10" t="s">
        <v>176</v>
      </c>
      <c r="B35" s="10" t="s">
        <v>167</v>
      </c>
      <c r="C35" s="10" t="s">
        <v>177</v>
      </c>
      <c r="D35" s="10" t="s">
        <v>84</v>
      </c>
      <c r="E35" s="25" t="n">
        <v>0</v>
      </c>
      <c r="F35" s="25" t="n">
        <v>-0.02</v>
      </c>
      <c r="G35" s="25" t="n">
        <v>-0.01</v>
      </c>
      <c r="H35" s="25" t="n">
        <v>-0.15</v>
      </c>
      <c r="I35" s="25" t="n">
        <v>-0.05</v>
      </c>
      <c r="J35" s="25" t="n">
        <v>-0.05</v>
      </c>
      <c r="K35" s="25" t="n">
        <v>-0.02</v>
      </c>
      <c r="L35" s="25" t="n">
        <v>-0.25</v>
      </c>
      <c r="M35" s="25" t="n">
        <v>-0.05</v>
      </c>
      <c r="N35" s="26" t="n">
        <v>-0.25</v>
      </c>
      <c r="O35" s="27" t="n">
        <f aca="false">INDEX($E35:$N35,1,MATCH(sel_scen,$E$4:$N$4,0))</f>
        <v>-0.25</v>
      </c>
      <c r="P35" s="6" t="s">
        <v>178</v>
      </c>
    </row>
    <row r="36" customFormat="false" ht="15" hidden="false" customHeight="true" outlineLevel="0" collapsed="false">
      <c r="A36" s="10" t="s">
        <v>179</v>
      </c>
      <c r="B36" s="10" t="s">
        <v>167</v>
      </c>
      <c r="C36" s="10" t="s">
        <v>180</v>
      </c>
      <c r="D36" s="10" t="s">
        <v>84</v>
      </c>
      <c r="E36" s="25" t="n">
        <v>0</v>
      </c>
      <c r="F36" s="25" t="n">
        <v>-0.01</v>
      </c>
      <c r="G36" s="25" t="n">
        <v>-0.005</v>
      </c>
      <c r="H36" s="25" t="n">
        <v>-0.1</v>
      </c>
      <c r="I36" s="25" t="n">
        <v>-0.03</v>
      </c>
      <c r="J36" s="25" t="n">
        <v>-0.03</v>
      </c>
      <c r="K36" s="25" t="n">
        <v>-0.04</v>
      </c>
      <c r="L36" s="25" t="n">
        <v>-0.2</v>
      </c>
      <c r="M36" s="25" t="n">
        <v>-0.03</v>
      </c>
      <c r="N36" s="26" t="n">
        <v>-0.2</v>
      </c>
      <c r="O36" s="27" t="n">
        <f aca="false">INDEX($E36:$N36,1,MATCH(sel_scen,$E$4:$N$4,0))</f>
        <v>-0.2</v>
      </c>
      <c r="P36" s="6" t="s">
        <v>114</v>
      </c>
    </row>
    <row r="37" customFormat="false" ht="15" hidden="false" customHeight="true" outlineLevel="0" collapsed="false">
      <c r="A37" s="10" t="s">
        <v>181</v>
      </c>
      <c r="B37" s="10" t="s">
        <v>167</v>
      </c>
      <c r="C37" s="10" t="s">
        <v>182</v>
      </c>
      <c r="D37" s="10" t="s">
        <v>84</v>
      </c>
      <c r="E37" s="25" t="n">
        <v>0</v>
      </c>
      <c r="F37" s="25" t="n">
        <v>-0.1</v>
      </c>
      <c r="G37" s="25" t="n">
        <v>-0.15</v>
      </c>
      <c r="H37" s="25" t="n">
        <v>-0.35</v>
      </c>
      <c r="I37" s="25" t="n">
        <v>-0.1</v>
      </c>
      <c r="J37" s="25" t="n">
        <v>-0.15</v>
      </c>
      <c r="K37" s="25" t="n">
        <v>-0.15</v>
      </c>
      <c r="L37" s="25" t="n">
        <v>-0.45</v>
      </c>
      <c r="M37" s="25" t="n">
        <v>-0.1</v>
      </c>
      <c r="N37" s="26" t="n">
        <v>-0.45</v>
      </c>
      <c r="O37" s="27" t="n">
        <f aca="false">INDEX($E37:$N37,1,MATCH(sel_scen,$E$4:$N$4,0))</f>
        <v>-0.45</v>
      </c>
      <c r="P37" s="6" t="s">
        <v>183</v>
      </c>
    </row>
    <row r="38" customFormat="false" ht="15" hidden="false" customHeight="true" outlineLevel="0" collapsed="false">
      <c r="A38" s="10" t="s">
        <v>184</v>
      </c>
      <c r="B38" s="10" t="s">
        <v>167</v>
      </c>
      <c r="C38" s="10" t="s">
        <v>185</v>
      </c>
      <c r="D38" s="10" t="s">
        <v>84</v>
      </c>
      <c r="E38" s="25" t="n">
        <v>0</v>
      </c>
      <c r="F38" s="25" t="n">
        <v>0</v>
      </c>
      <c r="G38" s="25" t="n">
        <v>0</v>
      </c>
      <c r="H38" s="25" t="n">
        <v>-0.04</v>
      </c>
      <c r="I38" s="25" t="n">
        <v>-0.01</v>
      </c>
      <c r="J38" s="25" t="n">
        <v>-0.02</v>
      </c>
      <c r="K38" s="25" t="n">
        <v>-0.1</v>
      </c>
      <c r="L38" s="25" t="n">
        <v>-0.06</v>
      </c>
      <c r="M38" s="25" t="n">
        <v>-0.01</v>
      </c>
      <c r="N38" s="26" t="n">
        <v>-0.06</v>
      </c>
      <c r="O38" s="27" t="n">
        <f aca="false">INDEX($E38:$N38,1,MATCH(sel_scen,$E$4:$N$4,0))</f>
        <v>-0.06</v>
      </c>
      <c r="P38" s="6" t="s">
        <v>114</v>
      </c>
    </row>
    <row r="39" customFormat="false" ht="15" hidden="false" customHeight="true" outlineLevel="0" collapsed="false">
      <c r="A39" s="10" t="s">
        <v>186</v>
      </c>
      <c r="B39" s="10" t="s">
        <v>167</v>
      </c>
      <c r="C39" s="10" t="s">
        <v>187</v>
      </c>
      <c r="D39" s="10" t="s">
        <v>84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-0.06</v>
      </c>
      <c r="L39" s="25" t="n">
        <v>-0.02</v>
      </c>
      <c r="M39" s="25" t="n">
        <v>0</v>
      </c>
      <c r="N39" s="26" t="n">
        <v>-0.02</v>
      </c>
      <c r="O39" s="27" t="n">
        <f aca="false">INDEX($E39:$N39,1,MATCH(sel_scen,$E$4:$N$4,0))</f>
        <v>-0.02</v>
      </c>
      <c r="P39" s="6" t="s">
        <v>188</v>
      </c>
    </row>
    <row r="40" customFormat="false" ht="15" hidden="false" customHeight="true" outlineLevel="0" collapsed="false">
      <c r="A40" s="10" t="s">
        <v>189</v>
      </c>
      <c r="B40" s="10" t="s">
        <v>190</v>
      </c>
      <c r="C40" s="10" t="s">
        <v>191</v>
      </c>
      <c r="D40" s="10" t="s">
        <v>84</v>
      </c>
      <c r="E40" s="25" t="n">
        <v>0.005</v>
      </c>
      <c r="F40" s="25" t="n">
        <v>0.01</v>
      </c>
      <c r="G40" s="25" t="n">
        <v>0.005</v>
      </c>
      <c r="H40" s="25" t="n">
        <v>0.05</v>
      </c>
      <c r="I40" s="25" t="n">
        <v>0.015</v>
      </c>
      <c r="J40" s="25" t="n">
        <v>0.01</v>
      </c>
      <c r="K40" s="25" t="n">
        <v>0.02</v>
      </c>
      <c r="L40" s="25" t="n">
        <v>0.07</v>
      </c>
      <c r="M40" s="25" t="n">
        <v>0.015</v>
      </c>
      <c r="N40" s="26" t="n">
        <v>0.07</v>
      </c>
      <c r="O40" s="27" t="n">
        <f aca="false">INDEX($E40:$N40,1,MATCH(sel_scen,$E$4:$N$4,0))</f>
        <v>0.07</v>
      </c>
      <c r="P40" s="6" t="s">
        <v>192</v>
      </c>
    </row>
    <row r="41" customFormat="false" ht="15" hidden="false" customHeight="true" outlineLevel="0" collapsed="false">
      <c r="A41" s="10" t="s">
        <v>193</v>
      </c>
      <c r="B41" s="10" t="s">
        <v>194</v>
      </c>
      <c r="C41" s="10" t="s">
        <v>195</v>
      </c>
      <c r="D41" s="10" t="s">
        <v>196</v>
      </c>
      <c r="E41" s="25" t="n">
        <v>0</v>
      </c>
      <c r="F41" s="25" t="n">
        <v>0</v>
      </c>
      <c r="G41" s="25" t="n">
        <v>0</v>
      </c>
      <c r="H41" s="25" t="n">
        <v>-0.01</v>
      </c>
      <c r="I41" s="25" t="n">
        <v>0</v>
      </c>
      <c r="J41" s="25" t="n">
        <v>0</v>
      </c>
      <c r="K41" s="25" t="n">
        <v>0.02</v>
      </c>
      <c r="L41" s="25" t="n">
        <v>0.01</v>
      </c>
      <c r="M41" s="25" t="n">
        <v>0</v>
      </c>
      <c r="N41" s="26" t="n">
        <v>0.01</v>
      </c>
      <c r="O41" s="27" t="n">
        <f aca="false">INDEX($E41:$N41,1,MATCH(sel_scen,$E$4:$N$4,0))</f>
        <v>0.01</v>
      </c>
      <c r="P41" s="6" t="s">
        <v>197</v>
      </c>
    </row>
    <row r="42" customFormat="false" ht="15" hidden="false" customHeight="true" outlineLevel="0" collapsed="false">
      <c r="A42" s="10" t="s">
        <v>198</v>
      </c>
      <c r="B42" s="10" t="s">
        <v>194</v>
      </c>
      <c r="C42" s="10" t="s">
        <v>199</v>
      </c>
      <c r="D42" s="10" t="s">
        <v>84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0.25</v>
      </c>
      <c r="L42" s="25" t="n">
        <v>0</v>
      </c>
      <c r="M42" s="25" t="n">
        <v>0</v>
      </c>
      <c r="N42" s="26" t="n">
        <v>0</v>
      </c>
      <c r="O42" s="27" t="n">
        <f aca="false">INDEX($E42:$N42,1,MATCH(sel_scen,$E$4:$N$4,0))</f>
        <v>0</v>
      </c>
      <c r="P42" s="6" t="s">
        <v>200</v>
      </c>
    </row>
    <row r="43" customFormat="false" ht="15" hidden="false" customHeight="true" outlineLevel="0" collapsed="false">
      <c r="A43" s="10" t="s">
        <v>201</v>
      </c>
      <c r="B43" s="10" t="s">
        <v>202</v>
      </c>
      <c r="C43" s="10" t="s">
        <v>203</v>
      </c>
      <c r="D43" s="10" t="s">
        <v>84</v>
      </c>
      <c r="E43" s="25" t="n">
        <v>0</v>
      </c>
      <c r="F43" s="25" t="n">
        <v>0.1</v>
      </c>
      <c r="G43" s="25" t="n">
        <v>0</v>
      </c>
      <c r="H43" s="25" t="n">
        <v>0.25</v>
      </c>
      <c r="I43" s="25" t="n">
        <v>0.25</v>
      </c>
      <c r="J43" s="25" t="n">
        <v>0.1</v>
      </c>
      <c r="K43" s="25" t="n">
        <v>0</v>
      </c>
      <c r="L43" s="25" t="n">
        <v>0.5</v>
      </c>
      <c r="M43" s="25" t="n">
        <v>0.25</v>
      </c>
      <c r="N43" s="26" t="n">
        <v>0.5</v>
      </c>
      <c r="O43" s="27" t="n">
        <f aca="false">INDEX($E43:$N43,1,MATCH(sel_scen,$E$4:$N$4,0))</f>
        <v>0.5</v>
      </c>
      <c r="P43" s="6" t="s">
        <v>204</v>
      </c>
    </row>
    <row r="44" customFormat="false" ht="15" hidden="false" customHeight="true" outlineLevel="0" collapsed="false">
      <c r="A44" s="10" t="s">
        <v>205</v>
      </c>
      <c r="B44" s="10" t="s">
        <v>206</v>
      </c>
      <c r="C44" s="10" t="s">
        <v>207</v>
      </c>
      <c r="D44" s="10" t="s">
        <v>84</v>
      </c>
      <c r="E44" s="25" t="n">
        <v>0</v>
      </c>
      <c r="F44" s="25" t="n">
        <v>0.01</v>
      </c>
      <c r="G44" s="25" t="n">
        <v>0.01</v>
      </c>
      <c r="H44" s="25" t="n">
        <v>0.03</v>
      </c>
      <c r="I44" s="25" t="n">
        <v>0.01</v>
      </c>
      <c r="J44" s="25" t="n">
        <v>0.03</v>
      </c>
      <c r="K44" s="25" t="n">
        <v>0.01</v>
      </c>
      <c r="L44" s="25" t="n">
        <v>0.05</v>
      </c>
      <c r="M44" s="25" t="n">
        <v>0.01</v>
      </c>
      <c r="N44" s="26" t="n">
        <v>0.05</v>
      </c>
      <c r="O44" s="27" t="n">
        <f aca="false">INDEX($E44:$N44,1,MATCH(sel_scen,$E$4:$N$4,0))</f>
        <v>0.05</v>
      </c>
      <c r="P44" s="6" t="s">
        <v>208</v>
      </c>
    </row>
    <row r="45" customFormat="false" ht="15" hidden="false" customHeight="true" outlineLevel="0" collapsed="false">
      <c r="A45" s="10" t="s">
        <v>209</v>
      </c>
      <c r="B45" s="10" t="s">
        <v>206</v>
      </c>
      <c r="C45" s="10" t="s">
        <v>210</v>
      </c>
      <c r="D45" s="10" t="s">
        <v>84</v>
      </c>
      <c r="E45" s="25" t="n">
        <v>0</v>
      </c>
      <c r="F45" s="25" t="n">
        <v>0.15</v>
      </c>
      <c r="G45" s="25" t="n">
        <v>0.15</v>
      </c>
      <c r="H45" s="25" t="n">
        <v>0.35</v>
      </c>
      <c r="I45" s="25" t="n">
        <v>0.15</v>
      </c>
      <c r="J45" s="25" t="n">
        <v>0.25</v>
      </c>
      <c r="K45" s="25" t="n">
        <v>0.15</v>
      </c>
      <c r="L45" s="25" t="n">
        <v>0.45</v>
      </c>
      <c r="M45" s="25" t="n">
        <v>0.15</v>
      </c>
      <c r="N45" s="26" t="n">
        <v>0.45</v>
      </c>
      <c r="O45" s="27" t="n">
        <f aca="false">INDEX($E45:$N45,1,MATCH(sel_scen,$E$4:$N$4,0))</f>
        <v>0.45</v>
      </c>
      <c r="P45" s="6" t="s">
        <v>211</v>
      </c>
    </row>
    <row r="46" customFormat="false" ht="15" hidden="false" customHeight="true" outlineLevel="0" collapsed="false">
      <c r="A46" s="10" t="s">
        <v>212</v>
      </c>
      <c r="B46" s="10" t="s">
        <v>213</v>
      </c>
      <c r="C46" s="10" t="s">
        <v>214</v>
      </c>
      <c r="D46" s="10" t="s">
        <v>84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0</v>
      </c>
      <c r="N46" s="26" t="n">
        <v>0</v>
      </c>
      <c r="O46" s="27" t="n">
        <f aca="false">INDEX($E46:$N46,1,MATCH(sel_scen,$E$4:$N$4,0))</f>
        <v>0</v>
      </c>
      <c r="P46" s="6" t="s">
        <v>215</v>
      </c>
    </row>
    <row r="47" customFormat="false" ht="15" hidden="false" customHeight="true" outlineLevel="0" collapsed="false">
      <c r="A47" s="10" t="s">
        <v>216</v>
      </c>
      <c r="B47" s="10" t="s">
        <v>213</v>
      </c>
      <c r="C47" s="10" t="s">
        <v>217</v>
      </c>
      <c r="D47" s="10" t="s">
        <v>218</v>
      </c>
      <c r="E47" s="28" t="n">
        <v>0</v>
      </c>
      <c r="F47" s="28" t="n">
        <v>0</v>
      </c>
      <c r="G47" s="28" t="n">
        <v>0</v>
      </c>
      <c r="H47" s="28" t="n">
        <v>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  <c r="N47" s="29" t="n">
        <v>0</v>
      </c>
      <c r="O47" s="30" t="n">
        <f aca="false">INDEX($E47:$N47,1,MATCH(sel_scen,$E$4:$N$4,0))</f>
        <v>0</v>
      </c>
      <c r="P47" s="6" t="s">
        <v>219</v>
      </c>
    </row>
    <row r="48" customFormat="false" ht="15" hidden="false" customHeight="true" outlineLevel="0" collapsed="false">
      <c r="A48" s="10" t="s">
        <v>220</v>
      </c>
      <c r="B48" s="10" t="s">
        <v>213</v>
      </c>
      <c r="C48" s="10" t="s">
        <v>221</v>
      </c>
      <c r="D48" s="10" t="s">
        <v>84</v>
      </c>
      <c r="E48" s="25" t="n">
        <v>0</v>
      </c>
      <c r="F48" s="25" t="n">
        <v>0.01</v>
      </c>
      <c r="G48" s="25" t="n">
        <v>0</v>
      </c>
      <c r="H48" s="25" t="n">
        <v>0.05</v>
      </c>
      <c r="I48" s="25" t="n">
        <v>0.05</v>
      </c>
      <c r="J48" s="25" t="n">
        <v>0</v>
      </c>
      <c r="K48" s="25" t="n">
        <v>0</v>
      </c>
      <c r="L48" s="25" t="n">
        <v>0.08</v>
      </c>
      <c r="M48" s="25" t="n">
        <v>0.05</v>
      </c>
      <c r="N48" s="26" t="n">
        <v>0.08</v>
      </c>
      <c r="O48" s="27" t="n">
        <f aca="false">INDEX($E48:$N48,1,MATCH(sel_scen,$E$4:$N$4,0))</f>
        <v>0.08</v>
      </c>
      <c r="P48" s="6" t="s">
        <v>114</v>
      </c>
    </row>
    <row r="49" customFormat="false" ht="15" hidden="false" customHeight="true" outlineLevel="0" collapsed="false">
      <c r="A49" s="10" t="s">
        <v>222</v>
      </c>
      <c r="B49" s="10" t="s">
        <v>122</v>
      </c>
      <c r="C49" s="10" t="s">
        <v>223</v>
      </c>
      <c r="D49" s="10" t="s">
        <v>88</v>
      </c>
      <c r="E49" s="25" t="n">
        <v>0</v>
      </c>
      <c r="F49" s="25" t="n">
        <v>0.5</v>
      </c>
      <c r="G49" s="25" t="n">
        <v>0.25</v>
      </c>
      <c r="H49" s="25" t="n">
        <v>1</v>
      </c>
      <c r="I49" s="25" t="n">
        <v>1.5</v>
      </c>
      <c r="J49" s="25" t="n">
        <v>0.25</v>
      </c>
      <c r="K49" s="25" t="n">
        <v>0.25</v>
      </c>
      <c r="L49" s="25" t="n">
        <v>1.5</v>
      </c>
      <c r="M49" s="25" t="n">
        <v>1.5</v>
      </c>
      <c r="N49" s="26" t="n">
        <v>1.5</v>
      </c>
      <c r="O49" s="27" t="n">
        <f aca="false">INDEX($E49:$N49,1,MATCH(sel_scen,$E$4:$N$4,0))</f>
        <v>1.5</v>
      </c>
      <c r="P49" s="6" t="s">
        <v>224</v>
      </c>
    </row>
    <row r="50" customFormat="false" ht="15" hidden="false" customHeight="true" outlineLevel="0" collapsed="false">
      <c r="A50" s="10" t="s">
        <v>225</v>
      </c>
      <c r="B50" s="10" t="s">
        <v>122</v>
      </c>
      <c r="C50" s="10" t="s">
        <v>226</v>
      </c>
      <c r="D50" s="10" t="s">
        <v>84</v>
      </c>
      <c r="E50" s="25" t="n">
        <v>0.1</v>
      </c>
      <c r="F50" s="25" t="n">
        <v>0.08</v>
      </c>
      <c r="G50" s="25" t="n">
        <v>0.1</v>
      </c>
      <c r="H50" s="25" t="n">
        <v>0.05</v>
      </c>
      <c r="I50" s="25" t="n">
        <v>0.03</v>
      </c>
      <c r="J50" s="25" t="n">
        <v>0.05</v>
      </c>
      <c r="K50" s="25" t="n">
        <v>0.1</v>
      </c>
      <c r="L50" s="25" t="n">
        <v>0.03</v>
      </c>
      <c r="M50" s="25" t="n">
        <v>0.03</v>
      </c>
      <c r="N50" s="26" t="n">
        <v>0.03</v>
      </c>
      <c r="O50" s="27" t="n">
        <f aca="false">INDEX($E50:$N50,1,MATCH(sel_scen,$E$4:$N$4,0))</f>
        <v>0.03</v>
      </c>
      <c r="P50" s="6" t="s">
        <v>227</v>
      </c>
    </row>
    <row r="51" customFormat="false" ht="15" hidden="false" customHeight="true" outlineLevel="0" collapsed="false">
      <c r="A51" s="10" t="s">
        <v>228</v>
      </c>
      <c r="B51" s="10" t="s">
        <v>122</v>
      </c>
      <c r="C51" s="10" t="s">
        <v>229</v>
      </c>
      <c r="D51" s="10" t="s">
        <v>230</v>
      </c>
      <c r="E51" s="25" t="n">
        <v>0.03</v>
      </c>
      <c r="F51" s="25" t="n">
        <v>0.03</v>
      </c>
      <c r="G51" s="25" t="n">
        <v>0.03</v>
      </c>
      <c r="H51" s="25" t="n">
        <v>0.025</v>
      </c>
      <c r="I51" s="25" t="n">
        <v>0.02</v>
      </c>
      <c r="J51" s="25" t="n">
        <v>0.025</v>
      </c>
      <c r="K51" s="25" t="n">
        <v>0.03</v>
      </c>
      <c r="L51" s="25" t="n">
        <v>0.025</v>
      </c>
      <c r="M51" s="25" t="n">
        <v>0.02</v>
      </c>
      <c r="N51" s="26" t="n">
        <v>0.025</v>
      </c>
      <c r="O51" s="27" t="n">
        <f aca="false">INDEX($E51:$N51,1,MATCH(sel_scen,$E$4:$N$4,0))</f>
        <v>0.025</v>
      </c>
      <c r="P51" s="6" t="s">
        <v>231</v>
      </c>
    </row>
    <row r="52" customFormat="false" ht="15" hidden="false" customHeight="true" outlineLevel="0" collapsed="false">
      <c r="A52" s="10" t="s">
        <v>232</v>
      </c>
      <c r="B52" s="10" t="s">
        <v>233</v>
      </c>
      <c r="C52" s="10" t="s">
        <v>234</v>
      </c>
      <c r="D52" s="10" t="s">
        <v>84</v>
      </c>
      <c r="E52" s="25" t="n">
        <v>0.3</v>
      </c>
      <c r="F52" s="25" t="n">
        <v>0.5</v>
      </c>
      <c r="G52" s="25" t="n">
        <v>0.3</v>
      </c>
      <c r="H52" s="25" t="n">
        <v>0.7</v>
      </c>
      <c r="I52" s="25" t="n">
        <v>0.7</v>
      </c>
      <c r="J52" s="25" t="n">
        <v>0.8</v>
      </c>
      <c r="K52" s="25" t="n">
        <v>0.3</v>
      </c>
      <c r="L52" s="25" t="n">
        <v>0.9</v>
      </c>
      <c r="M52" s="25" t="n">
        <v>0.7</v>
      </c>
      <c r="N52" s="26" t="n">
        <v>0.9</v>
      </c>
      <c r="O52" s="27" t="n">
        <f aca="false">INDEX($E52:$N52,1,MATCH(sel_scen,$E$4:$N$4,0))</f>
        <v>0.9</v>
      </c>
      <c r="P52" s="6" t="s">
        <v>235</v>
      </c>
    </row>
    <row r="53" customFormat="false" ht="15" hidden="false" customHeight="true" outlineLevel="0" collapsed="false">
      <c r="A53" s="10" t="s">
        <v>236</v>
      </c>
      <c r="B53" s="10" t="s">
        <v>233</v>
      </c>
      <c r="C53" s="10" t="s">
        <v>237</v>
      </c>
      <c r="D53" s="10" t="s">
        <v>84</v>
      </c>
      <c r="E53" s="25" t="n">
        <v>0.05</v>
      </c>
      <c r="F53" s="25" t="n">
        <v>0.05</v>
      </c>
      <c r="G53" s="25" t="n">
        <v>0.05</v>
      </c>
      <c r="H53" s="25" t="n">
        <v>0.07</v>
      </c>
      <c r="I53" s="25" t="n">
        <v>0.07</v>
      </c>
      <c r="J53" s="25" t="n">
        <v>0.1</v>
      </c>
      <c r="K53" s="25" t="n">
        <v>0.05</v>
      </c>
      <c r="L53" s="25" t="n">
        <v>0.15</v>
      </c>
      <c r="M53" s="25" t="n">
        <v>0.07</v>
      </c>
      <c r="N53" s="26" t="n">
        <v>0.15</v>
      </c>
      <c r="O53" s="27" t="n">
        <f aca="false">INDEX($E53:$N53,1,MATCH(sel_scen,$E$4:$N$4,0))</f>
        <v>0.15</v>
      </c>
      <c r="P53" s="6" t="s">
        <v>238</v>
      </c>
    </row>
    <row r="54" customFormat="false" ht="15" hidden="false" customHeight="true" outlineLevel="0" collapsed="false">
      <c r="A54" s="10" t="s">
        <v>239</v>
      </c>
      <c r="B54" s="10" t="s">
        <v>233</v>
      </c>
      <c r="C54" s="10" t="s">
        <v>240</v>
      </c>
      <c r="D54" s="10" t="s">
        <v>88</v>
      </c>
      <c r="E54" s="25" t="n">
        <v>1</v>
      </c>
      <c r="F54" s="25" t="n">
        <v>1</v>
      </c>
      <c r="G54" s="25" t="n">
        <v>1</v>
      </c>
      <c r="H54" s="25" t="n">
        <v>1.5</v>
      </c>
      <c r="I54" s="25" t="n">
        <v>1.5</v>
      </c>
      <c r="J54" s="25" t="n">
        <v>2</v>
      </c>
      <c r="K54" s="25" t="n">
        <v>1</v>
      </c>
      <c r="L54" s="25" t="n">
        <v>2</v>
      </c>
      <c r="M54" s="25" t="n">
        <v>1.5</v>
      </c>
      <c r="N54" s="26" t="n">
        <v>2</v>
      </c>
      <c r="O54" s="27" t="n">
        <f aca="false">INDEX($E54:$N54,1,MATCH(sel_scen,$E$4:$N$4,0))</f>
        <v>2</v>
      </c>
      <c r="P54" s="6" t="s">
        <v>241</v>
      </c>
    </row>
    <row r="55" customFormat="false" ht="15" hidden="false" customHeight="true" outlineLevel="0" collapsed="false">
      <c r="A55" s="10" t="s">
        <v>242</v>
      </c>
      <c r="B55" s="10" t="s">
        <v>233</v>
      </c>
      <c r="C55" s="10" t="s">
        <v>243</v>
      </c>
      <c r="D55" s="10" t="s">
        <v>84</v>
      </c>
      <c r="E55" s="25" t="n">
        <v>0</v>
      </c>
      <c r="F55" s="25" t="n">
        <v>0.05</v>
      </c>
      <c r="G55" s="25" t="n">
        <v>0</v>
      </c>
      <c r="H55" s="25" t="n">
        <v>0.25</v>
      </c>
      <c r="I55" s="25" t="n">
        <v>0.1</v>
      </c>
      <c r="J55" s="25" t="n">
        <v>0.3</v>
      </c>
      <c r="K55" s="25" t="n">
        <v>0.1</v>
      </c>
      <c r="L55" s="25" t="n">
        <v>0.5</v>
      </c>
      <c r="M55" s="25" t="n">
        <v>0.1</v>
      </c>
      <c r="N55" s="26" t="n">
        <v>0.5</v>
      </c>
      <c r="O55" s="27" t="n">
        <f aca="false">INDEX($E55:$N55,1,MATCH(sel_scen,$E$4:$N$4,0))</f>
        <v>0.5</v>
      </c>
      <c r="P55" s="6" t="s">
        <v>244</v>
      </c>
    </row>
    <row r="56" customFormat="false" ht="15" hidden="false" customHeight="true" outlineLevel="0" collapsed="false">
      <c r="A56" s="10" t="s">
        <v>245</v>
      </c>
      <c r="B56" s="10" t="s">
        <v>246</v>
      </c>
      <c r="C56" s="10" t="s">
        <v>247</v>
      </c>
      <c r="D56" s="10" t="s">
        <v>84</v>
      </c>
      <c r="E56" s="25" t="n">
        <v>0</v>
      </c>
      <c r="F56" s="25" t="n">
        <v>0.02</v>
      </c>
      <c r="G56" s="25" t="n">
        <v>0.02</v>
      </c>
      <c r="H56" s="25" t="n">
        <v>0.05</v>
      </c>
      <c r="I56" s="25" t="n">
        <v>0.03</v>
      </c>
      <c r="J56" s="25" t="n">
        <v>0.08</v>
      </c>
      <c r="K56" s="25" t="n">
        <v>0.03</v>
      </c>
      <c r="L56" s="25" t="n">
        <v>0.1</v>
      </c>
      <c r="M56" s="25" t="n">
        <v>0.03</v>
      </c>
      <c r="N56" s="26" t="n">
        <v>0.1</v>
      </c>
      <c r="O56" s="27" t="n">
        <f aca="false">INDEX($E56:$N56,1,MATCH(sel_scen,$E$4:$N$4,0))</f>
        <v>0.1</v>
      </c>
      <c r="P56" s="6" t="s">
        <v>248</v>
      </c>
    </row>
    <row r="57" customFormat="false" ht="15" hidden="false" customHeight="true" outlineLevel="0" collapsed="false">
      <c r="A57" s="10" t="s">
        <v>249</v>
      </c>
      <c r="B57" s="10" t="s">
        <v>246</v>
      </c>
      <c r="C57" s="10" t="s">
        <v>250</v>
      </c>
      <c r="D57" s="10" t="s">
        <v>84</v>
      </c>
      <c r="E57" s="25" t="n">
        <v>0.02</v>
      </c>
      <c r="F57" s="25" t="n">
        <v>0.02</v>
      </c>
      <c r="G57" s="25" t="n">
        <v>0.02</v>
      </c>
      <c r="H57" s="25" t="n">
        <v>0.03</v>
      </c>
      <c r="I57" s="25" t="n">
        <v>0.04</v>
      </c>
      <c r="J57" s="25" t="n">
        <v>0.04</v>
      </c>
      <c r="K57" s="25" t="n">
        <v>0.03</v>
      </c>
      <c r="L57" s="25" t="n">
        <v>0.04</v>
      </c>
      <c r="M57" s="25" t="n">
        <v>0.04</v>
      </c>
      <c r="N57" s="26" t="n">
        <v>0.04</v>
      </c>
      <c r="O57" s="27" t="n">
        <f aca="false">INDEX($E57:$N57,1,MATCH(sel_scen,$E$4:$N$4,0))</f>
        <v>0.04</v>
      </c>
      <c r="P57" s="6" t="s">
        <v>114</v>
      </c>
    </row>
    <row r="58" customFormat="false" ht="15" hidden="false" customHeight="true" outlineLevel="0" collapsed="false">
      <c r="A58" s="10" t="s">
        <v>251</v>
      </c>
      <c r="B58" s="10" t="s">
        <v>246</v>
      </c>
      <c r="C58" s="10" t="s">
        <v>252</v>
      </c>
      <c r="D58" s="10" t="s">
        <v>84</v>
      </c>
      <c r="E58" s="25" t="n">
        <v>0.05</v>
      </c>
      <c r="F58" s="25" t="n">
        <v>0.05</v>
      </c>
      <c r="G58" s="25" t="n">
        <v>0.05</v>
      </c>
      <c r="H58" s="25" t="n">
        <v>0.1</v>
      </c>
      <c r="I58" s="25" t="n">
        <v>0.1</v>
      </c>
      <c r="J58" s="25" t="n">
        <v>0.1</v>
      </c>
      <c r="K58" s="25" t="n">
        <v>0.1</v>
      </c>
      <c r="L58" s="25" t="n">
        <v>0.1</v>
      </c>
      <c r="M58" s="25" t="n">
        <v>0.1</v>
      </c>
      <c r="N58" s="26" t="n">
        <v>0.1</v>
      </c>
      <c r="O58" s="27" t="n">
        <f aca="false">INDEX($E58:$N58,1,MATCH(sel_scen,$E$4:$N$4,0))</f>
        <v>0.1</v>
      </c>
      <c r="P58" s="6" t="s">
        <v>114</v>
      </c>
    </row>
    <row r="59" customFormat="false" ht="15" hidden="false" customHeight="true" outlineLevel="0" collapsed="false">
      <c r="A59" s="10" t="s">
        <v>253</v>
      </c>
      <c r="B59" s="10" t="s">
        <v>246</v>
      </c>
      <c r="C59" s="10" t="s">
        <v>254</v>
      </c>
      <c r="D59" s="10" t="s">
        <v>84</v>
      </c>
      <c r="E59" s="25" t="n">
        <v>0.25</v>
      </c>
      <c r="F59" s="25" t="n">
        <v>0.25</v>
      </c>
      <c r="G59" s="25" t="n">
        <v>0.25</v>
      </c>
      <c r="H59" s="25" t="n">
        <v>0.25</v>
      </c>
      <c r="I59" s="25" t="n">
        <v>0.25</v>
      </c>
      <c r="J59" s="25" t="n">
        <v>0.25</v>
      </c>
      <c r="K59" s="25" t="n">
        <v>0.25</v>
      </c>
      <c r="L59" s="25" t="n">
        <v>0.25</v>
      </c>
      <c r="M59" s="25" t="n">
        <v>0.25</v>
      </c>
      <c r="N59" s="26" t="n">
        <v>0.25</v>
      </c>
      <c r="O59" s="27" t="n">
        <f aca="false">INDEX($E59:$N59,1,MATCH(sel_scen,$E$4:$N$4,0))</f>
        <v>0.25</v>
      </c>
      <c r="P59" s="6" t="s">
        <v>255</v>
      </c>
    </row>
    <row r="60" customFormat="false" ht="15" hidden="false" customHeight="true" outlineLevel="0" collapsed="false">
      <c r="A60" s="10" t="s">
        <v>256</v>
      </c>
      <c r="B60" s="10" t="s">
        <v>246</v>
      </c>
      <c r="C60" s="10" t="s">
        <v>257</v>
      </c>
      <c r="D60" s="10" t="s">
        <v>84</v>
      </c>
      <c r="E60" s="25" t="n">
        <v>0</v>
      </c>
      <c r="F60" s="25" t="n">
        <v>0.1</v>
      </c>
      <c r="G60" s="25" t="n">
        <v>0.1</v>
      </c>
      <c r="H60" s="25" t="n">
        <v>0.25</v>
      </c>
      <c r="I60" s="25" t="n">
        <v>0.15</v>
      </c>
      <c r="J60" s="25" t="n">
        <v>0.4</v>
      </c>
      <c r="K60" s="25" t="n">
        <v>0.15</v>
      </c>
      <c r="L60" s="25" t="n">
        <v>0.5</v>
      </c>
      <c r="M60" s="25" t="n">
        <v>0.15</v>
      </c>
      <c r="N60" s="26" t="n">
        <v>0.5</v>
      </c>
      <c r="O60" s="27" t="n">
        <f aca="false">INDEX($E60:$N60,1,MATCH(sel_scen,$E$4:$N$4,0))</f>
        <v>0.5</v>
      </c>
      <c r="P60" s="6" t="s">
        <v>114</v>
      </c>
    </row>
    <row r="61" customFormat="false" ht="15" hidden="false" customHeight="true" outlineLevel="0" collapsed="false">
      <c r="A61" s="10" t="s">
        <v>258</v>
      </c>
      <c r="B61" s="10" t="s">
        <v>246</v>
      </c>
      <c r="C61" s="10" t="s">
        <v>259</v>
      </c>
      <c r="D61" s="10" t="s">
        <v>84</v>
      </c>
      <c r="E61" s="25" t="n">
        <v>0.1</v>
      </c>
      <c r="F61" s="25" t="n">
        <v>0.1</v>
      </c>
      <c r="G61" s="25" t="n">
        <v>0.1</v>
      </c>
      <c r="H61" s="25" t="n">
        <v>0.15</v>
      </c>
      <c r="I61" s="25" t="n">
        <v>0.2</v>
      </c>
      <c r="J61" s="25" t="n">
        <v>0.2</v>
      </c>
      <c r="K61" s="25" t="n">
        <v>0.15</v>
      </c>
      <c r="L61" s="25" t="n">
        <v>0.2</v>
      </c>
      <c r="M61" s="25" t="n">
        <v>0.2</v>
      </c>
      <c r="N61" s="26" t="n">
        <v>0.2</v>
      </c>
      <c r="O61" s="27" t="n">
        <f aca="false">INDEX($E61:$N61,1,MATCH(sel_scen,$E$4:$N$4,0))</f>
        <v>0.2</v>
      </c>
      <c r="P61" s="6" t="s">
        <v>114</v>
      </c>
    </row>
    <row r="62" customFormat="false" ht="15" hidden="false" customHeight="true" outlineLevel="0" collapsed="false">
      <c r="A62" s="10" t="s">
        <v>260</v>
      </c>
      <c r="B62" s="10" t="s">
        <v>246</v>
      </c>
      <c r="C62" s="10" t="s">
        <v>261</v>
      </c>
      <c r="D62" s="10" t="s">
        <v>84</v>
      </c>
      <c r="E62" s="25" t="n">
        <v>0</v>
      </c>
      <c r="F62" s="25" t="n">
        <v>0.05</v>
      </c>
      <c r="G62" s="25" t="n">
        <v>0.05</v>
      </c>
      <c r="H62" s="25" t="n">
        <v>0.2</v>
      </c>
      <c r="I62" s="25" t="n">
        <v>0.1</v>
      </c>
      <c r="J62" s="25" t="n">
        <v>0.5</v>
      </c>
      <c r="K62" s="25" t="n">
        <v>0.1</v>
      </c>
      <c r="L62" s="25" t="n">
        <v>0.5</v>
      </c>
      <c r="M62" s="25" t="n">
        <v>0.1</v>
      </c>
      <c r="N62" s="26" t="n">
        <v>0.5</v>
      </c>
      <c r="O62" s="27" t="n">
        <f aca="false">INDEX($E62:$N62,1,MATCH(sel_scen,$E$4:$N$4,0))</f>
        <v>0.5</v>
      </c>
      <c r="P62" s="6" t="s">
        <v>262</v>
      </c>
    </row>
    <row r="63" customFormat="false" ht="15" hidden="false" customHeight="true" outlineLevel="0" collapsed="false">
      <c r="A63" s="10" t="s">
        <v>263</v>
      </c>
      <c r="B63" s="10" t="s">
        <v>246</v>
      </c>
      <c r="C63" s="10" t="s">
        <v>264</v>
      </c>
      <c r="D63" s="10" t="s">
        <v>84</v>
      </c>
      <c r="E63" s="25" t="n">
        <v>0.5</v>
      </c>
      <c r="F63" s="25" t="n">
        <v>0.5</v>
      </c>
      <c r="G63" s="25" t="n">
        <v>0.5</v>
      </c>
      <c r="H63" s="25" t="n">
        <v>0.5</v>
      </c>
      <c r="I63" s="25" t="n">
        <v>0.5</v>
      </c>
      <c r="J63" s="25" t="n">
        <v>0.5</v>
      </c>
      <c r="K63" s="25" t="n">
        <v>0.5</v>
      </c>
      <c r="L63" s="25" t="n">
        <v>0.5</v>
      </c>
      <c r="M63" s="25" t="n">
        <v>0.5</v>
      </c>
      <c r="N63" s="26" t="n">
        <v>0.5</v>
      </c>
      <c r="O63" s="27" t="n">
        <f aca="false">INDEX($E63:$N63,1,MATCH(sel_scen,$E$4:$N$4,0))</f>
        <v>0.5</v>
      </c>
      <c r="P63" s="6" t="s">
        <v>265</v>
      </c>
    </row>
    <row r="64" customFormat="false" ht="15" hidden="false" customHeight="true" outlineLevel="0" collapsed="false">
      <c r="A64" s="10" t="s">
        <v>266</v>
      </c>
      <c r="B64" s="10" t="s">
        <v>246</v>
      </c>
      <c r="C64" s="10" t="s">
        <v>267</v>
      </c>
      <c r="D64" s="10" t="s">
        <v>84</v>
      </c>
      <c r="E64" s="25" t="n">
        <v>0</v>
      </c>
      <c r="F64" s="25" t="n">
        <v>0.02</v>
      </c>
      <c r="G64" s="25" t="n">
        <v>0.02</v>
      </c>
      <c r="H64" s="25" t="n">
        <v>0.1</v>
      </c>
      <c r="I64" s="25" t="n">
        <v>0.05</v>
      </c>
      <c r="J64" s="25" t="n">
        <v>0.18</v>
      </c>
      <c r="K64" s="25" t="n">
        <v>0.03</v>
      </c>
      <c r="L64" s="25" t="n">
        <v>0.2</v>
      </c>
      <c r="M64" s="25" t="n">
        <v>0.05</v>
      </c>
      <c r="N64" s="26" t="n">
        <v>0.2</v>
      </c>
      <c r="O64" s="27" t="n">
        <f aca="false">INDEX($E64:$N64,1,MATCH(sel_scen,$E$4:$N$4,0))</f>
        <v>0.2</v>
      </c>
      <c r="P64" s="6" t="s">
        <v>268</v>
      </c>
    </row>
    <row r="65" customFormat="false" ht="15" hidden="false" customHeight="true" outlineLevel="0" collapsed="false">
      <c r="A65" s="10" t="s">
        <v>269</v>
      </c>
      <c r="B65" s="10" t="s">
        <v>246</v>
      </c>
      <c r="C65" s="10" t="s">
        <v>270</v>
      </c>
      <c r="D65" s="10" t="s">
        <v>84</v>
      </c>
      <c r="E65" s="25" t="n">
        <v>0</v>
      </c>
      <c r="F65" s="25" t="n">
        <v>0.1</v>
      </c>
      <c r="G65" s="25" t="n">
        <v>0.1</v>
      </c>
      <c r="H65" s="25" t="n">
        <v>0.3</v>
      </c>
      <c r="I65" s="25" t="n">
        <v>0.2</v>
      </c>
      <c r="J65" s="25" t="n">
        <v>0.75</v>
      </c>
      <c r="K65" s="25" t="n">
        <v>0.2</v>
      </c>
      <c r="L65" s="25" t="n">
        <v>0.75</v>
      </c>
      <c r="M65" s="25" t="n">
        <v>0.2</v>
      </c>
      <c r="N65" s="26" t="n">
        <v>0.75</v>
      </c>
      <c r="O65" s="27" t="n">
        <f aca="false">INDEX($E65:$N65,1,MATCH(sel_scen,$E$4:$N$4,0))</f>
        <v>0.75</v>
      </c>
      <c r="P65" s="6" t="s">
        <v>271</v>
      </c>
    </row>
    <row r="66" customFormat="false" ht="15" hidden="false" customHeight="true" outlineLevel="0" collapsed="false">
      <c r="A66" s="10" t="s">
        <v>272</v>
      </c>
      <c r="B66" s="10" t="s">
        <v>246</v>
      </c>
      <c r="C66" s="10" t="s">
        <v>273</v>
      </c>
      <c r="D66" s="10" t="s">
        <v>84</v>
      </c>
      <c r="E66" s="25" t="n">
        <v>0</v>
      </c>
      <c r="F66" s="25" t="n">
        <v>0.3</v>
      </c>
      <c r="G66" s="25" t="n">
        <v>0.3</v>
      </c>
      <c r="H66" s="25" t="n">
        <v>0.5</v>
      </c>
      <c r="I66" s="25" t="n">
        <v>0.5</v>
      </c>
      <c r="J66" s="25" t="n">
        <v>0.6</v>
      </c>
      <c r="K66" s="25" t="n">
        <v>0.3</v>
      </c>
      <c r="L66" s="25" t="n">
        <v>0.6</v>
      </c>
      <c r="M66" s="25" t="n">
        <v>0.5</v>
      </c>
      <c r="N66" s="26" t="n">
        <v>0.6</v>
      </c>
      <c r="O66" s="27" t="n">
        <f aca="false">INDEX($E66:$N66,1,MATCH(sel_scen,$E$4:$N$4,0))</f>
        <v>0.6</v>
      </c>
      <c r="P66" s="6" t="s">
        <v>114</v>
      </c>
    </row>
    <row r="67" customFormat="false" ht="15" hidden="false" customHeight="true" outlineLevel="0" collapsed="false">
      <c r="A67" s="10" t="s">
        <v>274</v>
      </c>
      <c r="B67" s="10" t="s">
        <v>246</v>
      </c>
      <c r="C67" s="10" t="s">
        <v>275</v>
      </c>
      <c r="D67" s="10" t="s">
        <v>84</v>
      </c>
      <c r="E67" s="25" t="n">
        <v>1</v>
      </c>
      <c r="F67" s="25" t="n">
        <v>1</v>
      </c>
      <c r="G67" s="25" t="n">
        <v>1</v>
      </c>
      <c r="H67" s="25" t="n">
        <v>1</v>
      </c>
      <c r="I67" s="25" t="n">
        <v>1</v>
      </c>
      <c r="J67" s="25" t="n">
        <v>0</v>
      </c>
      <c r="K67" s="25" t="n">
        <v>0</v>
      </c>
      <c r="L67" s="25" t="n">
        <v>0.5</v>
      </c>
      <c r="M67" s="25" t="n">
        <v>1</v>
      </c>
      <c r="N67" s="26" t="n">
        <v>0</v>
      </c>
      <c r="O67" s="27" t="n">
        <f aca="false">INDEX($E67:$N67,1,MATCH(sel_scen,$E$4:$N$4,0))</f>
        <v>0.5</v>
      </c>
      <c r="P67" s="6" t="s">
        <v>276</v>
      </c>
    </row>
    <row r="68" customFormat="false" ht="15" hidden="false" customHeight="true" outlineLevel="0" collapsed="false">
      <c r="A68" s="10" t="s">
        <v>277</v>
      </c>
      <c r="B68" s="10" t="s">
        <v>246</v>
      </c>
      <c r="C68" s="10" t="s">
        <v>278</v>
      </c>
      <c r="D68" s="10" t="s">
        <v>84</v>
      </c>
      <c r="E68" s="25" t="n">
        <v>0.5</v>
      </c>
      <c r="F68" s="25" t="n">
        <v>0.5</v>
      </c>
      <c r="G68" s="25" t="n">
        <v>0.5</v>
      </c>
      <c r="H68" s="25" t="n">
        <v>0.5</v>
      </c>
      <c r="I68" s="25" t="n">
        <v>0.5</v>
      </c>
      <c r="J68" s="25" t="n">
        <v>0.3</v>
      </c>
      <c r="K68" s="25" t="n">
        <v>0.5</v>
      </c>
      <c r="L68" s="25" t="n">
        <v>0.3</v>
      </c>
      <c r="M68" s="25" t="n">
        <v>0.5</v>
      </c>
      <c r="N68" s="26" t="n">
        <v>0.3</v>
      </c>
      <c r="O68" s="27" t="n">
        <f aca="false">INDEX($E68:$N68,1,MATCH(sel_scen,$E$4:$N$4,0))</f>
        <v>0.3</v>
      </c>
      <c r="P68" s="6" t="s">
        <v>279</v>
      </c>
    </row>
    <row r="69" customFormat="false" ht="15" hidden="false" customHeight="true" outlineLevel="0" collapsed="false">
      <c r="A69" s="10" t="s">
        <v>280</v>
      </c>
      <c r="B69" s="10" t="s">
        <v>281</v>
      </c>
      <c r="C69" s="10" t="s">
        <v>282</v>
      </c>
      <c r="D69" s="10" t="s">
        <v>88</v>
      </c>
      <c r="E69" s="25" t="n">
        <v>1</v>
      </c>
      <c r="F69" s="25" t="n">
        <v>1.5</v>
      </c>
      <c r="G69" s="25" t="n">
        <v>1.5</v>
      </c>
      <c r="H69" s="25" t="n">
        <v>3</v>
      </c>
      <c r="I69" s="25" t="n">
        <v>2</v>
      </c>
      <c r="J69" s="25" t="n">
        <v>4</v>
      </c>
      <c r="K69" s="25" t="n">
        <v>2</v>
      </c>
      <c r="L69" s="25" t="n">
        <v>5</v>
      </c>
      <c r="M69" s="25" t="n">
        <v>2</v>
      </c>
      <c r="N69" s="26" t="n">
        <v>5</v>
      </c>
      <c r="O69" s="27" t="n">
        <f aca="false">INDEX($E69:$N69,1,MATCH(sel_scen,$E$4:$N$4,0))</f>
        <v>5</v>
      </c>
      <c r="P69" s="6" t="s">
        <v>283</v>
      </c>
    </row>
    <row r="70" customFormat="false" ht="15" hidden="false" customHeight="true" outlineLevel="0" collapsed="false">
      <c r="A70" s="10" t="s">
        <v>284</v>
      </c>
      <c r="B70" s="10" t="s">
        <v>281</v>
      </c>
      <c r="C70" s="10" t="s">
        <v>285</v>
      </c>
      <c r="D70" s="10" t="s">
        <v>84</v>
      </c>
      <c r="E70" s="25" t="n">
        <v>0.05</v>
      </c>
      <c r="F70" s="25" t="n">
        <v>0.05</v>
      </c>
      <c r="G70" s="25" t="n">
        <v>0.05</v>
      </c>
      <c r="H70" s="25" t="n">
        <v>0.1</v>
      </c>
      <c r="I70" s="25" t="n">
        <v>0.1</v>
      </c>
      <c r="J70" s="25" t="n">
        <v>0.2</v>
      </c>
      <c r="K70" s="25" t="n">
        <v>0.1</v>
      </c>
      <c r="L70" s="25" t="n">
        <v>0.4</v>
      </c>
      <c r="M70" s="25" t="n">
        <v>0.1</v>
      </c>
      <c r="N70" s="26" t="n">
        <v>0.4</v>
      </c>
      <c r="O70" s="27" t="n">
        <f aca="false">INDEX($E70:$N70,1,MATCH(sel_scen,$E$4:$N$4,0))</f>
        <v>0.4</v>
      </c>
      <c r="P70" s="6" t="s">
        <v>286</v>
      </c>
    </row>
    <row r="71" customFormat="false" ht="15" hidden="false" customHeight="true" outlineLevel="0" collapsed="false">
      <c r="A71" s="10" t="s">
        <v>287</v>
      </c>
      <c r="B71" s="10" t="s">
        <v>288</v>
      </c>
      <c r="C71" s="10" t="s">
        <v>289</v>
      </c>
      <c r="D71" s="10" t="s">
        <v>290</v>
      </c>
      <c r="E71" s="28" t="n">
        <v>1</v>
      </c>
      <c r="F71" s="28" t="n">
        <v>1</v>
      </c>
      <c r="G71" s="28" t="n">
        <v>1</v>
      </c>
      <c r="H71" s="28" t="n">
        <v>1</v>
      </c>
      <c r="I71" s="28" t="n">
        <v>1</v>
      </c>
      <c r="J71" s="28" t="n">
        <v>1</v>
      </c>
      <c r="K71" s="28" t="n">
        <v>1</v>
      </c>
      <c r="L71" s="28" t="n">
        <v>1</v>
      </c>
      <c r="M71" s="28" t="n">
        <v>1</v>
      </c>
      <c r="N71" s="29" t="n">
        <v>1</v>
      </c>
      <c r="O71" s="30" t="n">
        <f aca="false">INDEX($E71:$N71,1,MATCH(sel_scen,$E$4:$N$4,0))</f>
        <v>1</v>
      </c>
      <c r="P71" s="6"/>
    </row>
    <row r="72" customFormat="false" ht="15" hidden="false" customHeight="true" outlineLevel="0" collapsed="false">
      <c r="A72" s="10" t="s">
        <v>291</v>
      </c>
      <c r="B72" s="10" t="s">
        <v>288</v>
      </c>
      <c r="C72" s="10" t="s">
        <v>292</v>
      </c>
      <c r="D72" s="10" t="s">
        <v>290</v>
      </c>
      <c r="E72" s="28" t="n">
        <v>1</v>
      </c>
      <c r="F72" s="28" t="n">
        <v>1</v>
      </c>
      <c r="G72" s="28" t="n">
        <v>1</v>
      </c>
      <c r="H72" s="28" t="n">
        <v>1</v>
      </c>
      <c r="I72" s="28" t="n">
        <v>1</v>
      </c>
      <c r="J72" s="28" t="n">
        <v>1</v>
      </c>
      <c r="K72" s="28" t="n">
        <v>1</v>
      </c>
      <c r="L72" s="28" t="n">
        <v>1</v>
      </c>
      <c r="M72" s="28" t="n">
        <v>1</v>
      </c>
      <c r="N72" s="29" t="n">
        <v>1</v>
      </c>
      <c r="O72" s="30" t="n">
        <f aca="false">INDEX($E72:$N72,1,MATCH(sel_scen,$E$4:$N$4,0))</f>
        <v>1</v>
      </c>
      <c r="P72" s="6"/>
    </row>
    <row r="73" customFormat="false" ht="15" hidden="false" customHeight="true" outlineLevel="0" collapsed="false">
      <c r="A73" s="10" t="s">
        <v>293</v>
      </c>
      <c r="B73" s="10" t="s">
        <v>288</v>
      </c>
      <c r="C73" s="10" t="s">
        <v>294</v>
      </c>
      <c r="D73" s="10" t="s">
        <v>290</v>
      </c>
      <c r="E73" s="28" t="n">
        <v>1</v>
      </c>
      <c r="F73" s="28" t="n">
        <v>1</v>
      </c>
      <c r="G73" s="28" t="n">
        <v>1</v>
      </c>
      <c r="H73" s="28" t="n">
        <v>1</v>
      </c>
      <c r="I73" s="28" t="n">
        <v>1</v>
      </c>
      <c r="J73" s="28" t="n">
        <v>1</v>
      </c>
      <c r="K73" s="28" t="n">
        <v>1</v>
      </c>
      <c r="L73" s="28" t="n">
        <v>1</v>
      </c>
      <c r="M73" s="28" t="n">
        <v>1</v>
      </c>
      <c r="N73" s="29" t="n">
        <v>1</v>
      </c>
      <c r="O73" s="30" t="n">
        <f aca="false">INDEX($E73:$N73,1,MATCH(sel_scen,$E$4:$N$4,0))</f>
        <v>1</v>
      </c>
      <c r="P73" s="6"/>
    </row>
    <row r="74" customFormat="false" ht="15" hidden="false" customHeight="true" outlineLevel="0" collapsed="false">
      <c r="A74" s="10" t="s">
        <v>295</v>
      </c>
      <c r="B74" s="10" t="s">
        <v>288</v>
      </c>
      <c r="C74" s="10" t="s">
        <v>296</v>
      </c>
      <c r="D74" s="10" t="s">
        <v>290</v>
      </c>
      <c r="E74" s="28" t="n">
        <v>1</v>
      </c>
      <c r="F74" s="28" t="n">
        <v>1</v>
      </c>
      <c r="G74" s="28" t="n">
        <v>1</v>
      </c>
      <c r="H74" s="28" t="n">
        <v>1</v>
      </c>
      <c r="I74" s="28" t="n">
        <v>1</v>
      </c>
      <c r="J74" s="28" t="n">
        <v>1</v>
      </c>
      <c r="K74" s="28" t="n">
        <v>1</v>
      </c>
      <c r="L74" s="28" t="n">
        <v>1</v>
      </c>
      <c r="M74" s="28" t="n">
        <v>1</v>
      </c>
      <c r="N74" s="29" t="n">
        <v>1</v>
      </c>
      <c r="O74" s="30" t="n">
        <f aca="false">INDEX($E74:$N74,1,MATCH(sel_scen,$E$4:$N$4,0))</f>
        <v>1</v>
      </c>
      <c r="P74" s="6"/>
    </row>
    <row r="75" customFormat="false" ht="15" hidden="false" customHeight="true" outlineLevel="0" collapsed="false">
      <c r="A75" s="10" t="s">
        <v>297</v>
      </c>
      <c r="B75" s="10" t="s">
        <v>288</v>
      </c>
      <c r="C75" s="10" t="s">
        <v>298</v>
      </c>
      <c r="D75" s="10" t="s">
        <v>290</v>
      </c>
      <c r="E75" s="28" t="n">
        <v>1</v>
      </c>
      <c r="F75" s="28" t="n">
        <v>1</v>
      </c>
      <c r="G75" s="28" t="n">
        <v>1</v>
      </c>
      <c r="H75" s="28" t="n">
        <v>1</v>
      </c>
      <c r="I75" s="28" t="n">
        <v>1</v>
      </c>
      <c r="J75" s="28" t="n">
        <v>1</v>
      </c>
      <c r="K75" s="28" t="n">
        <v>1</v>
      </c>
      <c r="L75" s="28" t="n">
        <v>1</v>
      </c>
      <c r="M75" s="28" t="n">
        <v>1</v>
      </c>
      <c r="N75" s="29" t="n">
        <v>1</v>
      </c>
      <c r="O75" s="30" t="n">
        <f aca="false">INDEX($E75:$N75,1,MATCH(sel_scen,$E$4:$N$4,0))</f>
        <v>1</v>
      </c>
      <c r="P75" s="6"/>
    </row>
    <row r="76" customFormat="false" ht="15" hidden="false" customHeight="true" outlineLevel="0" collapsed="false">
      <c r="A76" s="10" t="s">
        <v>299</v>
      </c>
      <c r="B76" s="10" t="s">
        <v>288</v>
      </c>
      <c r="C76" s="10" t="s">
        <v>300</v>
      </c>
      <c r="D76" s="10" t="s">
        <v>290</v>
      </c>
      <c r="E76" s="28" t="n">
        <v>1</v>
      </c>
      <c r="F76" s="28" t="n">
        <v>1</v>
      </c>
      <c r="G76" s="28" t="n">
        <v>1</v>
      </c>
      <c r="H76" s="28" t="n">
        <v>1</v>
      </c>
      <c r="I76" s="28" t="n">
        <v>1</v>
      </c>
      <c r="J76" s="28" t="n">
        <v>1</v>
      </c>
      <c r="K76" s="28" t="n">
        <v>1</v>
      </c>
      <c r="L76" s="28" t="n">
        <v>1</v>
      </c>
      <c r="M76" s="28" t="n">
        <v>1</v>
      </c>
      <c r="N76" s="29" t="n">
        <v>1</v>
      </c>
      <c r="O76" s="30" t="n">
        <f aca="false">INDEX($E76:$N76,1,MATCH(sel_scen,$E$4:$N$4,0))</f>
        <v>1</v>
      </c>
      <c r="P76" s="6"/>
    </row>
    <row r="77" customFormat="false" ht="15" hidden="false" customHeight="true" outlineLevel="0" collapsed="false">
      <c r="A77" s="10" t="s">
        <v>301</v>
      </c>
      <c r="B77" s="10" t="s">
        <v>288</v>
      </c>
      <c r="C77" s="10" t="s">
        <v>302</v>
      </c>
      <c r="D77" s="10" t="s">
        <v>290</v>
      </c>
      <c r="E77" s="28" t="n">
        <v>1</v>
      </c>
      <c r="F77" s="28" t="n">
        <v>1</v>
      </c>
      <c r="G77" s="28" t="n">
        <v>1</v>
      </c>
      <c r="H77" s="28" t="n">
        <v>1</v>
      </c>
      <c r="I77" s="28" t="n">
        <v>1</v>
      </c>
      <c r="J77" s="28" t="n">
        <v>1</v>
      </c>
      <c r="K77" s="28" t="n">
        <v>1</v>
      </c>
      <c r="L77" s="28" t="n">
        <v>1</v>
      </c>
      <c r="M77" s="28" t="n">
        <v>1</v>
      </c>
      <c r="N77" s="29" t="n">
        <v>1</v>
      </c>
      <c r="O77" s="30" t="n">
        <f aca="false">INDEX($E77:$N77,1,MATCH(sel_scen,$E$4:$N$4,0))</f>
        <v>1</v>
      </c>
      <c r="P77" s="6"/>
    </row>
    <row r="78" customFormat="false" ht="15" hidden="false" customHeight="true" outlineLevel="0" collapsed="false">
      <c r="A78" s="10" t="s">
        <v>303</v>
      </c>
      <c r="B78" s="10" t="s">
        <v>288</v>
      </c>
      <c r="C78" s="10" t="s">
        <v>304</v>
      </c>
      <c r="D78" s="10" t="s">
        <v>290</v>
      </c>
      <c r="E78" s="28" t="n">
        <v>1</v>
      </c>
      <c r="F78" s="28" t="n">
        <v>1</v>
      </c>
      <c r="G78" s="28" t="n">
        <v>1</v>
      </c>
      <c r="H78" s="28" t="n">
        <v>1</v>
      </c>
      <c r="I78" s="28" t="n">
        <v>1</v>
      </c>
      <c r="J78" s="28" t="n">
        <v>1</v>
      </c>
      <c r="K78" s="28" t="n">
        <v>1</v>
      </c>
      <c r="L78" s="28" t="n">
        <v>1</v>
      </c>
      <c r="M78" s="28" t="n">
        <v>1</v>
      </c>
      <c r="N78" s="29" t="n">
        <v>1</v>
      </c>
      <c r="O78" s="30" t="n">
        <f aca="false">INDEX($E78:$N78,1,MATCH(sel_scen,$E$4:$N$4,0))</f>
        <v>1</v>
      </c>
      <c r="P78" s="6"/>
    </row>
    <row r="79" customFormat="false" ht="15" hidden="false" customHeight="true" outlineLevel="0" collapsed="false">
      <c r="A79" s="10" t="s">
        <v>305</v>
      </c>
      <c r="B79" s="10" t="s">
        <v>288</v>
      </c>
      <c r="C79" s="10" t="s">
        <v>306</v>
      </c>
      <c r="D79" s="10" t="s">
        <v>290</v>
      </c>
      <c r="E79" s="28" t="n">
        <v>1</v>
      </c>
      <c r="F79" s="28" t="n">
        <v>1</v>
      </c>
      <c r="G79" s="28" t="n">
        <v>1</v>
      </c>
      <c r="H79" s="28" t="n">
        <v>1</v>
      </c>
      <c r="I79" s="28" t="n">
        <v>1</v>
      </c>
      <c r="J79" s="28" t="n">
        <v>1</v>
      </c>
      <c r="K79" s="28" t="n">
        <v>1</v>
      </c>
      <c r="L79" s="28" t="n">
        <v>1</v>
      </c>
      <c r="M79" s="28" t="n">
        <v>1</v>
      </c>
      <c r="N79" s="29" t="n">
        <v>1</v>
      </c>
      <c r="O79" s="30" t="n">
        <f aca="false">INDEX($E79:$N79,1,MATCH(sel_scen,$E$4:$N$4,0))</f>
        <v>1</v>
      </c>
      <c r="P79" s="6"/>
    </row>
    <row r="80" customFormat="false" ht="15" hidden="false" customHeight="true" outlineLevel="0" collapsed="false">
      <c r="A80" s="10" t="s">
        <v>307</v>
      </c>
      <c r="B80" s="10" t="s">
        <v>288</v>
      </c>
      <c r="C80" s="10" t="s">
        <v>308</v>
      </c>
      <c r="D80" s="10" t="s">
        <v>290</v>
      </c>
      <c r="E80" s="28" t="n">
        <v>1</v>
      </c>
      <c r="F80" s="28" t="n">
        <v>1</v>
      </c>
      <c r="G80" s="28" t="n">
        <v>1</v>
      </c>
      <c r="H80" s="28" t="n">
        <v>1</v>
      </c>
      <c r="I80" s="28" t="n">
        <v>1</v>
      </c>
      <c r="J80" s="28" t="n">
        <v>1</v>
      </c>
      <c r="K80" s="28" t="n">
        <v>1</v>
      </c>
      <c r="L80" s="28" t="n">
        <v>1</v>
      </c>
      <c r="M80" s="28" t="n">
        <v>1</v>
      </c>
      <c r="N80" s="29" t="n">
        <v>1</v>
      </c>
      <c r="O80" s="30" t="n">
        <f aca="false">INDEX($E80:$N80,1,MATCH(sel_scen,$E$4:$N$4,0))</f>
        <v>1</v>
      </c>
      <c r="P80" s="6"/>
    </row>
    <row r="81" customFormat="false" ht="15" hidden="false" customHeight="true" outlineLevel="0" collapsed="false">
      <c r="A81" s="10" t="s">
        <v>309</v>
      </c>
      <c r="B81" s="10" t="s">
        <v>288</v>
      </c>
      <c r="C81" s="10" t="s">
        <v>310</v>
      </c>
      <c r="D81" s="10" t="s">
        <v>290</v>
      </c>
      <c r="E81" s="28" t="n">
        <v>1</v>
      </c>
      <c r="F81" s="28" t="n">
        <v>1</v>
      </c>
      <c r="G81" s="28" t="n">
        <v>1</v>
      </c>
      <c r="H81" s="28" t="n">
        <v>1</v>
      </c>
      <c r="I81" s="28" t="n">
        <v>1</v>
      </c>
      <c r="J81" s="28" t="n">
        <v>1</v>
      </c>
      <c r="K81" s="28" t="n">
        <v>1</v>
      </c>
      <c r="L81" s="28" t="n">
        <v>1</v>
      </c>
      <c r="M81" s="28" t="n">
        <v>1</v>
      </c>
      <c r="N81" s="29" t="n">
        <v>1</v>
      </c>
      <c r="O81" s="30" t="n">
        <f aca="false">INDEX($E81:$N81,1,MATCH(sel_scen,$E$4:$N$4,0))</f>
        <v>1</v>
      </c>
      <c r="P81" s="6"/>
    </row>
    <row r="82" customFormat="false" ht="15" hidden="false" customHeight="true" outlineLevel="0" collapsed="false">
      <c r="A82" s="10" t="s">
        <v>311</v>
      </c>
      <c r="B82" s="10" t="s">
        <v>288</v>
      </c>
      <c r="C82" s="10" t="s">
        <v>312</v>
      </c>
      <c r="D82" s="10" t="s">
        <v>290</v>
      </c>
      <c r="E82" s="28" t="n">
        <v>1</v>
      </c>
      <c r="F82" s="28" t="n">
        <v>1</v>
      </c>
      <c r="G82" s="28" t="n">
        <v>1</v>
      </c>
      <c r="H82" s="28" t="n">
        <v>1</v>
      </c>
      <c r="I82" s="28" t="n">
        <v>1</v>
      </c>
      <c r="J82" s="28" t="n">
        <v>1</v>
      </c>
      <c r="K82" s="28" t="n">
        <v>1</v>
      </c>
      <c r="L82" s="28" t="n">
        <v>1</v>
      </c>
      <c r="M82" s="28" t="n">
        <v>1</v>
      </c>
      <c r="N82" s="29" t="n">
        <v>1</v>
      </c>
      <c r="O82" s="30" t="n">
        <f aca="false">INDEX($E82:$N82,1,MATCH(sel_scen,$E$4:$N$4,0))</f>
        <v>1</v>
      </c>
      <c r="P82" s="6"/>
    </row>
    <row r="83" customFormat="false" ht="15" hidden="false" customHeight="true" outlineLevel="0" collapsed="false">
      <c r="A83" s="10" t="s">
        <v>313</v>
      </c>
      <c r="B83" s="10" t="s">
        <v>288</v>
      </c>
      <c r="C83" s="10" t="s">
        <v>314</v>
      </c>
      <c r="D83" s="10" t="s">
        <v>290</v>
      </c>
      <c r="E83" s="28" t="n">
        <v>1</v>
      </c>
      <c r="F83" s="28" t="n">
        <v>1</v>
      </c>
      <c r="G83" s="28" t="n">
        <v>1</v>
      </c>
      <c r="H83" s="28" t="n">
        <v>1</v>
      </c>
      <c r="I83" s="28" t="n">
        <v>1</v>
      </c>
      <c r="J83" s="28" t="n">
        <v>1</v>
      </c>
      <c r="K83" s="28" t="n">
        <v>1</v>
      </c>
      <c r="L83" s="28" t="n">
        <v>1</v>
      </c>
      <c r="M83" s="28" t="n">
        <v>1</v>
      </c>
      <c r="N83" s="29" t="n">
        <v>1</v>
      </c>
      <c r="O83" s="30" t="n">
        <f aca="false">INDEX($E83:$N83,1,MATCH(sel_scen,$E$4:$N$4,0))</f>
        <v>1</v>
      </c>
      <c r="P83" s="6"/>
    </row>
    <row r="84" customFormat="false" ht="15" hidden="false" customHeight="true" outlineLevel="0" collapsed="false">
      <c r="A84" s="10" t="s">
        <v>315</v>
      </c>
      <c r="B84" s="10" t="s">
        <v>288</v>
      </c>
      <c r="C84" s="10" t="s">
        <v>316</v>
      </c>
      <c r="D84" s="10" t="s">
        <v>290</v>
      </c>
      <c r="E84" s="28" t="n">
        <v>1</v>
      </c>
      <c r="F84" s="28" t="n">
        <v>1</v>
      </c>
      <c r="G84" s="28" t="n">
        <v>1</v>
      </c>
      <c r="H84" s="28" t="n">
        <v>1</v>
      </c>
      <c r="I84" s="28" t="n">
        <v>1</v>
      </c>
      <c r="J84" s="28" t="n">
        <v>1</v>
      </c>
      <c r="K84" s="28" t="n">
        <v>1</v>
      </c>
      <c r="L84" s="28" t="n">
        <v>1</v>
      </c>
      <c r="M84" s="28" t="n">
        <v>1</v>
      </c>
      <c r="N84" s="29" t="n">
        <v>1</v>
      </c>
      <c r="O84" s="30" t="n">
        <f aca="false">INDEX($E84:$N84,1,MATCH(sel_scen,$E$4:$N$4,0))</f>
        <v>1</v>
      </c>
      <c r="P84" s="6"/>
    </row>
    <row r="85" customFormat="false" ht="15" hidden="false" customHeight="true" outlineLevel="0" collapsed="false">
      <c r="A85" s="10" t="s">
        <v>317</v>
      </c>
      <c r="B85" s="10" t="s">
        <v>318</v>
      </c>
      <c r="C85" s="10" t="s">
        <v>319</v>
      </c>
      <c r="D85" s="10" t="s">
        <v>290</v>
      </c>
      <c r="E85" s="28" t="n">
        <v>1</v>
      </c>
      <c r="F85" s="28" t="n">
        <v>1</v>
      </c>
      <c r="G85" s="28" t="n">
        <v>1</v>
      </c>
      <c r="H85" s="28" t="n">
        <v>1</v>
      </c>
      <c r="I85" s="28" t="n">
        <v>1</v>
      </c>
      <c r="J85" s="28" t="n">
        <v>1</v>
      </c>
      <c r="K85" s="28" t="n">
        <v>1</v>
      </c>
      <c r="L85" s="28" t="n">
        <v>1</v>
      </c>
      <c r="M85" s="28" t="n">
        <v>1</v>
      </c>
      <c r="N85" s="29" t="n">
        <v>1</v>
      </c>
      <c r="O85" s="30" t="n">
        <f aca="false">INDEX($E85:$N85,1,MATCH(sel_scen,$E$4:$N$4,0))</f>
        <v>1</v>
      </c>
      <c r="P85" s="6" t="s">
        <v>320</v>
      </c>
    </row>
    <row r="86" customFormat="false" ht="15" hidden="false" customHeight="true" outlineLevel="0" collapsed="false">
      <c r="A86" s="10" t="s">
        <v>321</v>
      </c>
      <c r="B86" s="10" t="s">
        <v>318</v>
      </c>
      <c r="C86" s="10" t="s">
        <v>322</v>
      </c>
      <c r="D86" s="10" t="s">
        <v>84</v>
      </c>
      <c r="E86" s="25" t="n">
        <v>0.1</v>
      </c>
      <c r="F86" s="25" t="n">
        <v>0.15</v>
      </c>
      <c r="G86" s="25" t="n">
        <v>0.15</v>
      </c>
      <c r="H86" s="25" t="n">
        <v>0.2</v>
      </c>
      <c r="I86" s="25" t="n">
        <v>0.15</v>
      </c>
      <c r="J86" s="25" t="n">
        <v>0.3</v>
      </c>
      <c r="K86" s="25" t="n">
        <v>0.15</v>
      </c>
      <c r="L86" s="25" t="n">
        <v>0.3</v>
      </c>
      <c r="M86" s="25" t="n">
        <v>0.25</v>
      </c>
      <c r="N86" s="26" t="n">
        <v>0.3</v>
      </c>
      <c r="O86" s="27" t="n">
        <f aca="false">INDEX($E86:$N86,1,MATCH(sel_scen,$E$4:$N$4,0))</f>
        <v>0.3</v>
      </c>
      <c r="P86" s="6" t="s">
        <v>323</v>
      </c>
    </row>
    <row r="87" customFormat="false" ht="15" hidden="false" customHeight="true" outlineLevel="0" collapsed="false">
      <c r="A87" s="10" t="s">
        <v>324</v>
      </c>
      <c r="B87" s="10" t="s">
        <v>318</v>
      </c>
      <c r="C87" s="10" t="s">
        <v>325</v>
      </c>
      <c r="D87" s="10" t="s">
        <v>88</v>
      </c>
      <c r="E87" s="25" t="n">
        <v>0.05</v>
      </c>
      <c r="F87" s="25" t="n">
        <v>0.05</v>
      </c>
      <c r="G87" s="25" t="n">
        <v>0.05</v>
      </c>
      <c r="H87" s="25" t="n">
        <v>0.05</v>
      </c>
      <c r="I87" s="25" t="n">
        <v>0.05</v>
      </c>
      <c r="J87" s="25" t="n">
        <v>0.1</v>
      </c>
      <c r="K87" s="25" t="n">
        <v>0.05</v>
      </c>
      <c r="L87" s="25" t="n">
        <v>0.1</v>
      </c>
      <c r="M87" s="25" t="n">
        <v>0.25</v>
      </c>
      <c r="N87" s="26" t="n">
        <v>0.25</v>
      </c>
      <c r="O87" s="27" t="n">
        <f aca="false">INDEX($E87:$N87,1,MATCH(sel_scen,$E$4:$N$4,0))</f>
        <v>0.1</v>
      </c>
      <c r="P87" s="6" t="s">
        <v>326</v>
      </c>
    </row>
    <row r="88" customFormat="false" ht="15" hidden="false" customHeight="true" outlineLevel="0" collapsed="false">
      <c r="A88" s="10" t="s">
        <v>327</v>
      </c>
      <c r="B88" s="10" t="s">
        <v>318</v>
      </c>
      <c r="C88" s="10" t="s">
        <v>328</v>
      </c>
      <c r="D88" s="10" t="s">
        <v>32</v>
      </c>
      <c r="E88" s="25" t="n">
        <v>0.75</v>
      </c>
      <c r="F88" s="25" t="n">
        <v>0.75</v>
      </c>
      <c r="G88" s="25" t="n">
        <v>0.75</v>
      </c>
      <c r="H88" s="25" t="n">
        <v>0.75</v>
      </c>
      <c r="I88" s="25" t="n">
        <v>0.75</v>
      </c>
      <c r="J88" s="25" t="n">
        <v>0.75</v>
      </c>
      <c r="K88" s="25" t="n">
        <v>0.75</v>
      </c>
      <c r="L88" s="25" t="n">
        <v>0.75</v>
      </c>
      <c r="M88" s="25" t="n">
        <v>0.75</v>
      </c>
      <c r="N88" s="26" t="n">
        <v>0.75</v>
      </c>
      <c r="O88" s="27" t="n">
        <f aca="false">INDEX($E88:$N88,1,MATCH(sel_scen,$E$4:$N$4,0))</f>
        <v>0.75</v>
      </c>
      <c r="P88" s="6" t="s">
        <v>329</v>
      </c>
    </row>
    <row r="89" customFormat="false" ht="15" hidden="false" customHeight="true" outlineLevel="0" collapsed="false">
      <c r="A89" s="10" t="s">
        <v>330</v>
      </c>
      <c r="B89" s="10" t="s">
        <v>318</v>
      </c>
      <c r="C89" s="10" t="s">
        <v>331</v>
      </c>
      <c r="D89" s="10" t="s">
        <v>98</v>
      </c>
      <c r="E89" s="28" t="n">
        <v>400</v>
      </c>
      <c r="F89" s="28" t="n">
        <v>400</v>
      </c>
      <c r="G89" s="28" t="n">
        <v>400</v>
      </c>
      <c r="H89" s="28" t="n">
        <v>400</v>
      </c>
      <c r="I89" s="28" t="n">
        <v>400</v>
      </c>
      <c r="J89" s="28" t="n">
        <v>400</v>
      </c>
      <c r="K89" s="28" t="n">
        <v>400</v>
      </c>
      <c r="L89" s="28" t="n">
        <v>400</v>
      </c>
      <c r="M89" s="28" t="n">
        <v>400</v>
      </c>
      <c r="N89" s="29" t="n">
        <v>400</v>
      </c>
      <c r="O89" s="30" t="n">
        <f aca="false">INDEX($E89:$N89,1,MATCH(sel_scen,$E$4:$N$4,0))</f>
        <v>400</v>
      </c>
      <c r="P89" s="6" t="s">
        <v>332</v>
      </c>
    </row>
    <row r="90" customFormat="false" ht="15" hidden="false" customHeight="true" outlineLevel="0" collapsed="false">
      <c r="A90" s="10" t="s">
        <v>333</v>
      </c>
      <c r="B90" s="10" t="s">
        <v>318</v>
      </c>
      <c r="C90" s="10" t="s">
        <v>334</v>
      </c>
      <c r="D90" s="10" t="s">
        <v>84</v>
      </c>
      <c r="E90" s="25" t="n">
        <v>0.05</v>
      </c>
      <c r="F90" s="25" t="n">
        <v>0.05</v>
      </c>
      <c r="G90" s="25" t="n">
        <v>0.05</v>
      </c>
      <c r="H90" s="25" t="n">
        <v>0.05</v>
      </c>
      <c r="I90" s="25" t="n">
        <v>0.05</v>
      </c>
      <c r="J90" s="25" t="n">
        <v>0.05</v>
      </c>
      <c r="K90" s="25" t="n">
        <v>0.05</v>
      </c>
      <c r="L90" s="25" t="n">
        <v>0.05</v>
      </c>
      <c r="M90" s="25" t="n">
        <v>0.05</v>
      </c>
      <c r="N90" s="26" t="n">
        <v>0.05</v>
      </c>
      <c r="O90" s="27" t="n">
        <f aca="false">INDEX($E90:$N90,1,MATCH(sel_scen,$E$4:$N$4,0))</f>
        <v>0.05</v>
      </c>
      <c r="P90" s="6" t="s">
        <v>114</v>
      </c>
    </row>
    <row r="91" customFormat="false" ht="15" hidden="false" customHeight="true" outlineLevel="0" collapsed="false">
      <c r="A91" s="10" t="s">
        <v>335</v>
      </c>
      <c r="B91" s="10" t="s">
        <v>318</v>
      </c>
      <c r="C91" s="10" t="s">
        <v>336</v>
      </c>
      <c r="D91" s="10" t="s">
        <v>84</v>
      </c>
      <c r="E91" s="25" t="n">
        <v>0.2</v>
      </c>
      <c r="F91" s="25" t="n">
        <v>0.2</v>
      </c>
      <c r="G91" s="25" t="n">
        <v>0.2</v>
      </c>
      <c r="H91" s="25" t="n">
        <v>0.2</v>
      </c>
      <c r="I91" s="25" t="n">
        <v>0.2</v>
      </c>
      <c r="J91" s="25" t="n">
        <v>0.2</v>
      </c>
      <c r="K91" s="25" t="n">
        <v>0.2</v>
      </c>
      <c r="L91" s="25" t="n">
        <v>0.2</v>
      </c>
      <c r="M91" s="25" t="n">
        <v>0.2</v>
      </c>
      <c r="N91" s="26" t="n">
        <v>0.2</v>
      </c>
      <c r="O91" s="27" t="n">
        <f aca="false">INDEX($E91:$N91,1,MATCH(sel_scen,$E$4:$N$4,0))</f>
        <v>0.2</v>
      </c>
      <c r="P91" s="6" t="s">
        <v>337</v>
      </c>
    </row>
    <row r="92" customFormat="false" ht="15" hidden="false" customHeight="true" outlineLevel="0" collapsed="false">
      <c r="A92" s="10" t="s">
        <v>338</v>
      </c>
      <c r="B92" s="10" t="s">
        <v>318</v>
      </c>
      <c r="C92" s="10" t="s">
        <v>339</v>
      </c>
      <c r="D92" s="10" t="s">
        <v>84</v>
      </c>
      <c r="E92" s="25" t="n">
        <v>0.4</v>
      </c>
      <c r="F92" s="25" t="n">
        <v>0.4</v>
      </c>
      <c r="G92" s="25" t="n">
        <v>0.4</v>
      </c>
      <c r="H92" s="25" t="n">
        <v>0.4</v>
      </c>
      <c r="I92" s="25" t="n">
        <v>0.4</v>
      </c>
      <c r="J92" s="25" t="n">
        <v>0.4</v>
      </c>
      <c r="K92" s="25" t="n">
        <v>0.4</v>
      </c>
      <c r="L92" s="25" t="n">
        <v>0.4</v>
      </c>
      <c r="M92" s="25" t="n">
        <v>0.4</v>
      </c>
      <c r="N92" s="26" t="n">
        <v>0.4</v>
      </c>
      <c r="O92" s="27" t="n">
        <f aca="false">INDEX($E92:$N92,1,MATCH(sel_scen,$E$4:$N$4,0))</f>
        <v>0.4</v>
      </c>
      <c r="P92" s="6" t="s">
        <v>114</v>
      </c>
    </row>
    <row r="93" customFormat="false" ht="15" hidden="false" customHeight="true" outlineLevel="0" collapsed="false">
      <c r="A93" s="10" t="s">
        <v>340</v>
      </c>
      <c r="B93" s="10" t="s">
        <v>318</v>
      </c>
      <c r="C93" s="10" t="s">
        <v>341</v>
      </c>
      <c r="D93" s="10" t="s">
        <v>84</v>
      </c>
      <c r="E93" s="25" t="n">
        <v>0.5</v>
      </c>
      <c r="F93" s="25" t="n">
        <v>0.5</v>
      </c>
      <c r="G93" s="25" t="n">
        <v>0.5</v>
      </c>
      <c r="H93" s="25" t="n">
        <v>0.5</v>
      </c>
      <c r="I93" s="25" t="n">
        <v>0.5</v>
      </c>
      <c r="J93" s="25" t="n">
        <v>0.5</v>
      </c>
      <c r="K93" s="25" t="n">
        <v>0.5</v>
      </c>
      <c r="L93" s="25" t="n">
        <v>0.5</v>
      </c>
      <c r="M93" s="25" t="n">
        <v>0.5</v>
      </c>
      <c r="N93" s="26" t="n">
        <v>0.5</v>
      </c>
      <c r="O93" s="27" t="n">
        <f aca="false">INDEX($E93:$N93,1,MATCH(sel_scen,$E$4:$N$4,0))</f>
        <v>0.5</v>
      </c>
      <c r="P93" s="6" t="s">
        <v>114</v>
      </c>
    </row>
    <row r="94" customFormat="false" ht="15" hidden="false" customHeight="true" outlineLevel="0" collapsed="false">
      <c r="A94" s="10" t="s">
        <v>342</v>
      </c>
      <c r="B94" s="10" t="s">
        <v>318</v>
      </c>
      <c r="C94" s="10" t="s">
        <v>343</v>
      </c>
      <c r="D94" s="10" t="s">
        <v>84</v>
      </c>
      <c r="E94" s="25" t="n">
        <v>0.5</v>
      </c>
      <c r="F94" s="25" t="n">
        <v>0.5</v>
      </c>
      <c r="G94" s="25" t="n">
        <v>0.5</v>
      </c>
      <c r="H94" s="25" t="n">
        <v>0.5</v>
      </c>
      <c r="I94" s="25" t="n">
        <v>0.5</v>
      </c>
      <c r="J94" s="25" t="n">
        <v>0.5</v>
      </c>
      <c r="K94" s="25" t="n">
        <v>0.5</v>
      </c>
      <c r="L94" s="25" t="n">
        <v>0.5</v>
      </c>
      <c r="M94" s="25" t="n">
        <v>0.5</v>
      </c>
      <c r="N94" s="26" t="n">
        <v>0.5</v>
      </c>
      <c r="O94" s="27" t="n">
        <f aca="false">INDEX($E94:$N94,1,MATCH(sel_scen,$E$4:$N$4,0))</f>
        <v>0.5</v>
      </c>
      <c r="P94" s="6" t="s">
        <v>344</v>
      </c>
    </row>
    <row r="95" customFormat="false" ht="15" hidden="false" customHeight="true" outlineLevel="0" collapsed="false">
      <c r="A95" s="10" t="s">
        <v>345</v>
      </c>
      <c r="B95" s="10" t="s">
        <v>318</v>
      </c>
      <c r="C95" s="10" t="s">
        <v>346</v>
      </c>
      <c r="D95" s="10" t="s">
        <v>84</v>
      </c>
      <c r="E95" s="25" t="n">
        <v>0.1</v>
      </c>
      <c r="F95" s="25" t="n">
        <v>0.1</v>
      </c>
      <c r="G95" s="25" t="n">
        <v>0.1</v>
      </c>
      <c r="H95" s="25" t="n">
        <v>0.1</v>
      </c>
      <c r="I95" s="25" t="n">
        <v>0.1</v>
      </c>
      <c r="J95" s="25" t="n">
        <v>0.1</v>
      </c>
      <c r="K95" s="25" t="n">
        <v>0.1</v>
      </c>
      <c r="L95" s="25" t="n">
        <v>0.1</v>
      </c>
      <c r="M95" s="25" t="n">
        <v>0.1</v>
      </c>
      <c r="N95" s="26" t="n">
        <v>0.1</v>
      </c>
      <c r="O95" s="27" t="n">
        <f aca="false">INDEX($E95:$N95,1,MATCH(sel_scen,$E$4:$N$4,0))</f>
        <v>0.1</v>
      </c>
      <c r="P95" s="6" t="s">
        <v>347</v>
      </c>
    </row>
    <row r="96" customFormat="false" ht="15" hidden="false" customHeight="true" outlineLevel="0" collapsed="false">
      <c r="A96" s="10" t="s">
        <v>348</v>
      </c>
      <c r="B96" s="10" t="s">
        <v>318</v>
      </c>
      <c r="C96" s="10" t="s">
        <v>349</v>
      </c>
      <c r="D96" s="10" t="s">
        <v>84</v>
      </c>
      <c r="E96" s="25" t="n">
        <v>0.25</v>
      </c>
      <c r="F96" s="25" t="n">
        <v>0.25</v>
      </c>
      <c r="G96" s="25" t="n">
        <v>0.25</v>
      </c>
      <c r="H96" s="25" t="n">
        <v>0.25</v>
      </c>
      <c r="I96" s="25" t="n">
        <v>0.25</v>
      </c>
      <c r="J96" s="25" t="n">
        <v>0.25</v>
      </c>
      <c r="K96" s="25" t="n">
        <v>0.25</v>
      </c>
      <c r="L96" s="25" t="n">
        <v>0.25</v>
      </c>
      <c r="M96" s="25" t="n">
        <v>0.25</v>
      </c>
      <c r="N96" s="26" t="n">
        <v>0.25</v>
      </c>
      <c r="O96" s="27" t="n">
        <f aca="false">INDEX($E96:$N96,1,MATCH(sel_scen,$E$4:$N$4,0))</f>
        <v>0.25</v>
      </c>
      <c r="P96" s="6" t="s">
        <v>350</v>
      </c>
    </row>
    <row r="97" customFormat="false" ht="15" hidden="false" customHeight="true" outlineLevel="0" collapsed="false">
      <c r="A97" s="10" t="s">
        <v>351</v>
      </c>
      <c r="B97" s="10" t="s">
        <v>318</v>
      </c>
      <c r="C97" s="10" t="s">
        <v>352</v>
      </c>
      <c r="D97" s="10" t="s">
        <v>88</v>
      </c>
      <c r="E97" s="25" t="n">
        <v>1</v>
      </c>
      <c r="F97" s="25" t="n">
        <v>1</v>
      </c>
      <c r="G97" s="25" t="n">
        <v>1</v>
      </c>
      <c r="H97" s="25" t="n">
        <v>1</v>
      </c>
      <c r="I97" s="25" t="n">
        <v>1</v>
      </c>
      <c r="J97" s="25" t="n">
        <v>1</v>
      </c>
      <c r="K97" s="25" t="n">
        <v>1</v>
      </c>
      <c r="L97" s="25" t="n">
        <v>1</v>
      </c>
      <c r="M97" s="25" t="n">
        <v>1</v>
      </c>
      <c r="N97" s="26" t="n">
        <v>1</v>
      </c>
      <c r="O97" s="27" t="n">
        <f aca="false">INDEX($E97:$N97,1,MATCH(sel_scen,$E$4:$N$4,0))</f>
        <v>1</v>
      </c>
      <c r="P97" s="6" t="s">
        <v>353</v>
      </c>
    </row>
    <row r="98" customFormat="false" ht="15" hidden="false" customHeight="true" outlineLevel="0" collapsed="false">
      <c r="A98" s="10" t="s">
        <v>354</v>
      </c>
      <c r="B98" s="10" t="s">
        <v>318</v>
      </c>
      <c r="C98" s="10" t="s">
        <v>355</v>
      </c>
      <c r="D98" s="10" t="s">
        <v>84</v>
      </c>
      <c r="E98" s="25" t="n">
        <v>0.1</v>
      </c>
      <c r="F98" s="25" t="n">
        <v>0.1</v>
      </c>
      <c r="G98" s="25" t="n">
        <v>0.1</v>
      </c>
      <c r="H98" s="25" t="n">
        <v>0.1</v>
      </c>
      <c r="I98" s="25" t="n">
        <v>0.1</v>
      </c>
      <c r="J98" s="25" t="n">
        <v>0.1</v>
      </c>
      <c r="K98" s="25" t="n">
        <v>0.1</v>
      </c>
      <c r="L98" s="25" t="n">
        <v>0.1</v>
      </c>
      <c r="M98" s="25" t="n">
        <v>0.1</v>
      </c>
      <c r="N98" s="26" t="n">
        <v>0.1</v>
      </c>
      <c r="O98" s="27" t="n">
        <f aca="false">INDEX($E98:$N98,1,MATCH(sel_scen,$E$4:$N$4,0))</f>
        <v>0.1</v>
      </c>
      <c r="P98" s="6" t="s">
        <v>114</v>
      </c>
    </row>
    <row r="99" customFormat="false" ht="15" hidden="false" customHeight="true" outlineLevel="0" collapsed="false">
      <c r="A99" s="10" t="s">
        <v>356</v>
      </c>
      <c r="B99" s="10" t="s">
        <v>318</v>
      </c>
      <c r="C99" s="10" t="s">
        <v>357</v>
      </c>
      <c r="D99" s="10" t="s">
        <v>88</v>
      </c>
      <c r="E99" s="25" t="n">
        <v>2</v>
      </c>
      <c r="F99" s="25" t="n">
        <v>2</v>
      </c>
      <c r="G99" s="25" t="n">
        <v>2</v>
      </c>
      <c r="H99" s="25" t="n">
        <v>2</v>
      </c>
      <c r="I99" s="25" t="n">
        <v>2</v>
      </c>
      <c r="J99" s="25" t="n">
        <v>2</v>
      </c>
      <c r="K99" s="25" t="n">
        <v>2</v>
      </c>
      <c r="L99" s="25" t="n">
        <v>2</v>
      </c>
      <c r="M99" s="25" t="n">
        <v>2</v>
      </c>
      <c r="N99" s="26" t="n">
        <v>2</v>
      </c>
      <c r="O99" s="27" t="n">
        <f aca="false">INDEX($E99:$N99,1,MATCH(sel_scen,$E$4:$N$4,0))</f>
        <v>2</v>
      </c>
      <c r="P99" s="6" t="s">
        <v>358</v>
      </c>
    </row>
    <row r="100" customFormat="false" ht="15" hidden="false" customHeight="true" outlineLevel="0" collapsed="false">
      <c r="A100" s="10" t="s">
        <v>359</v>
      </c>
      <c r="B100" s="10" t="s">
        <v>318</v>
      </c>
      <c r="C100" s="10" t="s">
        <v>360</v>
      </c>
      <c r="D100" s="10" t="s">
        <v>84</v>
      </c>
      <c r="E100" s="25" t="n">
        <v>0.3</v>
      </c>
      <c r="F100" s="25" t="n">
        <v>0.3</v>
      </c>
      <c r="G100" s="25" t="n">
        <v>0.3</v>
      </c>
      <c r="H100" s="25" t="n">
        <v>0.3</v>
      </c>
      <c r="I100" s="25" t="n">
        <v>0.3</v>
      </c>
      <c r="J100" s="25" t="n">
        <v>0.3</v>
      </c>
      <c r="K100" s="25" t="n">
        <v>0.3</v>
      </c>
      <c r="L100" s="25" t="n">
        <v>0.3</v>
      </c>
      <c r="M100" s="25" t="n">
        <v>0.3</v>
      </c>
      <c r="N100" s="26" t="n">
        <v>0.3</v>
      </c>
      <c r="O100" s="27" t="n">
        <f aca="false">INDEX($E100:$N100,1,MATCH(sel_scen,$E$4:$N$4,0))</f>
        <v>0.3</v>
      </c>
      <c r="P100" s="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10"/>
  </cols>
  <sheetData>
    <row r="1" customFormat="false" ht="17.25" hidden="false" customHeight="true" outlineLevel="0" collapsed="false">
      <c r="A1" s="5" t="s">
        <v>361</v>
      </c>
    </row>
    <row r="2" customFormat="false" ht="15" hidden="false" customHeight="true" outlineLevel="0" collapsed="false">
      <c r="A2" s="6" t="s">
        <v>362</v>
      </c>
    </row>
    <row r="4" customFormat="false" ht="42" hidden="false" customHeight="true" outlineLevel="0" collapsed="false">
      <c r="A4" s="21" t="s">
        <v>64</v>
      </c>
      <c r="B4" s="21" t="s">
        <v>363</v>
      </c>
      <c r="C4" s="21" t="s">
        <v>364</v>
      </c>
    </row>
    <row r="5" customFormat="false" ht="15" hidden="false" customHeight="true" outlineLevel="0" collapsed="false">
      <c r="A5" s="10" t="s">
        <v>365</v>
      </c>
      <c r="B5" s="25" t="n">
        <v>0.2</v>
      </c>
      <c r="C5" s="10" t="s">
        <v>366</v>
      </c>
    </row>
    <row r="6" customFormat="false" ht="15" hidden="false" customHeight="true" outlineLevel="0" collapsed="false">
      <c r="A6" s="10" t="s">
        <v>367</v>
      </c>
      <c r="B6" s="25" t="n">
        <v>0.3</v>
      </c>
      <c r="C6" s="10" t="s">
        <v>368</v>
      </c>
    </row>
    <row r="7" customFormat="false" ht="15" hidden="false" customHeight="true" outlineLevel="0" collapsed="false">
      <c r="A7" s="10" t="s">
        <v>369</v>
      </c>
      <c r="B7" s="25" t="n">
        <v>0.35</v>
      </c>
      <c r="C7" s="10" t="s">
        <v>370</v>
      </c>
    </row>
    <row r="8" customFormat="false" ht="15" hidden="false" customHeight="true" outlineLevel="0" collapsed="false">
      <c r="A8" s="10" t="s">
        <v>371</v>
      </c>
      <c r="B8" s="25" t="n">
        <v>0.5</v>
      </c>
      <c r="C8" s="10" t="s">
        <v>372</v>
      </c>
    </row>
    <row r="9" customFormat="false" ht="15" hidden="false" customHeight="true" outlineLevel="0" collapsed="false">
      <c r="A9" s="10" t="s">
        <v>373</v>
      </c>
      <c r="B9" s="25" t="n">
        <v>3</v>
      </c>
      <c r="C9" s="10" t="s">
        <v>374</v>
      </c>
    </row>
    <row r="10" customFormat="false" ht="15" hidden="false" customHeight="true" outlineLevel="0" collapsed="false">
      <c r="A10" s="10" t="s">
        <v>375</v>
      </c>
      <c r="B10" s="25" t="n">
        <v>0.3</v>
      </c>
      <c r="C10" s="10" t="s">
        <v>376</v>
      </c>
    </row>
    <row r="11" customFormat="false" ht="15" hidden="false" customHeight="true" outlineLevel="0" collapsed="false">
      <c r="A11" s="10" t="s">
        <v>377</v>
      </c>
      <c r="B11" s="25" t="n">
        <v>0.15</v>
      </c>
      <c r="C11" s="10" t="s">
        <v>378</v>
      </c>
    </row>
    <row r="12" customFormat="false" ht="15" hidden="false" customHeight="true" outlineLevel="0" collapsed="false">
      <c r="A12" s="10" t="s">
        <v>379</v>
      </c>
      <c r="B12" s="25" t="n">
        <v>0.2</v>
      </c>
      <c r="C12" s="10" t="s">
        <v>380</v>
      </c>
    </row>
    <row r="13" customFormat="false" ht="15" hidden="false" customHeight="true" outlineLevel="0" collapsed="false">
      <c r="A13" s="10" t="s">
        <v>381</v>
      </c>
      <c r="B13" s="25" t="n">
        <v>0.2</v>
      </c>
      <c r="C13" s="10" t="s">
        <v>382</v>
      </c>
    </row>
    <row r="14" customFormat="false" ht="15" hidden="false" customHeight="true" outlineLevel="0" collapsed="false">
      <c r="A14" s="10" t="s">
        <v>383</v>
      </c>
      <c r="B14" s="25" t="n">
        <v>2.5</v>
      </c>
      <c r="C14" s="10" t="s">
        <v>384</v>
      </c>
    </row>
    <row r="15" customFormat="false" ht="15" hidden="false" customHeight="true" outlineLevel="0" collapsed="false">
      <c r="A15" s="10" t="s">
        <v>385</v>
      </c>
      <c r="B15" s="25" t="n">
        <v>0.8</v>
      </c>
      <c r="C15" s="10" t="s">
        <v>386</v>
      </c>
    </row>
    <row r="16" customFormat="false" ht="15" hidden="false" customHeight="true" outlineLevel="0" collapsed="false">
      <c r="A16" s="10" t="s">
        <v>387</v>
      </c>
      <c r="B16" s="25" t="n">
        <v>0.4</v>
      </c>
      <c r="C16" s="10" t="s">
        <v>388</v>
      </c>
    </row>
    <row r="17" customFormat="false" ht="15" hidden="false" customHeight="true" outlineLevel="0" collapsed="false">
      <c r="A17" s="10" t="s">
        <v>389</v>
      </c>
      <c r="B17" s="25" t="n">
        <v>2</v>
      </c>
      <c r="C17" s="10" t="s">
        <v>390</v>
      </c>
    </row>
    <row r="18" customFormat="false" ht="15" hidden="false" customHeight="true" outlineLevel="0" collapsed="false">
      <c r="A18" s="10" t="s">
        <v>391</v>
      </c>
      <c r="B18" s="25" t="n">
        <v>0.2</v>
      </c>
      <c r="C18" s="10" t="s">
        <v>392</v>
      </c>
    </row>
    <row r="19" customFormat="false" ht="15" hidden="false" customHeight="true" outlineLevel="0" collapsed="false">
      <c r="A19" s="10" t="s">
        <v>393</v>
      </c>
      <c r="B19" s="25" t="n">
        <v>0.0805</v>
      </c>
      <c r="C19" s="10" t="s">
        <v>394</v>
      </c>
    </row>
    <row r="20" customFormat="false" ht="15" hidden="false" customHeight="true" outlineLevel="0" collapsed="false">
      <c r="A20" s="10" t="s">
        <v>395</v>
      </c>
      <c r="B20" s="25" t="n">
        <v>0.8</v>
      </c>
      <c r="C20" s="10" t="s">
        <v>396</v>
      </c>
    </row>
    <row r="21" customFormat="false" ht="15" hidden="false" customHeight="true" outlineLevel="0" collapsed="false">
      <c r="A21" s="10" t="s">
        <v>397</v>
      </c>
      <c r="B21" s="25" t="n">
        <v>6</v>
      </c>
      <c r="C21" s="10" t="s">
        <v>398</v>
      </c>
    </row>
    <row r="22" customFormat="false" ht="15" hidden="false" customHeight="true" outlineLevel="0" collapsed="false">
      <c r="A22" s="10" t="s">
        <v>399</v>
      </c>
      <c r="B22" s="25" t="n">
        <v>2</v>
      </c>
      <c r="C22" s="10" t="s">
        <v>400</v>
      </c>
    </row>
    <row r="23" customFormat="false" ht="15" hidden="false" customHeight="true" outlineLevel="0" collapsed="false">
      <c r="A23" s="10" t="s">
        <v>401</v>
      </c>
      <c r="B23" s="25" t="n">
        <v>0.2</v>
      </c>
      <c r="C23" s="10" t="s">
        <v>402</v>
      </c>
    </row>
    <row r="24" customFormat="false" ht="15" hidden="false" customHeight="true" outlineLevel="0" collapsed="false">
      <c r="A24" s="10" t="s">
        <v>403</v>
      </c>
      <c r="B24" s="25" t="n">
        <v>0.85</v>
      </c>
      <c r="C24" s="10" t="s">
        <v>404</v>
      </c>
    </row>
    <row r="25" customFormat="false" ht="15" hidden="false" customHeight="true" outlineLevel="0" collapsed="false">
      <c r="A25" s="10" t="s">
        <v>405</v>
      </c>
      <c r="B25" s="25" t="n">
        <v>0.5</v>
      </c>
      <c r="C25" s="10" t="s">
        <v>406</v>
      </c>
    </row>
    <row r="26" customFormat="false" ht="15" hidden="false" customHeight="true" outlineLevel="0" collapsed="false">
      <c r="A26" s="10" t="s">
        <v>407</v>
      </c>
      <c r="B26" s="25" t="n">
        <v>0.005</v>
      </c>
      <c r="C26" s="10" t="s">
        <v>408</v>
      </c>
    </row>
    <row r="27" customFormat="false" ht="15" hidden="false" customHeight="true" outlineLevel="0" collapsed="false">
      <c r="A27" s="10" t="s">
        <v>409</v>
      </c>
      <c r="B27" s="25" t="n">
        <v>0.25</v>
      </c>
      <c r="C27" s="10" t="s">
        <v>410</v>
      </c>
    </row>
    <row r="28" customFormat="false" ht="15" hidden="false" customHeight="true" outlineLevel="0" collapsed="false">
      <c r="A28" s="10" t="s">
        <v>411</v>
      </c>
      <c r="B28" s="25" t="n">
        <v>0.35</v>
      </c>
      <c r="C28" s="10" t="s">
        <v>412</v>
      </c>
    </row>
    <row r="29" customFormat="false" ht="15" hidden="false" customHeight="true" outlineLevel="0" collapsed="false">
      <c r="A29" s="10" t="s">
        <v>413</v>
      </c>
      <c r="B29" s="25" t="n">
        <v>0.4</v>
      </c>
      <c r="C29" s="10" t="s">
        <v>414</v>
      </c>
    </row>
    <row r="30" customFormat="false" ht="15" hidden="false" customHeight="true" outlineLevel="0" collapsed="false">
      <c r="A30" s="10" t="s">
        <v>415</v>
      </c>
      <c r="B30" s="25" t="n">
        <v>6</v>
      </c>
      <c r="C30" s="10" t="s">
        <v>416</v>
      </c>
    </row>
    <row r="31" customFormat="false" ht="15" hidden="false" customHeight="true" outlineLevel="0" collapsed="false">
      <c r="A31" s="10" t="s">
        <v>417</v>
      </c>
      <c r="B31" s="25" t="n">
        <v>0.45</v>
      </c>
      <c r="C31" s="10" t="s">
        <v>418</v>
      </c>
    </row>
    <row r="32" customFormat="false" ht="15" hidden="false" customHeight="true" outlineLevel="0" collapsed="false">
      <c r="A32" s="10" t="s">
        <v>419</v>
      </c>
      <c r="B32" s="25" t="n">
        <v>0.1</v>
      </c>
      <c r="C32" s="10" t="s">
        <v>420</v>
      </c>
    </row>
    <row r="33" customFormat="false" ht="15" hidden="false" customHeight="true" outlineLevel="0" collapsed="false">
      <c r="A33" s="10" t="s">
        <v>421</v>
      </c>
      <c r="B33" s="25" t="n">
        <v>1.5</v>
      </c>
      <c r="C33" s="10" t="s">
        <v>422</v>
      </c>
    </row>
    <row r="34" customFormat="false" ht="15" hidden="false" customHeight="true" outlineLevel="0" collapsed="false">
      <c r="A34" s="10" t="s">
        <v>423</v>
      </c>
      <c r="B34" s="25" t="n">
        <v>0.4</v>
      </c>
      <c r="C34" s="10" t="s">
        <v>424</v>
      </c>
    </row>
    <row r="35" customFormat="false" ht="15" hidden="false" customHeight="true" outlineLevel="0" collapsed="false">
      <c r="A35" s="10" t="s">
        <v>258</v>
      </c>
      <c r="B35" s="25" t="n">
        <v>1</v>
      </c>
      <c r="C35" s="10" t="s">
        <v>425</v>
      </c>
    </row>
    <row r="36" customFormat="false" ht="15" hidden="false" customHeight="true" outlineLevel="0" collapsed="false">
      <c r="A36" s="10" t="s">
        <v>426</v>
      </c>
      <c r="B36" s="25" t="n">
        <v>1.5</v>
      </c>
      <c r="C36" s="10" t="s">
        <v>427</v>
      </c>
    </row>
    <row r="37" customFormat="false" ht="15" hidden="false" customHeight="true" outlineLevel="0" collapsed="false">
      <c r="A37" s="10" t="s">
        <v>428</v>
      </c>
      <c r="B37" s="25" t="n">
        <v>1</v>
      </c>
      <c r="C37" s="10" t="s">
        <v>429</v>
      </c>
    </row>
    <row r="38" customFormat="false" ht="15" hidden="false" customHeight="true" outlineLevel="0" collapsed="false">
      <c r="A38" s="10" t="s">
        <v>430</v>
      </c>
      <c r="B38" s="25" t="n">
        <v>0.3</v>
      </c>
      <c r="C38" s="10" t="s">
        <v>431</v>
      </c>
    </row>
    <row r="39" customFormat="false" ht="15" hidden="false" customHeight="true" outlineLevel="0" collapsed="false">
      <c r="A39" s="10" t="s">
        <v>432</v>
      </c>
      <c r="B39" s="25" t="n">
        <v>0.25</v>
      </c>
      <c r="C39" s="10" t="s">
        <v>433</v>
      </c>
    </row>
    <row r="40" customFormat="false" ht="15" hidden="false" customHeight="true" outlineLevel="0" collapsed="false">
      <c r="A40" s="10" t="s">
        <v>434</v>
      </c>
      <c r="B40" s="25" t="n">
        <v>0.85</v>
      </c>
      <c r="C40" s="10" t="s">
        <v>435</v>
      </c>
    </row>
    <row r="41" customFormat="false" ht="15" hidden="false" customHeight="true" outlineLevel="0" collapsed="false">
      <c r="A41" s="10" t="s">
        <v>436</v>
      </c>
      <c r="B41" s="25" t="n">
        <v>0.4</v>
      </c>
      <c r="C41" s="10" t="s">
        <v>437</v>
      </c>
    </row>
    <row r="42" customFormat="false" ht="15" hidden="false" customHeight="true" outlineLevel="0" collapsed="false">
      <c r="A42" s="10" t="s">
        <v>438</v>
      </c>
      <c r="B42" s="25" t="n">
        <v>31.825</v>
      </c>
      <c r="C42" s="10" t="s">
        <v>439</v>
      </c>
    </row>
    <row r="43" customFormat="false" ht="15" hidden="false" customHeight="true" outlineLevel="0" collapsed="false">
      <c r="A43" s="10" t="s">
        <v>440</v>
      </c>
      <c r="B43" s="25" t="n">
        <v>27.3</v>
      </c>
      <c r="C43" s="10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54" min="3" style="1" width="11"/>
  </cols>
  <sheetData>
    <row r="1" customFormat="false" ht="17.25" hidden="false" customHeight="true" outlineLevel="0" collapsed="false">
      <c r="A1" s="5" t="s">
        <v>442</v>
      </c>
    </row>
    <row r="2" customFormat="false" ht="15" hidden="false" customHeight="true" outlineLevel="0" collapsed="false">
      <c r="A2" s="6" t="s">
        <v>443</v>
      </c>
    </row>
    <row r="5" customFormat="false" ht="42" hidden="false" customHeight="true" outlineLevel="0" collapsed="false">
      <c r="A5" s="21" t="s">
        <v>51</v>
      </c>
      <c r="B5" s="21" t="s">
        <v>52</v>
      </c>
      <c r="C5" s="21" t="s">
        <v>444</v>
      </c>
      <c r="D5" s="21" t="s">
        <v>445</v>
      </c>
      <c r="E5" s="21" t="s">
        <v>446</v>
      </c>
      <c r="F5" s="21" t="s">
        <v>447</v>
      </c>
      <c r="G5" s="21" t="s">
        <v>448</v>
      </c>
      <c r="H5" s="21" t="s">
        <v>449</v>
      </c>
      <c r="I5" s="21" t="s">
        <v>450</v>
      </c>
      <c r="J5" s="21" t="s">
        <v>451</v>
      </c>
      <c r="K5" s="21" t="s">
        <v>452</v>
      </c>
      <c r="L5" s="21" t="s">
        <v>453</v>
      </c>
      <c r="M5" s="21" t="s">
        <v>454</v>
      </c>
      <c r="N5" s="21" t="s">
        <v>455</v>
      </c>
      <c r="O5" s="21" t="s">
        <v>456</v>
      </c>
      <c r="P5" s="21" t="s">
        <v>457</v>
      </c>
      <c r="Q5" s="21" t="s">
        <v>458</v>
      </c>
      <c r="R5" s="21" t="s">
        <v>459</v>
      </c>
      <c r="S5" s="21" t="s">
        <v>460</v>
      </c>
      <c r="T5" s="21" t="s">
        <v>461</v>
      </c>
      <c r="U5" s="21" t="s">
        <v>462</v>
      </c>
      <c r="V5" s="21" t="s">
        <v>463</v>
      </c>
      <c r="W5" s="21" t="s">
        <v>464</v>
      </c>
      <c r="X5" s="21" t="s">
        <v>465</v>
      </c>
      <c r="Y5" s="21" t="s">
        <v>466</v>
      </c>
      <c r="Z5" s="21" t="s">
        <v>467</v>
      </c>
      <c r="AA5" s="21" t="s">
        <v>468</v>
      </c>
      <c r="AB5" s="21" t="s">
        <v>469</v>
      </c>
      <c r="AC5" s="21" t="s">
        <v>470</v>
      </c>
      <c r="AD5" s="21" t="s">
        <v>471</v>
      </c>
      <c r="AE5" s="21" t="s">
        <v>472</v>
      </c>
      <c r="AF5" s="21" t="s">
        <v>473</v>
      </c>
      <c r="AG5" s="21" t="s">
        <v>474</v>
      </c>
      <c r="AH5" s="21" t="s">
        <v>475</v>
      </c>
      <c r="AI5" s="21" t="s">
        <v>476</v>
      </c>
      <c r="AJ5" s="21" t="s">
        <v>477</v>
      </c>
      <c r="AK5" s="21" t="s">
        <v>478</v>
      </c>
      <c r="AL5" s="21" t="s">
        <v>479</v>
      </c>
      <c r="AM5" s="21" t="s">
        <v>480</v>
      </c>
      <c r="AN5" s="21" t="s">
        <v>481</v>
      </c>
      <c r="AO5" s="21" t="s">
        <v>482</v>
      </c>
      <c r="AP5" s="21" t="s">
        <v>483</v>
      </c>
      <c r="AQ5" s="21" t="s">
        <v>484</v>
      </c>
      <c r="AR5" s="21" t="s">
        <v>485</v>
      </c>
      <c r="AS5" s="21" t="s">
        <v>486</v>
      </c>
      <c r="AT5" s="21" t="s">
        <v>487</v>
      </c>
      <c r="AU5" s="21" t="s">
        <v>488</v>
      </c>
      <c r="AV5" s="21" t="s">
        <v>489</v>
      </c>
      <c r="AW5" s="21" t="s">
        <v>490</v>
      </c>
      <c r="AX5" s="21" t="s">
        <v>491</v>
      </c>
      <c r="AY5" s="21" t="s">
        <v>492</v>
      </c>
      <c r="AZ5" s="21" t="s">
        <v>493</v>
      </c>
      <c r="BA5" s="21" t="s">
        <v>494</v>
      </c>
      <c r="BB5" s="21" t="s">
        <v>495</v>
      </c>
    </row>
    <row r="6" customFormat="false" ht="15" hidden="false" customHeight="true" outlineLevel="0" collapsed="false">
      <c r="A6" s="31" t="s">
        <v>496</v>
      </c>
      <c r="B6" s="31" t="s">
        <v>497</v>
      </c>
      <c r="C6" s="31" t="s">
        <v>498</v>
      </c>
      <c r="D6" s="28" t="n">
        <v>1</v>
      </c>
      <c r="E6" s="28" t="n">
        <v>1</v>
      </c>
      <c r="F6" s="28" t="n">
        <v>5</v>
      </c>
      <c r="G6" s="32" t="n">
        <v>304.1</v>
      </c>
      <c r="H6" s="32" t="n">
        <v>2183.5</v>
      </c>
      <c r="I6" s="33" t="n">
        <v>0.115</v>
      </c>
      <c r="J6" s="32" t="n">
        <v>30.031</v>
      </c>
      <c r="K6" s="32" t="n">
        <v>536.048</v>
      </c>
      <c r="L6" s="32" t="n">
        <v>-2.641</v>
      </c>
      <c r="M6" s="32" t="n">
        <v>268.474</v>
      </c>
      <c r="N6" s="32" t="n">
        <v>-18.164</v>
      </c>
      <c r="O6" s="34" t="n">
        <v>2.5</v>
      </c>
      <c r="P6" s="32" t="n">
        <v>0</v>
      </c>
      <c r="Q6" s="32" t="n">
        <v>56.5</v>
      </c>
      <c r="R6" s="32" t="n">
        <v>23.1</v>
      </c>
      <c r="S6" s="32" t="n">
        <v>68</v>
      </c>
      <c r="T6" s="32" t="n">
        <v>37.6</v>
      </c>
      <c r="U6" s="32" t="n">
        <v>0</v>
      </c>
      <c r="V6" s="32" t="n">
        <v>0</v>
      </c>
      <c r="W6" s="23" t="n">
        <f aca="false">SUM(BDC_EAD!C$31:C$52)+SUM(BDC_EAD!C$81:C$102)</f>
        <v>2.015715</v>
      </c>
      <c r="X6" s="23" t="n">
        <f aca="false">SUM(BDC_EAD!C$6:C$27)+SUM(BDC_EAD!C$56:C$77)</f>
        <v>4.303613</v>
      </c>
      <c r="Y6" s="35" t="n">
        <f aca="false">MAX(0,Q6-W6)</f>
        <v>54.484285</v>
      </c>
      <c r="Z6" s="35" t="n">
        <f aca="false">MAX(0,R6-(X6-W6))</f>
        <v>20.812102</v>
      </c>
      <c r="AA6" s="32" t="n">
        <v>0</v>
      </c>
      <c r="AB6" s="32" t="n">
        <v>82.203</v>
      </c>
      <c r="AC6" s="32" t="n">
        <v>0</v>
      </c>
      <c r="AD6" s="32" t="n">
        <v>0</v>
      </c>
      <c r="AE6" s="36" t="n">
        <v>4.55</v>
      </c>
      <c r="AF6" s="32" t="n">
        <v>180.31</v>
      </c>
      <c r="AG6" s="32" t="n">
        <v>975.412</v>
      </c>
      <c r="AH6" s="37" t="n">
        <v>1.1</v>
      </c>
      <c r="AI6" s="32" t="n">
        <v>1743.9</v>
      </c>
      <c r="AJ6" s="32" t="n">
        <v>2713.7</v>
      </c>
      <c r="AK6" s="32" t="n">
        <v>30.166</v>
      </c>
      <c r="AL6" s="32" t="n">
        <v>704.704</v>
      </c>
      <c r="AM6" s="38" t="n">
        <v>0.266990210303364</v>
      </c>
      <c r="AN6" s="35" t="n">
        <f aca="false">AL6*AM6</f>
        <v>188.149069161622</v>
      </c>
      <c r="AO6" s="32" t="n">
        <v>5.45</v>
      </c>
      <c r="AP6" s="32" t="n">
        <v>34.48</v>
      </c>
      <c r="AQ6" s="32" t="n">
        <v>457</v>
      </c>
      <c r="AR6" s="34" t="n">
        <v>0</v>
      </c>
      <c r="AS6" s="34" t="n">
        <v>0.104</v>
      </c>
      <c r="AT6" s="34" t="n">
        <v>0.408</v>
      </c>
      <c r="AU6" s="34" t="n">
        <v>0.612</v>
      </c>
      <c r="AV6" s="34" t="n">
        <v>0.918</v>
      </c>
      <c r="AW6" s="34" t="n">
        <v>1.224</v>
      </c>
      <c r="AX6" s="34" t="n">
        <v>1.53</v>
      </c>
      <c r="AY6" s="32" t="n">
        <v>533.281</v>
      </c>
      <c r="AZ6" s="32" t="n">
        <v>633.693</v>
      </c>
      <c r="BA6" s="39" t="n">
        <f aca="false">G6/H6</f>
        <v>0.139271811312114</v>
      </c>
      <c r="BB6" s="23" t="n">
        <f aca="false">Holdings!$P6</f>
        <v>480.27</v>
      </c>
    </row>
    <row r="7" customFormat="false" ht="15" hidden="false" customHeight="true" outlineLevel="0" collapsed="false">
      <c r="A7" s="31" t="s">
        <v>499</v>
      </c>
      <c r="B7" s="31" t="s">
        <v>500</v>
      </c>
      <c r="C7" s="31" t="s">
        <v>498</v>
      </c>
      <c r="D7" s="28" t="n">
        <v>1</v>
      </c>
      <c r="E7" s="28" t="n">
        <v>1</v>
      </c>
      <c r="F7" s="28" t="n">
        <v>4</v>
      </c>
      <c r="G7" s="32" t="n">
        <v>198.4</v>
      </c>
      <c r="H7" s="32" t="n">
        <v>1823.9</v>
      </c>
      <c r="I7" s="33" t="n">
        <v>0.1</v>
      </c>
      <c r="J7" s="32" t="n">
        <v>12.931</v>
      </c>
      <c r="K7" s="32" t="n">
        <v>348.54</v>
      </c>
      <c r="L7" s="32" t="n">
        <v>-2.374</v>
      </c>
      <c r="M7" s="32" t="n">
        <v>505.799</v>
      </c>
      <c r="N7" s="32" t="n">
        <v>-82.094</v>
      </c>
      <c r="O7" s="34" t="n">
        <v>2.5</v>
      </c>
      <c r="P7" s="32" t="n">
        <v>0</v>
      </c>
      <c r="Q7" s="32" t="n">
        <v>31.5</v>
      </c>
      <c r="R7" s="32" t="n">
        <v>6.1</v>
      </c>
      <c r="S7" s="32" t="n">
        <v>37.3</v>
      </c>
      <c r="T7" s="32" t="n">
        <v>31.5</v>
      </c>
      <c r="U7" s="32" t="n">
        <v>0</v>
      </c>
      <c r="V7" s="32" t="n">
        <v>0</v>
      </c>
      <c r="W7" s="23" t="n">
        <f aca="false">SUM(BDC_EAD!D$31:D$52)+SUM(BDC_EAD!D$81:D$102)</f>
        <v>3.8291</v>
      </c>
      <c r="X7" s="23" t="n">
        <f aca="false">SUM(BDC_EAD!D$6:D$27)+SUM(BDC_EAD!D$56:D$77)</f>
        <v>9.004882</v>
      </c>
      <c r="Y7" s="35" t="n">
        <f aca="false">MAX(0,Q7-W7)</f>
        <v>27.6709</v>
      </c>
      <c r="Z7" s="35" t="n">
        <f aca="false">MAX(0,R7-(X7-W7))</f>
        <v>0.924218</v>
      </c>
      <c r="AA7" s="32" t="n">
        <v>0</v>
      </c>
      <c r="AB7" s="32" t="n">
        <v>0</v>
      </c>
      <c r="AC7" s="32" t="n">
        <v>49.867</v>
      </c>
      <c r="AD7" s="32" t="n">
        <v>0</v>
      </c>
      <c r="AE7" s="36" t="n">
        <v>4.55</v>
      </c>
      <c r="AF7" s="32" t="n">
        <v>83.31</v>
      </c>
      <c r="AG7" s="32" t="n">
        <v>684</v>
      </c>
      <c r="AH7" s="37" t="n">
        <v>1.12</v>
      </c>
      <c r="AI7" s="32" t="n">
        <v>899.7</v>
      </c>
      <c r="AJ7" s="32" t="n">
        <v>2025.124</v>
      </c>
      <c r="AK7" s="32" t="n">
        <v>59.979</v>
      </c>
      <c r="AL7" s="32" t="n">
        <v>332.218</v>
      </c>
      <c r="AM7" s="38" t="n">
        <v>0.17209184755133</v>
      </c>
      <c r="AN7" s="35" t="n">
        <f aca="false">AL7*AM7</f>
        <v>57.1720094098078</v>
      </c>
      <c r="AO7" s="32" t="n">
        <v>27.98</v>
      </c>
      <c r="AP7" s="32" t="n">
        <v>7.87</v>
      </c>
      <c r="AQ7" s="32" t="n">
        <v>357</v>
      </c>
      <c r="AR7" s="34" t="n">
        <v>0</v>
      </c>
      <c r="AS7" s="34" t="n">
        <v>0.121</v>
      </c>
      <c r="AT7" s="34" t="n">
        <v>1.816</v>
      </c>
      <c r="AU7" s="34" t="n">
        <v>2.724</v>
      </c>
      <c r="AV7" s="34" t="n">
        <v>4.086</v>
      </c>
      <c r="AW7" s="34" t="n">
        <v>5.448</v>
      </c>
      <c r="AX7" s="34" t="n">
        <v>6.81</v>
      </c>
      <c r="AY7" s="32" t="n">
        <v>335.222</v>
      </c>
      <c r="AZ7" s="32" t="n">
        <v>200.993</v>
      </c>
      <c r="BA7" s="39" t="n">
        <f aca="false">G7/H7</f>
        <v>0.108777893524864</v>
      </c>
      <c r="BB7" s="23" t="n">
        <f aca="false">Holdings!$P7</f>
        <v>211.05</v>
      </c>
    </row>
    <row r="8" customFormat="false" ht="15" hidden="false" customHeight="true" outlineLevel="0" collapsed="false">
      <c r="A8" s="31" t="s">
        <v>501</v>
      </c>
      <c r="B8" s="31" t="s">
        <v>502</v>
      </c>
      <c r="C8" s="31" t="s">
        <v>498</v>
      </c>
      <c r="D8" s="28" t="n">
        <v>1</v>
      </c>
      <c r="E8" s="28" t="n">
        <v>1</v>
      </c>
      <c r="F8" s="28" t="n">
        <v>3</v>
      </c>
      <c r="G8" s="32" t="n">
        <v>157.4</v>
      </c>
      <c r="H8" s="32" t="n">
        <v>1231.9</v>
      </c>
      <c r="I8" s="33" t="n">
        <v>0.116</v>
      </c>
      <c r="J8" s="32" t="n">
        <v>10.551</v>
      </c>
      <c r="K8" s="32" t="n">
        <v>286.765</v>
      </c>
      <c r="L8" s="32" t="n">
        <v>-1.084</v>
      </c>
      <c r="M8" s="32" t="n">
        <v>167.893</v>
      </c>
      <c r="N8" s="32" t="n">
        <v>-10.369</v>
      </c>
      <c r="O8" s="34" t="n">
        <v>2.5</v>
      </c>
      <c r="P8" s="32" t="n">
        <v>0</v>
      </c>
      <c r="Q8" s="32" t="n">
        <v>51.4</v>
      </c>
      <c r="R8" s="32" t="n">
        <v>19.8</v>
      </c>
      <c r="S8" s="32" t="n">
        <v>9</v>
      </c>
      <c r="T8" s="32" t="n">
        <v>4.2</v>
      </c>
      <c r="U8" s="32" t="n">
        <v>10.6</v>
      </c>
      <c r="V8" s="32" t="n">
        <v>0</v>
      </c>
      <c r="W8" s="23" t="n">
        <f aca="false">SUM(BDC_EAD!E$31:E$52)+SUM(BDC_EAD!E$81:E$102)</f>
        <v>2.388312</v>
      </c>
      <c r="X8" s="23" t="n">
        <f aca="false">SUM(BDC_EAD!E$6:E$27)+SUM(BDC_EAD!E$56:E$77)</f>
        <v>5.348295</v>
      </c>
      <c r="Y8" s="35" t="n">
        <f aca="false">MAX(0,Q8-W8)</f>
        <v>49.011688</v>
      </c>
      <c r="Z8" s="35" t="n">
        <f aca="false">MAX(0,R8-(X8-W8))</f>
        <v>16.840017</v>
      </c>
      <c r="AA8" s="32" t="n">
        <v>0</v>
      </c>
      <c r="AB8" s="32" t="n">
        <v>83.322</v>
      </c>
      <c r="AC8" s="32" t="n">
        <v>0</v>
      </c>
      <c r="AD8" s="32" t="n">
        <v>3</v>
      </c>
      <c r="AE8" s="36" t="n">
        <v>4.55</v>
      </c>
      <c r="AF8" s="32" t="n">
        <v>37.19</v>
      </c>
      <c r="AG8" s="32" t="n">
        <v>641.2</v>
      </c>
      <c r="AH8" s="37" t="n">
        <v>1.13</v>
      </c>
      <c r="AI8" s="32" t="n">
        <v>739.5</v>
      </c>
      <c r="AJ8" s="32" t="n">
        <v>1492.607</v>
      </c>
      <c r="AK8" s="32" t="n">
        <v>60.978</v>
      </c>
      <c r="AL8" s="32" t="n">
        <v>411.126</v>
      </c>
      <c r="AM8" s="38" t="n">
        <v>0.194044732931884</v>
      </c>
      <c r="AN8" s="35" t="n">
        <f aca="false">AL8*AM8</f>
        <v>79.7768348713537</v>
      </c>
      <c r="AO8" s="32" t="n">
        <v>3.89</v>
      </c>
      <c r="AP8" s="32" t="n">
        <v>17.48</v>
      </c>
      <c r="AQ8" s="32" t="n">
        <v>163</v>
      </c>
      <c r="AR8" s="34" t="n">
        <v>0</v>
      </c>
      <c r="AS8" s="34" t="n">
        <v>0.2</v>
      </c>
      <c r="AT8" s="34" t="n">
        <v>0.4</v>
      </c>
      <c r="AU8" s="34" t="n">
        <v>0.6</v>
      </c>
      <c r="AV8" s="34" t="n">
        <v>0.9</v>
      </c>
      <c r="AW8" s="34" t="n">
        <v>1.2</v>
      </c>
      <c r="AX8" s="34" t="n">
        <v>1.5</v>
      </c>
      <c r="AY8" s="32" t="n">
        <v>297.956</v>
      </c>
      <c r="AZ8" s="32" t="n">
        <v>442.819</v>
      </c>
      <c r="BA8" s="39" t="n">
        <f aca="false">G8/H8</f>
        <v>0.127770111210326</v>
      </c>
      <c r="BB8" s="23" t="n">
        <f aca="false">Holdings!$P8</f>
        <v>198.5</v>
      </c>
    </row>
    <row r="9" customFormat="false" ht="15" hidden="false" customHeight="true" outlineLevel="0" collapsed="false">
      <c r="A9" s="31" t="s">
        <v>503</v>
      </c>
      <c r="B9" s="31" t="s">
        <v>504</v>
      </c>
      <c r="C9" s="31" t="s">
        <v>498</v>
      </c>
      <c r="D9" s="28" t="n">
        <v>1</v>
      </c>
      <c r="E9" s="28" t="n">
        <v>1</v>
      </c>
      <c r="F9" s="28" t="n">
        <v>3</v>
      </c>
      <c r="G9" s="32" t="n">
        <v>134.6</v>
      </c>
      <c r="H9" s="32" t="n">
        <v>1339.8</v>
      </c>
      <c r="I9" s="33" t="n">
        <v>0.085</v>
      </c>
      <c r="J9" s="32" t="n">
        <v>8.961</v>
      </c>
      <c r="K9" s="32" t="n">
        <v>250.326</v>
      </c>
      <c r="L9" s="32" t="n">
        <v>-3.267</v>
      </c>
      <c r="M9" s="32" t="n">
        <v>198.573</v>
      </c>
      <c r="N9" s="32" t="n">
        <v>-32.408</v>
      </c>
      <c r="O9" s="34" t="n">
        <v>2.5</v>
      </c>
      <c r="P9" s="32" t="n">
        <v>0</v>
      </c>
      <c r="Q9" s="32" t="n">
        <v>72</v>
      </c>
      <c r="R9" s="32" t="n">
        <v>36.2</v>
      </c>
      <c r="S9" s="32" t="n">
        <v>56.7</v>
      </c>
      <c r="T9" s="32" t="n">
        <v>27.6</v>
      </c>
      <c r="U9" s="32" t="n">
        <v>0</v>
      </c>
      <c r="V9" s="32" t="n">
        <v>0</v>
      </c>
      <c r="W9" s="23" t="n">
        <f aca="false">SUM(BDC_EAD!F$31:F$52)+SUM(BDC_EAD!F$81:F$102)</f>
        <v>4.346347</v>
      </c>
      <c r="X9" s="23" t="n">
        <f aca="false">SUM(BDC_EAD!F$6:F$27)+SUM(BDC_EAD!F$56:F$77)</f>
        <v>9.37608</v>
      </c>
      <c r="Y9" s="35" t="n">
        <f aca="false">MAX(0,Q9-W9)</f>
        <v>67.653653</v>
      </c>
      <c r="Z9" s="35" t="n">
        <f aca="false">MAX(0,R9-(X9-W9))</f>
        <v>31.170267</v>
      </c>
      <c r="AA9" s="32" t="n">
        <v>0</v>
      </c>
      <c r="AB9" s="32" t="n">
        <v>0</v>
      </c>
      <c r="AC9" s="32" t="n">
        <v>0</v>
      </c>
      <c r="AD9" s="32" t="n">
        <v>2.6</v>
      </c>
      <c r="AE9" s="36" t="n">
        <v>4.55</v>
      </c>
      <c r="AF9" s="32" t="n">
        <v>126.02</v>
      </c>
      <c r="AG9" s="32" t="n">
        <v>414.24</v>
      </c>
      <c r="AH9" s="37" t="n">
        <v>1.19</v>
      </c>
      <c r="AI9" s="32" t="n">
        <v>786.2</v>
      </c>
      <c r="AJ9" s="32" t="n">
        <v>1501.405</v>
      </c>
      <c r="AK9" s="32" t="n">
        <v>25.168</v>
      </c>
      <c r="AL9" s="32" t="n">
        <v>251.804</v>
      </c>
      <c r="AM9" s="38" t="n">
        <v>0.191347853440786</v>
      </c>
      <c r="AN9" s="35" t="n">
        <f aca="false">AL9*AM9</f>
        <v>48.1821548878037</v>
      </c>
      <c r="AO9" s="32" t="n">
        <v>12.67</v>
      </c>
      <c r="AP9" s="32" t="n">
        <v>17.2</v>
      </c>
      <c r="AQ9" s="32" t="n">
        <v>435.968</v>
      </c>
      <c r="AR9" s="34" t="n">
        <v>0</v>
      </c>
      <c r="AS9" s="34" t="n">
        <v>1.36666666666667</v>
      </c>
      <c r="AT9" s="34" t="n">
        <v>2.73333333333333</v>
      </c>
      <c r="AU9" s="34" t="n">
        <v>4.1</v>
      </c>
      <c r="AV9" s="34" t="n">
        <v>4.1</v>
      </c>
      <c r="AW9" s="34" t="n">
        <v>4.1</v>
      </c>
      <c r="AX9" s="34" t="n">
        <v>4.1</v>
      </c>
      <c r="AY9" s="32" t="n">
        <v>287.074</v>
      </c>
      <c r="AZ9" s="32" t="n">
        <v>163.988</v>
      </c>
      <c r="BA9" s="39" t="n">
        <f aca="false">G9/H9</f>
        <v>0.100462755635169</v>
      </c>
      <c r="BB9" s="23" t="n">
        <f aca="false">Holdings!$P9</f>
        <v>127.74</v>
      </c>
    </row>
    <row r="10" customFormat="false" ht="15" hidden="false" customHeight="true" outlineLevel="0" collapsed="false">
      <c r="A10" s="31" t="s">
        <v>505</v>
      </c>
      <c r="B10" s="31" t="s">
        <v>506</v>
      </c>
      <c r="C10" s="31" t="s">
        <v>498</v>
      </c>
      <c r="D10" s="28" t="n">
        <v>1</v>
      </c>
      <c r="E10" s="28" t="n">
        <v>1</v>
      </c>
      <c r="F10" s="28" t="n">
        <v>3</v>
      </c>
      <c r="G10" s="32" t="n">
        <v>101.4</v>
      </c>
      <c r="H10" s="32" t="n">
        <v>817</v>
      </c>
      <c r="I10" s="33" t="n">
        <v>0.114</v>
      </c>
      <c r="J10" s="32" t="n">
        <v>8.665</v>
      </c>
      <c r="K10" s="32" t="n">
        <v>155.636</v>
      </c>
      <c r="L10" s="32" t="n">
        <v>-1</v>
      </c>
      <c r="M10" s="32" t="n">
        <v>74.658</v>
      </c>
      <c r="N10" s="32" t="n">
        <v>-0.003</v>
      </c>
      <c r="O10" s="34" t="n">
        <v>2.5</v>
      </c>
      <c r="P10" s="32" t="n">
        <v>0</v>
      </c>
      <c r="Q10" s="32" t="n">
        <v>27.4</v>
      </c>
      <c r="R10" s="32" t="n">
        <v>15.5</v>
      </c>
      <c r="S10" s="32" t="n">
        <v>34.6</v>
      </c>
      <c r="T10" s="32" t="n">
        <v>14.6</v>
      </c>
      <c r="U10" s="32" t="n">
        <v>0</v>
      </c>
      <c r="V10" s="32" t="n">
        <v>0</v>
      </c>
      <c r="W10" s="23" t="n">
        <f aca="false">SUM(BDC_EAD!G$31:G$52)+SUM(BDC_EAD!G$81:G$102)</f>
        <v>2.130358</v>
      </c>
      <c r="X10" s="23" t="n">
        <f aca="false">SUM(BDC_EAD!G$6:G$27)+SUM(BDC_EAD!G$56:G$77)</f>
        <v>3.822584</v>
      </c>
      <c r="Y10" s="35" t="n">
        <f aca="false">MAX(0,Q10-W10)</f>
        <v>25.269642</v>
      </c>
      <c r="Z10" s="35" t="n">
        <f aca="false">MAX(0,R10-(X10-W10))</f>
        <v>13.807774</v>
      </c>
      <c r="AA10" s="32" t="n">
        <v>0</v>
      </c>
      <c r="AB10" s="32" t="n">
        <v>145.84</v>
      </c>
      <c r="AC10" s="32" t="n">
        <v>0</v>
      </c>
      <c r="AD10" s="32" t="n">
        <v>0</v>
      </c>
      <c r="AE10" s="36" t="n">
        <v>4.55</v>
      </c>
      <c r="AF10" s="32" t="n">
        <v>40.31</v>
      </c>
      <c r="AG10" s="32" t="n">
        <v>454.349</v>
      </c>
      <c r="AH10" s="37" t="n">
        <v>1.26</v>
      </c>
      <c r="AI10" s="32" t="n">
        <v>214</v>
      </c>
      <c r="AJ10" s="32" t="n">
        <v>557.955</v>
      </c>
      <c r="AK10" s="32" t="n">
        <v>55.681</v>
      </c>
      <c r="AL10" s="32" t="n">
        <v>357.574</v>
      </c>
      <c r="AM10" s="38" t="n">
        <v>0.371731885452648</v>
      </c>
      <c r="AN10" s="35" t="n">
        <f aca="false">AL10*AM10</f>
        <v>132.921657208845</v>
      </c>
      <c r="AO10" s="32" t="n">
        <v>1.51</v>
      </c>
      <c r="AP10" s="32" t="n">
        <v>2.37</v>
      </c>
      <c r="AQ10" s="32" t="n">
        <v>379.39</v>
      </c>
      <c r="AR10" s="34" t="n">
        <v>0</v>
      </c>
      <c r="AS10" s="34" t="n">
        <v>0.165</v>
      </c>
      <c r="AT10" s="34" t="n">
        <v>1.778</v>
      </c>
      <c r="AU10" s="34" t="n">
        <v>2.667</v>
      </c>
      <c r="AV10" s="34" t="n">
        <v>4.0005</v>
      </c>
      <c r="AW10" s="34" t="n">
        <v>5.334</v>
      </c>
      <c r="AX10" s="34" t="n">
        <v>6.6675</v>
      </c>
      <c r="AY10" s="32" t="n">
        <v>400.09</v>
      </c>
      <c r="AZ10" s="32" t="n">
        <v>165.461</v>
      </c>
      <c r="BA10" s="39" t="n">
        <f aca="false">G10/H10</f>
        <v>0.124112607099143</v>
      </c>
      <c r="BB10" s="23" t="n">
        <f aca="false">Holdings!$P10</f>
        <v>366.97</v>
      </c>
    </row>
    <row r="11" customFormat="false" ht="15" hidden="false" customHeight="true" outlineLevel="0" collapsed="false">
      <c r="A11" s="31" t="s">
        <v>507</v>
      </c>
      <c r="B11" s="31" t="s">
        <v>508</v>
      </c>
      <c r="C11" s="31" t="s">
        <v>498</v>
      </c>
      <c r="D11" s="28" t="n">
        <v>1</v>
      </c>
      <c r="E11" s="28" t="n">
        <v>1</v>
      </c>
      <c r="F11" s="28" t="n">
        <v>4</v>
      </c>
      <c r="G11" s="32" t="n">
        <v>88.8</v>
      </c>
      <c r="H11" s="32" t="n">
        <v>595.8</v>
      </c>
      <c r="I11" s="33" t="n">
        <v>0.118</v>
      </c>
      <c r="J11" s="32" t="n">
        <v>7.446</v>
      </c>
      <c r="K11" s="32" t="n">
        <v>105.532</v>
      </c>
      <c r="L11" s="32" t="n">
        <v>-2.229</v>
      </c>
      <c r="M11" s="32" t="n">
        <v>47.747</v>
      </c>
      <c r="N11" s="32" t="n">
        <v>-7.509</v>
      </c>
      <c r="O11" s="34" t="n">
        <v>2.5</v>
      </c>
      <c r="P11" s="32" t="n">
        <v>0</v>
      </c>
      <c r="Q11" s="32" t="n">
        <v>20.9</v>
      </c>
      <c r="R11" s="32" t="n">
        <v>12.6</v>
      </c>
      <c r="S11" s="32" t="n">
        <v>12</v>
      </c>
      <c r="T11" s="32" t="n">
        <v>8.5</v>
      </c>
      <c r="U11" s="32" t="n">
        <v>0</v>
      </c>
      <c r="V11" s="32" t="n">
        <v>0</v>
      </c>
      <c r="W11" s="23" t="n">
        <f aca="false">SUM(BDC_EAD!H$31:H$52)+SUM(BDC_EAD!H$81:H$102)</f>
        <v>2.651772</v>
      </c>
      <c r="X11" s="23" t="n">
        <f aca="false">SUM(BDC_EAD!H$6:H$27)+SUM(BDC_EAD!H$56:H$77)</f>
        <v>5.792229</v>
      </c>
      <c r="Y11" s="35" t="n">
        <f aca="false">MAX(0,Q11-W11)</f>
        <v>18.248228</v>
      </c>
      <c r="Z11" s="35" t="n">
        <f aca="false">MAX(0,R11-(X11-W11))</f>
        <v>9.459543</v>
      </c>
      <c r="AA11" s="32" t="n">
        <v>0</v>
      </c>
      <c r="AB11" s="32" t="n">
        <v>100.328</v>
      </c>
      <c r="AC11" s="32" t="n">
        <v>0</v>
      </c>
      <c r="AD11" s="32" t="n">
        <v>0</v>
      </c>
      <c r="AE11" s="36" t="n">
        <v>4.55</v>
      </c>
      <c r="AF11" s="32" t="n">
        <v>16.4</v>
      </c>
      <c r="AG11" s="32" t="n">
        <v>319.165</v>
      </c>
      <c r="AH11" s="37" t="n">
        <v>1.29</v>
      </c>
      <c r="AI11" s="32" t="n">
        <v>159.3</v>
      </c>
      <c r="AJ11" s="32" t="n">
        <v>446.068</v>
      </c>
      <c r="AK11" s="32" t="n">
        <v>9.4</v>
      </c>
      <c r="AL11" s="32" t="n">
        <v>152.757</v>
      </c>
      <c r="AM11" s="38" t="n">
        <v>0.4508700257225</v>
      </c>
      <c r="AN11" s="35" t="n">
        <f aca="false">AL11*AM11</f>
        <v>68.8735525192919</v>
      </c>
      <c r="AO11" s="32" t="n">
        <v>0</v>
      </c>
      <c r="AP11" s="32" t="n">
        <v>0</v>
      </c>
      <c r="AQ11" s="36" t="n">
        <v>159.5825</v>
      </c>
      <c r="AR11" s="34" t="n">
        <v>0</v>
      </c>
      <c r="AS11" s="34" t="n">
        <v>0.427</v>
      </c>
      <c r="AT11" s="34" t="n">
        <v>0.875</v>
      </c>
      <c r="AU11" s="34" t="n">
        <v>1.3125</v>
      </c>
      <c r="AV11" s="34" t="n">
        <v>1.96875</v>
      </c>
      <c r="AW11" s="34" t="n">
        <v>2.625</v>
      </c>
      <c r="AX11" s="34" t="n">
        <v>3.28125</v>
      </c>
      <c r="AY11" s="32" t="n">
        <v>297.64</v>
      </c>
      <c r="AZ11" s="32" t="n">
        <v>120.379</v>
      </c>
      <c r="BA11" s="39" t="n">
        <f aca="false">G11/H11</f>
        <v>0.149043303121853</v>
      </c>
      <c r="BB11" s="23" t="n">
        <f aca="false">Holdings!$P11</f>
        <v>297.98</v>
      </c>
    </row>
    <row r="12" customFormat="false" ht="15" hidden="false" customHeight="true" outlineLevel="0" collapsed="false">
      <c r="A12" s="31" t="s">
        <v>509</v>
      </c>
      <c r="B12" s="31" t="s">
        <v>509</v>
      </c>
      <c r="C12" s="31" t="s">
        <v>498</v>
      </c>
      <c r="D12" s="28" t="n">
        <v>0</v>
      </c>
      <c r="E12" s="28" t="n">
        <v>0</v>
      </c>
      <c r="F12" s="28" t="n">
        <v>4</v>
      </c>
      <c r="G12" s="32" t="n">
        <v>49.1</v>
      </c>
      <c r="H12" s="32" t="n">
        <v>500.8</v>
      </c>
      <c r="I12" s="33" t="n">
        <v>0.07</v>
      </c>
      <c r="J12" s="32" t="n">
        <v>2.777</v>
      </c>
      <c r="K12" s="32" t="n">
        <v>71.1</v>
      </c>
      <c r="L12" s="32" t="n">
        <v>-2.107</v>
      </c>
      <c r="M12" s="32" t="n">
        <v>78.406</v>
      </c>
      <c r="N12" s="32" t="n">
        <v>-2.884</v>
      </c>
      <c r="O12" s="34" t="n">
        <v>2.5</v>
      </c>
      <c r="P12" s="32" t="n">
        <v>0</v>
      </c>
      <c r="Q12" s="32" t="n">
        <v>34.8</v>
      </c>
      <c r="R12" s="32" t="n">
        <v>15.6</v>
      </c>
      <c r="S12" s="32" t="n">
        <v>27.1</v>
      </c>
      <c r="T12" s="32" t="n">
        <v>18.9</v>
      </c>
      <c r="U12" s="32" t="n">
        <v>0</v>
      </c>
      <c r="V12" s="32" t="n">
        <v>0</v>
      </c>
      <c r="W12" s="23" t="n">
        <f aca="false">SUM(BDC_EAD!I$31:I$52)+SUM(BDC_EAD!I$81:I$102)</f>
        <v>0.110746</v>
      </c>
      <c r="X12" s="23" t="n">
        <f aca="false">SUM(BDC_EAD!I$6:I$27)+SUM(BDC_EAD!I$56:I$77)</f>
        <v>0.51562</v>
      </c>
      <c r="Y12" s="35" t="n">
        <f aca="false">MAX(0,Q12-W12)</f>
        <v>34.689254</v>
      </c>
      <c r="Z12" s="35" t="n">
        <f aca="false">MAX(0,R12-(X12-W12))</f>
        <v>15.195126</v>
      </c>
      <c r="AA12" s="32" t="n">
        <v>0</v>
      </c>
      <c r="AB12" s="32" t="n">
        <v>0</v>
      </c>
      <c r="AC12" s="32" t="n">
        <v>0</v>
      </c>
      <c r="AD12" s="32" t="n">
        <v>0</v>
      </c>
      <c r="AE12" s="36" t="n">
        <v>0</v>
      </c>
      <c r="AF12" s="32" t="n">
        <v>47.15</v>
      </c>
      <c r="AG12" s="36" t="n">
        <v>104.7</v>
      </c>
      <c r="AH12" s="38" t="n">
        <v>1.1</v>
      </c>
      <c r="AI12" s="32" t="n">
        <v>204.9</v>
      </c>
      <c r="AJ12" s="32" t="n">
        <v>449.792</v>
      </c>
      <c r="AK12" s="32" t="n">
        <v>2.767</v>
      </c>
      <c r="AL12" s="32" t="n">
        <v>0</v>
      </c>
      <c r="AM12" s="38" t="n">
        <v>0.105</v>
      </c>
      <c r="AN12" s="35" t="n">
        <f aca="false">AL12*AM12</f>
        <v>0</v>
      </c>
      <c r="AO12" s="32" t="n">
        <v>0</v>
      </c>
      <c r="AP12" s="32" t="n">
        <v>0</v>
      </c>
      <c r="AQ12" s="32" t="n">
        <v>124.4</v>
      </c>
      <c r="AR12" s="34" t="n">
        <v>0</v>
      </c>
      <c r="AS12" s="34" t="n">
        <v>0.5</v>
      </c>
      <c r="AT12" s="34" t="n">
        <v>1</v>
      </c>
      <c r="AU12" s="34" t="n">
        <v>1.5</v>
      </c>
      <c r="AV12" s="34" t="n">
        <v>2</v>
      </c>
      <c r="AW12" s="34" t="n">
        <v>2</v>
      </c>
      <c r="AX12" s="34" t="n">
        <v>2</v>
      </c>
      <c r="AY12" s="36" t="n">
        <v>18.29316</v>
      </c>
      <c r="AZ12" s="36" t="n">
        <v>18.29316</v>
      </c>
      <c r="BA12" s="39" t="n">
        <f aca="false">G12/H12</f>
        <v>0.0980431309904153</v>
      </c>
      <c r="BB12" s="23" t="n">
        <f aca="false">Holdings!$P12</f>
        <v>9.15</v>
      </c>
    </row>
    <row r="13" customFormat="false" ht="15" hidden="false" customHeight="true" outlineLevel="0" collapsed="false">
      <c r="A13" s="31" t="s">
        <v>510</v>
      </c>
      <c r="B13" s="31" t="s">
        <v>511</v>
      </c>
      <c r="C13" s="31" t="s">
        <v>498</v>
      </c>
      <c r="D13" s="28" t="n">
        <v>0</v>
      </c>
      <c r="E13" s="28" t="n">
        <v>0</v>
      </c>
      <c r="F13" s="28" t="n">
        <v>4</v>
      </c>
      <c r="G13" s="32" t="n">
        <v>55</v>
      </c>
      <c r="H13" s="32" t="n">
        <v>508.2</v>
      </c>
      <c r="I13" s="33" t="n">
        <v>0.071</v>
      </c>
      <c r="J13" s="32" t="n">
        <v>3.258</v>
      </c>
      <c r="K13" s="32" t="n">
        <v>89.085</v>
      </c>
      <c r="L13" s="32" t="n">
        <v>-4.444</v>
      </c>
      <c r="M13" s="32" t="n">
        <v>74.085</v>
      </c>
      <c r="N13" s="32" t="n">
        <v>-9.463</v>
      </c>
      <c r="O13" s="34" t="n">
        <v>2.5</v>
      </c>
      <c r="P13" s="32" t="n">
        <v>0</v>
      </c>
      <c r="Q13" s="32" t="n">
        <v>14.2</v>
      </c>
      <c r="R13" s="32" t="n">
        <v>5.9</v>
      </c>
      <c r="S13" s="32" t="n">
        <v>14.4</v>
      </c>
      <c r="T13" s="32" t="n">
        <v>12.2</v>
      </c>
      <c r="U13" s="32" t="n">
        <v>0</v>
      </c>
      <c r="V13" s="32" t="n">
        <v>0</v>
      </c>
      <c r="W13" s="23" t="n">
        <f aca="false">SUM(BDC_EAD!J$31:J$52)+SUM(BDC_EAD!J$81:J$102)</f>
        <v>0.359937</v>
      </c>
      <c r="X13" s="23" t="n">
        <f aca="false">SUM(BDC_EAD!J$6:J$27)+SUM(BDC_EAD!J$56:J$77)</f>
        <v>1.475541</v>
      </c>
      <c r="Y13" s="35" t="n">
        <f aca="false">MAX(0,Q13-W13)</f>
        <v>13.840063</v>
      </c>
      <c r="Z13" s="35" t="n">
        <f aca="false">MAX(0,R13-(X13-W13))</f>
        <v>4.784396</v>
      </c>
      <c r="AA13" s="32" t="n">
        <v>0</v>
      </c>
      <c r="AB13" s="32" t="n">
        <v>0</v>
      </c>
      <c r="AC13" s="32" t="n">
        <v>0</v>
      </c>
      <c r="AD13" s="32" t="n">
        <v>0</v>
      </c>
      <c r="AE13" s="36" t="n">
        <v>0</v>
      </c>
      <c r="AF13" s="32" t="n">
        <v>50.72</v>
      </c>
      <c r="AG13" s="36" t="n">
        <v>108.834</v>
      </c>
      <c r="AH13" s="37" t="n">
        <v>1.076</v>
      </c>
      <c r="AI13" s="32" t="n">
        <v>282.9</v>
      </c>
      <c r="AJ13" s="32" t="n">
        <v>532.066</v>
      </c>
      <c r="AK13" s="32" t="n">
        <v>37.337</v>
      </c>
      <c r="AL13" s="32" t="n">
        <v>8.77</v>
      </c>
      <c r="AM13" s="38" t="n">
        <v>0.105</v>
      </c>
      <c r="AN13" s="35" t="n">
        <f aca="false">AL13*AM13</f>
        <v>0.92085</v>
      </c>
      <c r="AO13" s="32" t="n">
        <v>0</v>
      </c>
      <c r="AP13" s="32" t="n">
        <v>1.06</v>
      </c>
      <c r="AQ13" s="32" t="n">
        <v>192.854</v>
      </c>
      <c r="AR13" s="34" t="n">
        <v>0</v>
      </c>
      <c r="AS13" s="34" t="n">
        <v>0.075</v>
      </c>
      <c r="AT13" s="34" t="n">
        <v>0.15</v>
      </c>
      <c r="AU13" s="34" t="n">
        <v>0.225</v>
      </c>
      <c r="AV13" s="34" t="n">
        <v>0.3</v>
      </c>
      <c r="AW13" s="34" t="n">
        <v>0.3</v>
      </c>
      <c r="AX13" s="34" t="n">
        <v>0.3</v>
      </c>
      <c r="AY13" s="36" t="n">
        <v>21.16665</v>
      </c>
      <c r="AZ13" s="36" t="n">
        <v>21.16665</v>
      </c>
      <c r="BA13" s="39" t="n">
        <f aca="false">G13/H13</f>
        <v>0.108225108225108</v>
      </c>
      <c r="BB13" s="23" t="n">
        <f aca="false">Holdings!$P13</f>
        <v>13.01</v>
      </c>
    </row>
    <row r="14" customFormat="false" ht="15" hidden="false" customHeight="true" outlineLevel="0" collapsed="false">
      <c r="A14" s="31" t="s">
        <v>512</v>
      </c>
      <c r="B14" s="31" t="s">
        <v>513</v>
      </c>
      <c r="C14" s="31" t="s">
        <v>498</v>
      </c>
      <c r="D14" s="28" t="n">
        <v>0</v>
      </c>
      <c r="E14" s="28" t="n">
        <v>0</v>
      </c>
      <c r="F14" s="28" t="n">
        <v>3</v>
      </c>
      <c r="G14" s="32" t="n">
        <v>46.3</v>
      </c>
      <c r="H14" s="32" t="n">
        <v>431.8</v>
      </c>
      <c r="I14" s="33" t="n">
        <v>0.07</v>
      </c>
      <c r="J14" s="32" t="n">
        <v>2.21</v>
      </c>
      <c r="K14" s="32" t="n">
        <v>67.651</v>
      </c>
      <c r="L14" s="32" t="n">
        <v>-4.674</v>
      </c>
      <c r="M14" s="32" t="n">
        <v>46.351</v>
      </c>
      <c r="N14" s="32" t="n">
        <v>-8.206</v>
      </c>
      <c r="O14" s="34" t="n">
        <v>2.5</v>
      </c>
      <c r="P14" s="32" t="n">
        <v>0</v>
      </c>
      <c r="Q14" s="32" t="n">
        <v>22.7</v>
      </c>
      <c r="R14" s="32" t="n">
        <v>19.1</v>
      </c>
      <c r="S14" s="32" t="n">
        <v>5.4</v>
      </c>
      <c r="T14" s="32" t="n">
        <v>4.3</v>
      </c>
      <c r="U14" s="32" t="n">
        <v>0</v>
      </c>
      <c r="V14" s="32" t="n">
        <v>0</v>
      </c>
      <c r="W14" s="23" t="n">
        <f aca="false">SUM(BDC_EAD!K$31:K$52)+SUM(BDC_EAD!K$81:K$102)</f>
        <v>1.175366</v>
      </c>
      <c r="X14" s="23" t="n">
        <f aca="false">SUM(BDC_EAD!K$6:K$27)+SUM(BDC_EAD!K$56:K$77)</f>
        <v>2.914783</v>
      </c>
      <c r="Y14" s="35" t="n">
        <f aca="false">MAX(0,Q14-W14)</f>
        <v>21.524634</v>
      </c>
      <c r="Z14" s="35" t="n">
        <f aca="false">MAX(0,R14-(X14-W14))</f>
        <v>17.360583</v>
      </c>
      <c r="AA14" s="32" t="n">
        <v>0</v>
      </c>
      <c r="AB14" s="32" t="n">
        <v>0</v>
      </c>
      <c r="AC14" s="32" t="n">
        <v>0</v>
      </c>
      <c r="AD14" s="32" t="n">
        <v>0</v>
      </c>
      <c r="AE14" s="36" t="n">
        <v>0</v>
      </c>
      <c r="AF14" s="32" t="n">
        <v>51.02</v>
      </c>
      <c r="AG14" s="32" t="n">
        <v>92.8</v>
      </c>
      <c r="AH14" s="37" t="n">
        <v>1.13</v>
      </c>
      <c r="AI14" s="32" t="n">
        <v>188.3</v>
      </c>
      <c r="AJ14" s="32" t="n">
        <v>409.379</v>
      </c>
      <c r="AK14" s="32" t="n">
        <v>3.414</v>
      </c>
      <c r="AL14" s="32" t="n">
        <v>5.871</v>
      </c>
      <c r="AM14" s="38" t="n">
        <v>0.105</v>
      </c>
      <c r="AN14" s="35" t="n">
        <f aca="false">AL14*AM14</f>
        <v>0.616455</v>
      </c>
      <c r="AO14" s="32" t="n">
        <v>5.98</v>
      </c>
      <c r="AP14" s="32" t="n">
        <v>0.05</v>
      </c>
      <c r="AQ14" s="32" t="n">
        <v>108.495</v>
      </c>
      <c r="AR14" s="34" t="n">
        <v>0</v>
      </c>
      <c r="AS14" s="34" t="n">
        <v>0.0928</v>
      </c>
      <c r="AT14" s="34" t="n">
        <v>0.1856</v>
      </c>
      <c r="AU14" s="34" t="n">
        <v>0.2784</v>
      </c>
      <c r="AV14" s="34" t="n">
        <v>0.3712</v>
      </c>
      <c r="AW14" s="34" t="n">
        <v>0.464</v>
      </c>
      <c r="AX14" s="34" t="n">
        <v>0.5568</v>
      </c>
      <c r="AY14" s="36" t="n">
        <v>16.45038</v>
      </c>
      <c r="AZ14" s="36" t="n">
        <v>16.45038</v>
      </c>
      <c r="BA14" s="39" t="n">
        <f aca="false">G14/H14</f>
        <v>0.107225567392311</v>
      </c>
      <c r="BB14" s="23" t="n">
        <f aca="false">Holdings!$P14</f>
        <v>4.41</v>
      </c>
    </row>
    <row r="15" customFormat="false" ht="15" hidden="false" customHeight="true" outlineLevel="0" collapsed="false">
      <c r="A15" s="31" t="s">
        <v>514</v>
      </c>
      <c r="B15" s="31" t="s">
        <v>515</v>
      </c>
      <c r="C15" s="31" t="s">
        <v>498</v>
      </c>
      <c r="D15" s="28" t="n">
        <v>1</v>
      </c>
      <c r="E15" s="28" t="n">
        <v>1</v>
      </c>
      <c r="F15" s="28" t="n">
        <v>5</v>
      </c>
      <c r="G15" s="32" t="n">
        <v>15.4</v>
      </c>
      <c r="H15" s="32" t="n">
        <v>140.6</v>
      </c>
      <c r="I15" s="33" t="n">
        <v>0.08</v>
      </c>
      <c r="J15" s="32" t="n">
        <v>1.389</v>
      </c>
      <c r="K15" s="32" t="n">
        <v>72.297</v>
      </c>
      <c r="L15" s="32" t="n">
        <v>0</v>
      </c>
      <c r="M15" s="32" t="n">
        <v>35.29</v>
      </c>
      <c r="N15" s="32" t="n">
        <v>-4.186</v>
      </c>
      <c r="O15" s="34" t="n">
        <v>2.5</v>
      </c>
      <c r="P15" s="32" t="n">
        <v>0</v>
      </c>
      <c r="Q15" s="32" t="n">
        <v>22.3</v>
      </c>
      <c r="R15" s="32" t="n">
        <v>6.7</v>
      </c>
      <c r="S15" s="32" t="n">
        <v>10.7</v>
      </c>
      <c r="T15" s="32" t="n">
        <v>5.3</v>
      </c>
      <c r="U15" s="32" t="n">
        <v>0</v>
      </c>
      <c r="V15" s="32" t="n">
        <v>0</v>
      </c>
      <c r="W15" s="23" t="n">
        <f aca="false">SUM(BDC_EAD!L$31:L$52)+SUM(BDC_EAD!L$81:L$102)</f>
        <v>0.586001</v>
      </c>
      <c r="X15" s="23" t="n">
        <f aca="false">SUM(BDC_EAD!L$6:L$27)+SUM(BDC_EAD!L$56:L$77)</f>
        <v>1.995399</v>
      </c>
      <c r="Y15" s="35" t="n">
        <f aca="false">MAX(0,Q15-W15)</f>
        <v>21.713999</v>
      </c>
      <c r="Z15" s="35" t="n">
        <f aca="false">MAX(0,R15-(X15-W15))</f>
        <v>5.290602</v>
      </c>
      <c r="AA15" s="32" t="n">
        <v>0</v>
      </c>
      <c r="AB15" s="32" t="n">
        <v>0</v>
      </c>
      <c r="AC15" s="32" t="n">
        <v>0</v>
      </c>
      <c r="AD15" s="32" t="n">
        <v>0</v>
      </c>
      <c r="AE15" s="36" t="n">
        <v>0</v>
      </c>
      <c r="AF15" s="32" t="n">
        <v>2.29</v>
      </c>
      <c r="AG15" s="32" t="n">
        <v>105.683</v>
      </c>
      <c r="AH15" s="37" t="n">
        <v>1.07</v>
      </c>
      <c r="AI15" s="32" t="n">
        <v>247.603</v>
      </c>
      <c r="AJ15" s="32" t="n">
        <v>319.547</v>
      </c>
      <c r="AK15" s="32" t="n">
        <v>4.372</v>
      </c>
      <c r="AL15" s="32" t="n">
        <v>0.395</v>
      </c>
      <c r="AM15" s="38" t="n">
        <v>0.149655429316446</v>
      </c>
      <c r="AN15" s="35" t="n">
        <f aca="false">AL15*AM15</f>
        <v>0.0591138945799962</v>
      </c>
      <c r="AO15" s="32" t="n">
        <v>0</v>
      </c>
      <c r="AP15" s="32" t="n">
        <v>0</v>
      </c>
      <c r="AQ15" s="32" t="n">
        <v>82.79</v>
      </c>
      <c r="AR15" s="34" t="n">
        <v>0</v>
      </c>
      <c r="AS15" s="34" t="n">
        <v>0.33</v>
      </c>
      <c r="AT15" s="34" t="n">
        <v>0.66</v>
      </c>
      <c r="AU15" s="34" t="n">
        <v>0.99</v>
      </c>
      <c r="AV15" s="34" t="n">
        <v>1.32</v>
      </c>
      <c r="AW15" s="34" t="n">
        <v>1.65</v>
      </c>
      <c r="AX15" s="34" t="n">
        <v>1.65</v>
      </c>
      <c r="AY15" s="32" t="n">
        <v>103.682</v>
      </c>
      <c r="AZ15" s="32" t="n">
        <v>302.325</v>
      </c>
      <c r="BA15" s="39" t="n">
        <f aca="false">G15/H15</f>
        <v>0.109530583214794</v>
      </c>
      <c r="BB15" s="23" t="n">
        <f aca="false">Holdings!$P15</f>
        <v>16.07</v>
      </c>
    </row>
    <row r="16" customFormat="false" ht="15" hidden="false" customHeight="true" outlineLevel="0" collapsed="false">
      <c r="A16" s="31" t="s">
        <v>516</v>
      </c>
      <c r="B16" s="31" t="s">
        <v>517</v>
      </c>
      <c r="C16" s="31" t="s">
        <v>498</v>
      </c>
      <c r="D16" s="28" t="n">
        <v>1</v>
      </c>
      <c r="E16" s="28" t="n">
        <v>1</v>
      </c>
      <c r="F16" s="28" t="n">
        <v>5</v>
      </c>
      <c r="G16" s="32" t="n">
        <v>21</v>
      </c>
      <c r="H16" s="32" t="n">
        <v>191.8</v>
      </c>
      <c r="I16" s="33" t="n">
        <v>0.085</v>
      </c>
      <c r="J16" s="32" t="n">
        <v>2.259</v>
      </c>
      <c r="K16" s="32" t="n">
        <v>107.4</v>
      </c>
      <c r="L16" s="32" t="n">
        <v>-0.703</v>
      </c>
      <c r="M16" s="32" t="n">
        <v>48.239</v>
      </c>
      <c r="N16" s="32" t="n">
        <v>-2.939</v>
      </c>
      <c r="O16" s="34" t="n">
        <v>2.5</v>
      </c>
      <c r="P16" s="32" t="n">
        <v>0</v>
      </c>
      <c r="Q16" s="32" t="n">
        <v>0.364</v>
      </c>
      <c r="R16" s="32" t="n">
        <v>0.385</v>
      </c>
      <c r="S16" s="32" t="n">
        <v>5.185</v>
      </c>
      <c r="T16" s="32" t="n">
        <v>3.227</v>
      </c>
      <c r="U16" s="32" t="n">
        <v>0</v>
      </c>
      <c r="V16" s="32" t="n">
        <v>0</v>
      </c>
      <c r="W16" s="23" t="n">
        <f aca="false">SUM(BDC_EAD!M$31:M$52)+SUM(BDC_EAD!M$81:M$102)</f>
        <v>0.341158</v>
      </c>
      <c r="X16" s="23" t="n">
        <f aca="false">SUM(BDC_EAD!M$6:M$27)+SUM(BDC_EAD!M$56:M$77)</f>
        <v>0.863781</v>
      </c>
      <c r="Y16" s="35" t="n">
        <f aca="false">MAX(0,Q16-W16)</f>
        <v>0.022842</v>
      </c>
      <c r="Z16" s="35" t="n">
        <f aca="false">MAX(0,R16-(X16-W16))</f>
        <v>0</v>
      </c>
      <c r="AA16" s="32" t="n">
        <v>0</v>
      </c>
      <c r="AB16" s="32" t="n">
        <v>30.2</v>
      </c>
      <c r="AC16" s="32" t="n">
        <v>0</v>
      </c>
      <c r="AD16" s="32" t="n">
        <v>0</v>
      </c>
      <c r="AE16" s="36" t="n">
        <v>0</v>
      </c>
      <c r="AF16" s="32" t="n">
        <v>5.63</v>
      </c>
      <c r="AG16" s="32" t="n">
        <v>142</v>
      </c>
      <c r="AH16" s="37" t="n">
        <v>1.11</v>
      </c>
      <c r="AI16" s="32" t="n">
        <v>254.043</v>
      </c>
      <c r="AJ16" s="32" t="n">
        <v>370.541</v>
      </c>
      <c r="AK16" s="32" t="n">
        <v>5.217</v>
      </c>
      <c r="AL16" s="32" t="n">
        <v>26.114</v>
      </c>
      <c r="AM16" s="38" t="n">
        <v>0.166842268360707</v>
      </c>
      <c r="AN16" s="35" t="n">
        <f aca="false">AL16*AM16</f>
        <v>4.3569189959715</v>
      </c>
      <c r="AO16" s="32" t="n">
        <v>0</v>
      </c>
      <c r="AP16" s="32" t="n">
        <v>0.7</v>
      </c>
      <c r="AQ16" s="32" t="n">
        <v>92</v>
      </c>
      <c r="AR16" s="34" t="n">
        <v>0</v>
      </c>
      <c r="AS16" s="34" t="n">
        <v>0.0198</v>
      </c>
      <c r="AT16" s="34" t="n">
        <v>0.0396</v>
      </c>
      <c r="AU16" s="34" t="n">
        <v>0.0594</v>
      </c>
      <c r="AV16" s="34" t="n">
        <v>0.0792</v>
      </c>
      <c r="AW16" s="34" t="n">
        <v>0.099</v>
      </c>
      <c r="AX16" s="34" t="n">
        <v>0.099</v>
      </c>
      <c r="AY16" s="32" t="n">
        <v>95.998</v>
      </c>
      <c r="AZ16" s="32" t="n">
        <v>379.653</v>
      </c>
      <c r="BA16" s="39" t="n">
        <f aca="false">G16/H16</f>
        <v>0.109489051094891</v>
      </c>
      <c r="BB16" s="23" t="n">
        <f aca="false">Holdings!$P16</f>
        <v>26.92</v>
      </c>
    </row>
    <row r="17" customFormat="false" ht="15" hidden="false" customHeight="true" outlineLevel="0" collapsed="false">
      <c r="A17" s="31" t="s">
        <v>518</v>
      </c>
      <c r="B17" s="31" t="s">
        <v>519</v>
      </c>
      <c r="C17" s="31" t="s">
        <v>498</v>
      </c>
      <c r="D17" s="28" t="n">
        <v>0</v>
      </c>
      <c r="E17" s="28" t="n">
        <v>0</v>
      </c>
      <c r="F17" s="28" t="n">
        <v>2</v>
      </c>
      <c r="G17" s="32" t="n">
        <v>19.885</v>
      </c>
      <c r="H17" s="32" t="n">
        <v>184.6</v>
      </c>
      <c r="I17" s="33" t="n">
        <v>0.07</v>
      </c>
      <c r="J17" s="32" t="n">
        <v>0.881</v>
      </c>
      <c r="K17" s="32" t="n">
        <v>33.983</v>
      </c>
      <c r="L17" s="32" t="n">
        <v>-0.527</v>
      </c>
      <c r="M17" s="32" t="n">
        <v>9.418</v>
      </c>
      <c r="N17" s="32" t="n">
        <v>-1.204</v>
      </c>
      <c r="O17" s="34" t="n">
        <v>2.5</v>
      </c>
      <c r="P17" s="32" t="n">
        <v>0</v>
      </c>
      <c r="Q17" s="32" t="n">
        <v>2.3</v>
      </c>
      <c r="R17" s="32" t="n">
        <v>1.4</v>
      </c>
      <c r="S17" s="32" t="n">
        <v>35</v>
      </c>
      <c r="T17" s="32" t="n">
        <v>13.6</v>
      </c>
      <c r="U17" s="32" t="n">
        <v>0</v>
      </c>
      <c r="V17" s="32" t="n">
        <v>0</v>
      </c>
      <c r="W17" s="23" t="n">
        <f aca="false">SUM(BDC_EAD!N$31:N$52)+SUM(BDC_EAD!N$81:N$102)</f>
        <v>0.179924</v>
      </c>
      <c r="X17" s="23" t="n">
        <f aca="false">SUM(BDC_EAD!N$6:N$27)+SUM(BDC_EAD!N$56:N$77)</f>
        <v>0.445406</v>
      </c>
      <c r="Y17" s="35" t="n">
        <f aca="false">MAX(0,Q17-W17)</f>
        <v>2.120076</v>
      </c>
      <c r="Z17" s="35" t="n">
        <f aca="false">MAX(0,R17-(X17-W17))</f>
        <v>1.134518</v>
      </c>
      <c r="AA17" s="32" t="n">
        <v>0</v>
      </c>
      <c r="AB17" s="32" t="n">
        <v>0</v>
      </c>
      <c r="AC17" s="32" t="n">
        <v>0</v>
      </c>
      <c r="AD17" s="32" t="n">
        <v>0</v>
      </c>
      <c r="AE17" s="36" t="n">
        <v>0</v>
      </c>
      <c r="AF17" s="32" t="n">
        <v>38.81</v>
      </c>
      <c r="AG17" s="32" t="n">
        <v>59.14</v>
      </c>
      <c r="AH17" s="38" t="n">
        <v>1.1</v>
      </c>
      <c r="AI17" s="32" t="n">
        <v>65.06</v>
      </c>
      <c r="AJ17" s="32" t="n">
        <v>173.427</v>
      </c>
      <c r="AK17" s="32" t="n">
        <v>0</v>
      </c>
      <c r="AL17" s="32" t="n">
        <v>0.152</v>
      </c>
      <c r="AM17" s="38" t="n">
        <v>0.105</v>
      </c>
      <c r="AN17" s="35" t="n">
        <f aca="false">AL17*AM17</f>
        <v>0.01596</v>
      </c>
      <c r="AO17" s="32" t="n">
        <v>0</v>
      </c>
      <c r="AP17" s="32" t="n">
        <v>0</v>
      </c>
      <c r="AQ17" s="32" t="n">
        <v>30.52</v>
      </c>
      <c r="AR17" s="34" t="n">
        <v>0</v>
      </c>
      <c r="AS17" s="34" t="n">
        <v>0.05914</v>
      </c>
      <c r="AT17" s="34" t="n">
        <v>0.11828</v>
      </c>
      <c r="AU17" s="34" t="n">
        <v>0.17742</v>
      </c>
      <c r="AV17" s="34" t="n">
        <v>0.23656</v>
      </c>
      <c r="AW17" s="34" t="n">
        <v>0.2957</v>
      </c>
      <c r="AX17" s="34" t="n">
        <v>0.35484</v>
      </c>
      <c r="AY17" s="36" t="n">
        <v>7.08951</v>
      </c>
      <c r="AZ17" s="36" t="n">
        <v>7.08951</v>
      </c>
      <c r="BA17" s="39" t="n">
        <f aca="false">G17/H17</f>
        <v>0.107719393282774</v>
      </c>
      <c r="BB17" s="23" t="n">
        <f aca="false">Holdings!$P17</f>
        <v>0.16</v>
      </c>
    </row>
    <row r="18" customFormat="false" ht="15" hidden="false" customHeight="true" outlineLevel="0" collapsed="false">
      <c r="A18" s="31" t="s">
        <v>520</v>
      </c>
      <c r="B18" s="31" t="s">
        <v>521</v>
      </c>
      <c r="C18" s="31" t="s">
        <v>498</v>
      </c>
      <c r="D18" s="28" t="n">
        <v>0</v>
      </c>
      <c r="E18" s="28" t="n">
        <v>0</v>
      </c>
      <c r="F18" s="28" t="n">
        <v>3</v>
      </c>
      <c r="G18" s="32" t="n">
        <v>18.7</v>
      </c>
      <c r="H18" s="32" t="n">
        <v>177.3</v>
      </c>
      <c r="I18" s="33" t="n">
        <v>0.09</v>
      </c>
      <c r="J18" s="32" t="n">
        <v>0.889</v>
      </c>
      <c r="K18" s="32" t="n">
        <v>37.448</v>
      </c>
      <c r="L18" s="32" t="n">
        <v>-1.501</v>
      </c>
      <c r="M18" s="32" t="n">
        <v>7.638</v>
      </c>
      <c r="N18" s="32" t="n">
        <v>-0.854</v>
      </c>
      <c r="O18" s="34" t="n">
        <v>2.5</v>
      </c>
      <c r="P18" s="32" t="n">
        <v>0</v>
      </c>
      <c r="Q18" s="32" t="n">
        <v>6.1</v>
      </c>
      <c r="R18" s="32" t="n">
        <v>3.6</v>
      </c>
      <c r="S18" s="32" t="n">
        <v>9.8</v>
      </c>
      <c r="T18" s="32" t="n">
        <v>9.8</v>
      </c>
      <c r="U18" s="32" t="n">
        <v>0</v>
      </c>
      <c r="V18" s="32" t="n">
        <v>0</v>
      </c>
      <c r="W18" s="23" t="n">
        <f aca="false">SUM(BDC_EAD!O$31:O$52)+SUM(BDC_EAD!O$81:O$102)</f>
        <v>0.590632</v>
      </c>
      <c r="X18" s="23" t="n">
        <f aca="false">SUM(BDC_EAD!O$6:O$27)+SUM(BDC_EAD!O$56:O$77)</f>
        <v>1.062374</v>
      </c>
      <c r="Y18" s="35" t="n">
        <f aca="false">MAX(0,Q18-W18)</f>
        <v>5.509368</v>
      </c>
      <c r="Z18" s="35" t="n">
        <f aca="false">MAX(0,R18-(X18-W18))</f>
        <v>3.128258</v>
      </c>
      <c r="AA18" s="32" t="n">
        <v>0</v>
      </c>
      <c r="AB18" s="32" t="n">
        <v>0</v>
      </c>
      <c r="AC18" s="32" t="n">
        <v>0</v>
      </c>
      <c r="AD18" s="32" t="n">
        <v>0</v>
      </c>
      <c r="AE18" s="36" t="n">
        <v>0</v>
      </c>
      <c r="AF18" s="32" t="n">
        <v>26.95</v>
      </c>
      <c r="AG18" s="36" t="n">
        <v>51.3</v>
      </c>
      <c r="AH18" s="38" t="n">
        <v>1.1</v>
      </c>
      <c r="AI18" s="32" t="n">
        <v>89.617</v>
      </c>
      <c r="AJ18" s="32" t="n">
        <v>185.62</v>
      </c>
      <c r="AK18" s="32" t="n">
        <v>1.159</v>
      </c>
      <c r="AL18" s="32" t="n">
        <v>0</v>
      </c>
      <c r="AM18" s="38" t="n">
        <v>0.105</v>
      </c>
      <c r="AN18" s="35" t="n">
        <f aca="false">AL18*AM18</f>
        <v>0</v>
      </c>
      <c r="AO18" s="32" t="n">
        <v>0</v>
      </c>
      <c r="AP18" s="32" t="n">
        <v>0</v>
      </c>
      <c r="AQ18" s="32" t="n">
        <v>78.3</v>
      </c>
      <c r="AR18" s="34" t="n">
        <v>0</v>
      </c>
      <c r="AS18" s="34" t="n">
        <v>0.0513</v>
      </c>
      <c r="AT18" s="34" t="n">
        <v>0.1026</v>
      </c>
      <c r="AU18" s="34" t="n">
        <v>0.1539</v>
      </c>
      <c r="AV18" s="34" t="n">
        <v>0.2052</v>
      </c>
      <c r="AW18" s="34" t="n">
        <v>0.2565</v>
      </c>
      <c r="AX18" s="34" t="n">
        <v>0.3078</v>
      </c>
      <c r="AY18" s="36" t="n">
        <v>6.97551</v>
      </c>
      <c r="AZ18" s="36" t="n">
        <v>6.97551</v>
      </c>
      <c r="BA18" s="39" t="n">
        <f aca="false">G18/H18</f>
        <v>0.105470953186689</v>
      </c>
      <c r="BB18" s="23" t="n">
        <f aca="false">Holdings!$P18</f>
        <v>0.73</v>
      </c>
    </row>
    <row r="19" customFormat="false" ht="15" hidden="false" customHeight="true" outlineLevel="0" collapsed="false">
      <c r="A19" s="31" t="s">
        <v>522</v>
      </c>
      <c r="B19" s="31" t="s">
        <v>523</v>
      </c>
      <c r="C19" s="31" t="s">
        <v>524</v>
      </c>
      <c r="D19" s="28" t="n">
        <v>1</v>
      </c>
      <c r="E19" s="28" t="n">
        <v>1</v>
      </c>
      <c r="F19" s="28" t="n">
        <v>3</v>
      </c>
      <c r="G19" s="32" t="n">
        <v>69.21198</v>
      </c>
      <c r="H19" s="32" t="n">
        <v>483.68832</v>
      </c>
      <c r="I19" s="33" t="n">
        <v>0.122</v>
      </c>
      <c r="J19" s="32" t="n">
        <v>5.0689157</v>
      </c>
      <c r="K19" s="36" t="n">
        <v>109.68</v>
      </c>
      <c r="L19" s="36" t="n">
        <v>0</v>
      </c>
      <c r="M19" s="36" t="n">
        <v>109.68</v>
      </c>
      <c r="N19" s="36" t="n">
        <v>0</v>
      </c>
      <c r="O19" s="34" t="n">
        <v>1</v>
      </c>
      <c r="P19" s="32" t="n">
        <v>0</v>
      </c>
      <c r="Q19" s="32" t="n">
        <v>21.2144</v>
      </c>
      <c r="R19" s="32" t="n">
        <v>6.6295</v>
      </c>
      <c r="S19" s="32" t="n">
        <v>5.3036</v>
      </c>
      <c r="T19" s="32" t="n">
        <v>0</v>
      </c>
      <c r="U19" s="32" t="n">
        <v>26.518</v>
      </c>
      <c r="V19" s="32" t="n">
        <v>26.38541</v>
      </c>
      <c r="W19" s="23" t="n">
        <f aca="false">SUM(BDC_EAD!P$31:P$52)+SUM(BDC_EAD!P$81:P$102)</f>
        <v>1.249667</v>
      </c>
      <c r="X19" s="23" t="n">
        <f aca="false">SUM(BDC_EAD!P$6:P$27)+SUM(BDC_EAD!P$56:P$77)</f>
        <v>2.387078</v>
      </c>
      <c r="Y19" s="35" t="n">
        <f aca="false">MAX(0,Q19-W19)</f>
        <v>19.964733</v>
      </c>
      <c r="Z19" s="35" t="n">
        <f aca="false">MAX(0,R19-(X19-W19))</f>
        <v>5.492089</v>
      </c>
      <c r="AA19" s="32" t="n">
        <v>70</v>
      </c>
      <c r="AB19" s="32" t="n">
        <v>114.15999</v>
      </c>
      <c r="AC19" s="32" t="n">
        <v>0</v>
      </c>
      <c r="AD19" s="32" t="n">
        <v>0</v>
      </c>
      <c r="AE19" s="36" t="n">
        <v>0</v>
      </c>
      <c r="AF19" s="32" t="n">
        <v>29.36</v>
      </c>
      <c r="AG19" s="32" t="n">
        <v>425.87908</v>
      </c>
      <c r="AH19" s="37" t="n">
        <v>1.577</v>
      </c>
      <c r="AI19" s="36" t="n">
        <v>354.626075835</v>
      </c>
      <c r="AJ19" s="32" t="n">
        <v>788.0579463</v>
      </c>
      <c r="AK19" s="32" t="n">
        <v>103.81797</v>
      </c>
      <c r="AL19" s="32" t="n">
        <v>243.4644098</v>
      </c>
      <c r="AM19" s="38" t="n">
        <v>0.504315994034438</v>
      </c>
      <c r="AN19" s="35" t="n">
        <f aca="false">AL19*AM19</f>
        <v>122.782995840295</v>
      </c>
      <c r="AO19" s="32" t="n">
        <v>30.26</v>
      </c>
      <c r="AP19" s="32" t="n">
        <v>2.82</v>
      </c>
      <c r="AQ19" s="32" t="n">
        <v>459.68953</v>
      </c>
      <c r="AR19" s="34" t="n">
        <v>0</v>
      </c>
      <c r="AS19" s="34" t="n">
        <v>1.3259</v>
      </c>
      <c r="AT19" s="34" t="n">
        <v>3.9777</v>
      </c>
      <c r="AU19" s="34" t="n">
        <v>5.96655</v>
      </c>
      <c r="AV19" s="34" t="n">
        <v>8.949825</v>
      </c>
      <c r="AW19" s="34" t="n">
        <v>11.9331</v>
      </c>
      <c r="AX19" s="34" t="n">
        <v>14.916375</v>
      </c>
      <c r="AY19" s="32" t="n">
        <v>249.3889839</v>
      </c>
      <c r="AZ19" s="32" t="n">
        <v>267.2455971</v>
      </c>
      <c r="BA19" s="39" t="n">
        <f aca="false">G19/H19</f>
        <v>0.143092105263158</v>
      </c>
      <c r="BB19" s="23" t="n">
        <f aca="false">Holdings!$P19</f>
        <v>223.18</v>
      </c>
    </row>
    <row r="20" customFormat="false" ht="15" hidden="false" customHeight="true" outlineLevel="0" collapsed="false">
      <c r="A20" s="31" t="s">
        <v>525</v>
      </c>
      <c r="B20" s="31" t="s">
        <v>526</v>
      </c>
      <c r="C20" s="31" t="s">
        <v>498</v>
      </c>
      <c r="D20" s="28" t="n">
        <v>1</v>
      </c>
      <c r="E20" s="28" t="n">
        <v>1</v>
      </c>
      <c r="F20" s="28" t="n">
        <v>4</v>
      </c>
      <c r="G20" s="32" t="n">
        <v>127.7</v>
      </c>
      <c r="H20" s="32" t="n">
        <v>906.4</v>
      </c>
      <c r="I20" s="33" t="n">
        <v>0.112</v>
      </c>
      <c r="J20" s="32" t="n">
        <v>10.4</v>
      </c>
      <c r="K20" s="36" t="n">
        <v>247.365</v>
      </c>
      <c r="L20" s="32" t="n">
        <v>-2.4</v>
      </c>
      <c r="M20" s="36" t="n">
        <v>247.365</v>
      </c>
      <c r="N20" s="32" t="n">
        <v>-2.1</v>
      </c>
      <c r="O20" s="34" t="n">
        <v>1</v>
      </c>
      <c r="P20" s="32" t="n">
        <v>0</v>
      </c>
      <c r="Q20" s="32" t="n">
        <v>16</v>
      </c>
      <c r="R20" s="32" t="n">
        <v>6</v>
      </c>
      <c r="S20" s="32" t="n">
        <v>25</v>
      </c>
      <c r="T20" s="32" t="n">
        <v>0</v>
      </c>
      <c r="U20" s="32" t="n">
        <v>21.7</v>
      </c>
      <c r="V20" s="32" t="n">
        <v>0</v>
      </c>
      <c r="W20" s="23" t="n">
        <f aca="false">SUM(BDC_EAD!Q$31:Q$52)+SUM(BDC_EAD!Q$81:Q$102)</f>
        <v>0.702337</v>
      </c>
      <c r="X20" s="23" t="n">
        <f aca="false">SUM(BDC_EAD!Q$6:Q$27)+SUM(BDC_EAD!Q$56:Q$77)</f>
        <v>2.011166</v>
      </c>
      <c r="Y20" s="35" t="n">
        <f aca="false">MAX(0,Q20-W20)</f>
        <v>15.297663</v>
      </c>
      <c r="Z20" s="35" t="n">
        <f aca="false">MAX(0,R20-(X20-W20))</f>
        <v>4.691171</v>
      </c>
      <c r="AA20" s="32" t="n">
        <v>0</v>
      </c>
      <c r="AB20" s="32" t="n">
        <v>0</v>
      </c>
      <c r="AC20" s="32" t="n">
        <v>0</v>
      </c>
      <c r="AD20" s="32" t="n">
        <v>0</v>
      </c>
      <c r="AE20" s="36" t="n">
        <v>0</v>
      </c>
      <c r="AF20" s="32" t="n">
        <v>67.74</v>
      </c>
      <c r="AG20" s="32" t="n">
        <v>713.669</v>
      </c>
      <c r="AH20" s="37" t="n">
        <v>1.34</v>
      </c>
      <c r="AI20" s="36" t="n">
        <v>950.01</v>
      </c>
      <c r="AJ20" s="32" t="n">
        <v>1919.104</v>
      </c>
      <c r="AK20" s="36" t="n">
        <v>0</v>
      </c>
      <c r="AL20" s="32" t="n">
        <v>276.266</v>
      </c>
      <c r="AM20" s="38" t="n">
        <v>0.398577680525164</v>
      </c>
      <c r="AN20" s="35" t="n">
        <f aca="false">AL20*AM20</f>
        <v>110.113461487965</v>
      </c>
      <c r="AO20" s="32" t="n">
        <v>0</v>
      </c>
      <c r="AP20" s="32" t="n">
        <v>2.12</v>
      </c>
      <c r="AQ20" s="36" t="n">
        <v>356.8345</v>
      </c>
      <c r="AR20" s="34" t="n">
        <v>0</v>
      </c>
      <c r="AS20" s="34" t="n">
        <v>0.06</v>
      </c>
      <c r="AT20" s="34" t="n">
        <v>0.12</v>
      </c>
      <c r="AU20" s="34" t="n">
        <v>0.18</v>
      </c>
      <c r="AV20" s="34" t="n">
        <v>0.27</v>
      </c>
      <c r="AW20" s="34" t="n">
        <v>0.36</v>
      </c>
      <c r="AX20" s="34" t="n">
        <v>0.45</v>
      </c>
      <c r="AY20" s="32" t="n">
        <v>335.5459998</v>
      </c>
      <c r="AZ20" s="32" t="n">
        <v>314.5332084</v>
      </c>
      <c r="BA20" s="39" t="n">
        <f aca="false">G20/H20</f>
        <v>0.140887025595763</v>
      </c>
      <c r="BB20" s="23" t="n">
        <f aca="false">Holdings!$P20</f>
        <v>327.87</v>
      </c>
    </row>
    <row r="21" customFormat="false" ht="15" hidden="false" customHeight="true" outlineLevel="0" collapsed="false">
      <c r="A21" s="31" t="s">
        <v>527</v>
      </c>
      <c r="B21" s="31" t="s">
        <v>528</v>
      </c>
      <c r="C21" s="31" t="s">
        <v>529</v>
      </c>
      <c r="D21" s="28" t="n">
        <v>1</v>
      </c>
      <c r="E21" s="28" t="n">
        <v>1</v>
      </c>
      <c r="F21" s="28" t="n">
        <v>5</v>
      </c>
      <c r="G21" s="32" t="n">
        <v>58.3397283</v>
      </c>
      <c r="H21" s="32" t="n">
        <v>419.23224</v>
      </c>
      <c r="I21" s="33" t="n">
        <v>0.112</v>
      </c>
      <c r="J21" s="32" t="n">
        <v>3.5837963</v>
      </c>
      <c r="K21" s="36" t="n">
        <v>86.84</v>
      </c>
      <c r="L21" s="36" t="n">
        <v>0</v>
      </c>
      <c r="M21" s="36" t="n">
        <v>86.84</v>
      </c>
      <c r="N21" s="36" t="n">
        <v>0</v>
      </c>
      <c r="O21" s="34" t="n">
        <v>1</v>
      </c>
      <c r="P21" s="32" t="n">
        <v>0</v>
      </c>
      <c r="Q21" s="32" t="n">
        <v>29.57003</v>
      </c>
      <c r="R21" s="32" t="n">
        <v>8.871009</v>
      </c>
      <c r="S21" s="32" t="n">
        <v>0</v>
      </c>
      <c r="T21" s="32" t="n">
        <v>0</v>
      </c>
      <c r="U21" s="32" t="n">
        <v>34.251</v>
      </c>
      <c r="V21" s="32" t="n">
        <v>0</v>
      </c>
      <c r="W21" s="23" t="n">
        <f aca="false">SUM(BDC_EAD!R$31:R$52)+SUM(BDC_EAD!R$81:R$102)</f>
        <v>2.834584</v>
      </c>
      <c r="X21" s="23" t="n">
        <f aca="false">SUM(BDC_EAD!R$6:R$27)+SUM(BDC_EAD!R$56:R$77)</f>
        <v>5.561722</v>
      </c>
      <c r="Y21" s="35" t="n">
        <f aca="false">MAX(0,Q21-W21)</f>
        <v>26.735446</v>
      </c>
      <c r="Z21" s="35" t="n">
        <f aca="false">MAX(0,R21-(X21-W21))</f>
        <v>6.143871</v>
      </c>
      <c r="AA21" s="32" t="n">
        <v>77.5</v>
      </c>
      <c r="AB21" s="32" t="n">
        <v>0</v>
      </c>
      <c r="AC21" s="32" t="n">
        <v>0</v>
      </c>
      <c r="AD21" s="32" t="n">
        <v>0</v>
      </c>
      <c r="AE21" s="36" t="n">
        <v>0</v>
      </c>
      <c r="AF21" s="32" t="n">
        <v>47.66</v>
      </c>
      <c r="AG21" s="32" t="n">
        <v>281.3936573</v>
      </c>
      <c r="AH21" s="37" t="n">
        <v>1.4</v>
      </c>
      <c r="AI21" s="36" t="n">
        <v>297.1833683</v>
      </c>
      <c r="AJ21" s="32" t="n">
        <v>797.1200979</v>
      </c>
      <c r="AK21" s="32" t="n">
        <v>28.371245</v>
      </c>
      <c r="AL21" s="32" t="n">
        <v>103.1594452</v>
      </c>
      <c r="AM21" s="38" t="n">
        <v>0.334482890753727</v>
      </c>
      <c r="AN21" s="35" t="n">
        <f aca="false">AL21*AM21</f>
        <v>34.5050694390467</v>
      </c>
      <c r="AO21" s="32" t="n">
        <v>5.15</v>
      </c>
      <c r="AP21" s="32" t="n">
        <v>0</v>
      </c>
      <c r="AQ21" s="36" t="n">
        <v>140.69682865</v>
      </c>
      <c r="AR21" s="34" t="n">
        <v>0</v>
      </c>
      <c r="AS21" s="34" t="n">
        <v>0.1838137</v>
      </c>
      <c r="AT21" s="34" t="n">
        <v>0.2420404</v>
      </c>
      <c r="AU21" s="34" t="n">
        <v>0.3630606</v>
      </c>
      <c r="AV21" s="34" t="n">
        <v>0.5445909</v>
      </c>
      <c r="AW21" s="34" t="n">
        <v>0.7261212</v>
      </c>
      <c r="AX21" s="34" t="n">
        <v>0.9076515</v>
      </c>
      <c r="AY21" s="32" t="n">
        <v>142.5152631</v>
      </c>
      <c r="AZ21" s="32" t="n">
        <v>153.8392731</v>
      </c>
      <c r="BA21" s="39" t="n">
        <f aca="false">G21/H21</f>
        <v>0.139158496732026</v>
      </c>
      <c r="BB21" s="23" t="n">
        <f aca="false">Holdings!$P21</f>
        <v>87.29</v>
      </c>
    </row>
    <row r="22" customFormat="false" ht="15" hidden="false" customHeight="true" outlineLevel="0" collapsed="false">
      <c r="A22" s="31" t="s">
        <v>530</v>
      </c>
      <c r="B22" s="31" t="s">
        <v>531</v>
      </c>
      <c r="C22" s="31" t="s">
        <v>529</v>
      </c>
      <c r="D22" s="28" t="n">
        <v>1</v>
      </c>
      <c r="E22" s="28" t="n">
        <v>1</v>
      </c>
      <c r="F22" s="28" t="n">
        <v>6</v>
      </c>
      <c r="G22" s="32" t="n">
        <v>117.82344</v>
      </c>
      <c r="H22" s="32" t="n">
        <v>907.6515</v>
      </c>
      <c r="I22" s="33" t="n">
        <v>0.1043</v>
      </c>
      <c r="J22" s="32" t="n">
        <v>6.9700785</v>
      </c>
      <c r="K22" s="36" t="n">
        <v>176.25</v>
      </c>
      <c r="L22" s="36" t="n">
        <v>0</v>
      </c>
      <c r="M22" s="36" t="n">
        <v>176.25</v>
      </c>
      <c r="N22" s="36" t="n">
        <v>0</v>
      </c>
      <c r="O22" s="34" t="n">
        <v>1</v>
      </c>
      <c r="P22" s="32" t="n">
        <v>0</v>
      </c>
      <c r="Q22" s="32" t="n">
        <v>25.1174</v>
      </c>
      <c r="R22" s="32" t="n">
        <v>7.53522</v>
      </c>
      <c r="S22" s="32" t="n">
        <v>0</v>
      </c>
      <c r="T22" s="32" t="n">
        <v>0</v>
      </c>
      <c r="U22" s="32" t="n">
        <v>10.04696</v>
      </c>
      <c r="V22" s="32" t="n">
        <v>3.014088</v>
      </c>
      <c r="W22" s="23" t="n">
        <f aca="false">SUM(BDC_EAD!S$31:S$52)+SUM(BDC_EAD!S$81:S$102)</f>
        <v>3.627251</v>
      </c>
      <c r="X22" s="23" t="n">
        <f aca="false">SUM(BDC_EAD!S$6:S$27)+SUM(BDC_EAD!S$56:S$77)</f>
        <v>9.468492</v>
      </c>
      <c r="Y22" s="35" t="n">
        <f aca="false">MAX(0,Q22-W22)</f>
        <v>21.490149</v>
      </c>
      <c r="Z22" s="35" t="n">
        <f aca="false">MAX(0,R22-(X22-W22))</f>
        <v>1.693979</v>
      </c>
      <c r="AA22" s="32" t="n">
        <v>90</v>
      </c>
      <c r="AB22" s="32" t="n">
        <v>0</v>
      </c>
      <c r="AC22" s="32" t="n">
        <v>0</v>
      </c>
      <c r="AD22" s="32" t="n">
        <v>0</v>
      </c>
      <c r="AE22" s="36" t="n">
        <v>0</v>
      </c>
      <c r="AF22" s="32" t="n">
        <v>85.23</v>
      </c>
      <c r="AG22" s="32" t="n">
        <v>490.931</v>
      </c>
      <c r="AH22" s="37" t="n">
        <v>1.49</v>
      </c>
      <c r="AI22" s="36" t="n">
        <v>581.3970246</v>
      </c>
      <c r="AJ22" s="32" t="n">
        <v>1423.4110499</v>
      </c>
      <c r="AK22" s="36" t="n">
        <v>28.3758118</v>
      </c>
      <c r="AL22" s="32" t="n">
        <v>503.1049471</v>
      </c>
      <c r="AM22" s="38" t="n">
        <v>0.500007092097984</v>
      </c>
      <c r="AN22" s="35" t="n">
        <f aca="false">AL22*AM22</f>
        <v>251.556041619581</v>
      </c>
      <c r="AO22" s="32" t="n">
        <v>6.01</v>
      </c>
      <c r="AP22" s="32" t="n">
        <v>19.32</v>
      </c>
      <c r="AQ22" s="32" t="n">
        <v>594.8257</v>
      </c>
      <c r="AR22" s="34" t="n">
        <v>0</v>
      </c>
      <c r="AS22" s="34" t="n">
        <v>0.490931</v>
      </c>
      <c r="AT22" s="34" t="n">
        <v>0.981862</v>
      </c>
      <c r="AU22" s="34" t="n">
        <v>1.472793</v>
      </c>
      <c r="AV22" s="34" t="n">
        <v>1.963724</v>
      </c>
      <c r="AW22" s="34" t="n">
        <v>2.454655</v>
      </c>
      <c r="AX22" s="34" t="n">
        <v>2.945586</v>
      </c>
      <c r="AY22" s="32" t="n">
        <v>446.9960751</v>
      </c>
      <c r="AZ22" s="32" t="n">
        <v>292.8638322</v>
      </c>
      <c r="BA22" s="39" t="n">
        <f aca="false">G22/H22</f>
        <v>0.129811320754717</v>
      </c>
      <c r="BB22" s="23" t="n">
        <f aca="false">Holdings!$P22</f>
        <v>352.51</v>
      </c>
    </row>
    <row r="23" customFormat="false" ht="15" hidden="false" customHeight="true" outlineLevel="0" collapsed="false">
      <c r="A23" s="31" t="s">
        <v>532</v>
      </c>
      <c r="B23" s="31" t="s">
        <v>533</v>
      </c>
      <c r="C23" s="31" t="s">
        <v>529</v>
      </c>
      <c r="D23" s="28" t="n">
        <v>1</v>
      </c>
      <c r="E23" s="28" t="n">
        <v>1</v>
      </c>
      <c r="F23" s="28" t="n">
        <v>5</v>
      </c>
      <c r="G23" s="32" t="n">
        <v>61.08095</v>
      </c>
      <c r="H23" s="32" t="n">
        <v>463.5302</v>
      </c>
      <c r="I23" s="33" t="n">
        <v>0.1026</v>
      </c>
      <c r="J23" s="32" t="n">
        <v>3.3577397</v>
      </c>
      <c r="K23" s="36" t="n">
        <v>71.865</v>
      </c>
      <c r="L23" s="36" t="n">
        <v>0</v>
      </c>
      <c r="M23" s="36" t="n">
        <v>71.865</v>
      </c>
      <c r="N23" s="36" t="n">
        <v>0</v>
      </c>
      <c r="O23" s="34" t="n">
        <v>1</v>
      </c>
      <c r="P23" s="32" t="n">
        <v>0</v>
      </c>
      <c r="Q23" s="32" t="n">
        <v>12.5587</v>
      </c>
      <c r="R23" s="32" t="n">
        <v>3.76761</v>
      </c>
      <c r="S23" s="32" t="n">
        <v>3.4251</v>
      </c>
      <c r="T23" s="32" t="n">
        <v>0</v>
      </c>
      <c r="U23" s="32" t="n">
        <v>0</v>
      </c>
      <c r="V23" s="32" t="n">
        <v>0</v>
      </c>
      <c r="W23" s="23" t="n">
        <f aca="false">SUM(BDC_EAD!T$31:T$52)+SUM(BDC_EAD!T$81:T$102)</f>
        <v>2.87833</v>
      </c>
      <c r="X23" s="23" t="n">
        <f aca="false">SUM(BDC_EAD!T$6:T$27)+SUM(BDC_EAD!T$56:T$77)</f>
        <v>6.657164</v>
      </c>
      <c r="Y23" s="35" t="n">
        <f aca="false">MAX(0,Q23-W23)</f>
        <v>9.68037</v>
      </c>
      <c r="Z23" s="35" t="n">
        <f aca="false">MAX(0,R23-(X23-W23))</f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6" t="n">
        <v>0</v>
      </c>
      <c r="AF23" s="32" t="n">
        <v>32.46</v>
      </c>
      <c r="AG23" s="36" t="n">
        <v>300.2671</v>
      </c>
      <c r="AH23" s="37" t="n">
        <v>1.46</v>
      </c>
      <c r="AI23" s="36" t="n">
        <v>275.14273563</v>
      </c>
      <c r="AJ23" s="32" t="n">
        <v>611.4283014</v>
      </c>
      <c r="AK23" s="36" t="n">
        <v>0</v>
      </c>
      <c r="AL23" s="32" t="n">
        <v>185.3823958</v>
      </c>
      <c r="AM23" s="38" t="n">
        <v>0.53237246225924</v>
      </c>
      <c r="AN23" s="35" t="n">
        <f aca="false">AL23*AM23</f>
        <v>98.692482511563</v>
      </c>
      <c r="AO23" s="32" t="n">
        <v>3.8</v>
      </c>
      <c r="AP23" s="32" t="n">
        <v>9.76</v>
      </c>
      <c r="AQ23" s="32" t="n">
        <v>363.0606</v>
      </c>
      <c r="AR23" s="34" t="n">
        <v>0</v>
      </c>
      <c r="AS23" s="34" t="n">
        <v>0.3002671</v>
      </c>
      <c r="AT23" s="34" t="n">
        <v>0.6005342</v>
      </c>
      <c r="AU23" s="34" t="n">
        <v>0.9008013</v>
      </c>
      <c r="AV23" s="34" t="n">
        <v>1.2010684</v>
      </c>
      <c r="AW23" s="34" t="n">
        <v>1.5013355</v>
      </c>
      <c r="AX23" s="34" t="n">
        <v>1.8016026</v>
      </c>
      <c r="AY23" s="32" t="n">
        <v>298.4697366</v>
      </c>
      <c r="AZ23" s="32" t="n">
        <v>265.2488313</v>
      </c>
      <c r="BA23" s="39" t="n">
        <f aca="false">G23/H23</f>
        <v>0.131773399014778</v>
      </c>
      <c r="BB23" s="23" t="n">
        <f aca="false">Holdings!$P23</f>
        <v>163.63</v>
      </c>
    </row>
    <row r="24" customFormat="false" ht="15" hidden="false" customHeight="true" outlineLevel="0" collapsed="false">
      <c r="A24" s="31" t="s">
        <v>534</v>
      </c>
      <c r="B24" s="31" t="s">
        <v>534</v>
      </c>
      <c r="C24" s="31" t="s">
        <v>498</v>
      </c>
      <c r="D24" s="28" t="n">
        <v>1</v>
      </c>
      <c r="E24" s="28" t="n">
        <v>1</v>
      </c>
      <c r="F24" s="28" t="n">
        <v>4</v>
      </c>
      <c r="G24" s="32" t="n">
        <v>72.464</v>
      </c>
      <c r="H24" s="32" t="n">
        <v>503.9</v>
      </c>
      <c r="I24" s="33" t="n">
        <v>0.1083</v>
      </c>
      <c r="J24" s="32" t="n">
        <v>3.714</v>
      </c>
      <c r="K24" s="36" t="n">
        <v>30.925</v>
      </c>
      <c r="L24" s="36" t="n">
        <v>0</v>
      </c>
      <c r="M24" s="36" t="n">
        <v>30.925</v>
      </c>
      <c r="N24" s="36" t="n">
        <v>0</v>
      </c>
      <c r="O24" s="34" t="n">
        <v>1</v>
      </c>
      <c r="P24" s="32" t="n">
        <v>0</v>
      </c>
      <c r="Q24" s="36" t="n">
        <v>0</v>
      </c>
      <c r="R24" s="36" t="n">
        <v>0</v>
      </c>
      <c r="S24" s="36" t="n">
        <v>0</v>
      </c>
      <c r="T24" s="36" t="n">
        <v>0</v>
      </c>
      <c r="U24" s="32" t="n">
        <v>0</v>
      </c>
      <c r="V24" s="32" t="n">
        <v>0</v>
      </c>
      <c r="W24" s="23" t="n">
        <f aca="false">SUM(BDC_EAD!U$31:U$52)+SUM(BDC_EAD!U$81:U$102)</f>
        <v>0.023394</v>
      </c>
      <c r="X24" s="23" t="n">
        <f aca="false">SUM(BDC_EAD!U$6:U$27)+SUM(BDC_EAD!U$56:U$77)</f>
        <v>0.12931</v>
      </c>
      <c r="Y24" s="35" t="n">
        <f aca="false">MAX(0,Q24-W24)</f>
        <v>0</v>
      </c>
      <c r="Z24" s="35" t="n">
        <f aca="false">MAX(0,R24-(X24-W24))</f>
        <v>0</v>
      </c>
      <c r="AA24" s="32" t="n">
        <v>0</v>
      </c>
      <c r="AB24" s="32" t="n">
        <v>0</v>
      </c>
      <c r="AC24" s="32" t="n">
        <v>0</v>
      </c>
      <c r="AD24" s="32" t="n">
        <v>0</v>
      </c>
      <c r="AE24" s="36" t="n">
        <v>0</v>
      </c>
      <c r="AF24" s="32" t="n">
        <v>93.13</v>
      </c>
      <c r="AG24" s="32" t="n">
        <v>341.8</v>
      </c>
      <c r="AH24" s="37" t="n">
        <v>1.773</v>
      </c>
      <c r="AI24" s="36" t="n">
        <v>365.4855</v>
      </c>
      <c r="AJ24" s="32" t="n">
        <v>812.19</v>
      </c>
      <c r="AK24" s="32" t="n">
        <v>44.031</v>
      </c>
      <c r="AL24" s="32" t="n">
        <v>20.449</v>
      </c>
      <c r="AM24" s="38" t="n">
        <v>0.8</v>
      </c>
      <c r="AN24" s="35" t="n">
        <f aca="false">AL24*AM24</f>
        <v>16.3592</v>
      </c>
      <c r="AO24" s="32" t="n">
        <v>6.29</v>
      </c>
      <c r="AP24" s="32" t="n">
        <v>0.3</v>
      </c>
      <c r="AQ24" s="36" t="n">
        <v>170.9</v>
      </c>
      <c r="AR24" s="34" t="n">
        <v>0</v>
      </c>
      <c r="AS24" s="34" t="n">
        <v>0.3418</v>
      </c>
      <c r="AT24" s="34" t="n">
        <v>0.6836</v>
      </c>
      <c r="AU24" s="34" t="n">
        <v>1.0254</v>
      </c>
      <c r="AV24" s="34" t="n">
        <v>1.3672</v>
      </c>
      <c r="AW24" s="34" t="n">
        <v>1.709</v>
      </c>
      <c r="AX24" s="34" t="n">
        <v>2.0508</v>
      </c>
      <c r="AY24" s="32" t="n">
        <v>325.1808945</v>
      </c>
      <c r="AZ24" s="32" t="n">
        <v>467.5933065</v>
      </c>
      <c r="BA24" s="39" t="n">
        <f aca="false">G24/H24</f>
        <v>0.143806310775948</v>
      </c>
      <c r="BB24" s="23" t="n">
        <f aca="false">Holdings!$P24</f>
        <v>255.77</v>
      </c>
    </row>
    <row r="25" customFormat="false" ht="15" hidden="false" customHeight="true" outlineLevel="0" collapsed="false">
      <c r="A25" s="31" t="s">
        <v>535</v>
      </c>
      <c r="B25" s="31" t="s">
        <v>535</v>
      </c>
      <c r="C25" s="31" t="s">
        <v>536</v>
      </c>
      <c r="D25" s="28" t="n">
        <v>1</v>
      </c>
      <c r="E25" s="28" t="n">
        <v>1</v>
      </c>
      <c r="F25" s="28" t="n">
        <v>4</v>
      </c>
      <c r="G25" s="32" t="n">
        <v>99.6377836541418</v>
      </c>
      <c r="H25" s="32" t="n">
        <v>768.837709857942</v>
      </c>
      <c r="I25" s="33" t="n">
        <v>0.0869</v>
      </c>
      <c r="J25" s="32" t="n">
        <v>5.01137691408892</v>
      </c>
      <c r="K25" s="36" t="n">
        <v>229.915</v>
      </c>
      <c r="L25" s="32" t="n">
        <v>-2.87313203370026</v>
      </c>
      <c r="M25" s="36" t="n">
        <v>229.915</v>
      </c>
      <c r="N25" s="32" t="n">
        <v>-7.73015189717729</v>
      </c>
      <c r="O25" s="34" t="n">
        <v>1</v>
      </c>
      <c r="P25" s="32" t="n">
        <v>26.1360740421868</v>
      </c>
      <c r="Q25" s="36" t="n">
        <v>26.4436381526351</v>
      </c>
      <c r="R25" s="36" t="n">
        <v>13.2218190763176</v>
      </c>
      <c r="S25" s="36" t="n">
        <v>26.4436381526351</v>
      </c>
      <c r="T25" s="36" t="n">
        <v>13.2218190763176</v>
      </c>
      <c r="U25" s="32" t="n">
        <v>0</v>
      </c>
      <c r="V25" s="32" t="n">
        <v>0</v>
      </c>
      <c r="W25" s="23" t="n">
        <f aca="false">SUM(BDC_EAD!V$31:V$52)+SUM(BDC_EAD!V$81:V$102)</f>
        <v>2.817403</v>
      </c>
      <c r="X25" s="23" t="n">
        <f aca="false">SUM(BDC_EAD!V$6:V$27)+SUM(BDC_EAD!V$56:V$77)</f>
        <v>6.21229</v>
      </c>
      <c r="Y25" s="35" t="n">
        <f aca="false">MAX(0,Q25-W25)</f>
        <v>23.6262351526351</v>
      </c>
      <c r="Z25" s="35" t="n">
        <f aca="false">MAX(0,R25-(X25-W25))</f>
        <v>9.8269320763176</v>
      </c>
      <c r="AA25" s="32" t="n">
        <v>0</v>
      </c>
      <c r="AB25" s="32" t="n">
        <v>0</v>
      </c>
      <c r="AC25" s="32" t="n">
        <v>0</v>
      </c>
      <c r="AD25" s="32" t="n">
        <v>0</v>
      </c>
      <c r="AE25" s="36" t="n">
        <v>0</v>
      </c>
      <c r="AF25" s="32" t="n">
        <v>95.94</v>
      </c>
      <c r="AG25" s="32" t="n">
        <v>759.072332574872</v>
      </c>
      <c r="AH25" s="37" t="n">
        <v>1.404</v>
      </c>
      <c r="AI25" s="36" t="n">
        <v>760.753600639567</v>
      </c>
      <c r="AJ25" s="32" t="n">
        <v>1603.56275751799</v>
      </c>
      <c r="AK25" s="32" t="n">
        <v>111.414716192116</v>
      </c>
      <c r="AL25" s="32" t="n">
        <v>250.711512207121</v>
      </c>
      <c r="AM25" s="38" t="n">
        <v>0.233271638904174</v>
      </c>
      <c r="AN25" s="35" t="n">
        <f aca="false">AL25*AM25</f>
        <v>58.4838853446989</v>
      </c>
      <c r="AO25" s="32" t="n">
        <v>32.9</v>
      </c>
      <c r="AP25" s="32" t="n">
        <v>2.79</v>
      </c>
      <c r="AQ25" s="36" t="n">
        <v>379.536166287436</v>
      </c>
      <c r="AR25" s="34" t="n">
        <v>0</v>
      </c>
      <c r="AS25" s="34" t="n">
        <v>0.204476969436074</v>
      </c>
      <c r="AT25" s="34" t="n">
        <v>0.408953938872148</v>
      </c>
      <c r="AU25" s="34" t="n">
        <v>0.613430908308222</v>
      </c>
      <c r="AV25" s="34" t="n">
        <v>0.817907877744296</v>
      </c>
      <c r="AW25" s="34" t="n">
        <v>0.817907877744296</v>
      </c>
      <c r="AX25" s="34" t="n">
        <v>0.817907877744296</v>
      </c>
      <c r="AY25" s="32" t="n">
        <v>336.4706208</v>
      </c>
      <c r="AZ25" s="32" t="n">
        <v>227.1918465</v>
      </c>
      <c r="BA25" s="39" t="n">
        <f aca="false">G25/H25</f>
        <v>0.12959533901186</v>
      </c>
      <c r="BB25" s="23" t="n">
        <f aca="false">Holdings!$P25</f>
        <v>139.9</v>
      </c>
    </row>
    <row r="26" customFormat="false" ht="15" hidden="false" customHeight="true" outlineLevel="0" collapsed="false">
      <c r="A26" s="31" t="s">
        <v>537</v>
      </c>
      <c r="B26" s="31" t="s">
        <v>537</v>
      </c>
      <c r="C26" s="31" t="s">
        <v>536</v>
      </c>
      <c r="D26" s="28" t="n">
        <v>1</v>
      </c>
      <c r="E26" s="28" t="n">
        <v>1</v>
      </c>
      <c r="F26" s="28" t="n">
        <v>4</v>
      </c>
      <c r="G26" s="32" t="n">
        <v>79.3379312465408</v>
      </c>
      <c r="H26" s="32" t="n">
        <v>628.056085111617</v>
      </c>
      <c r="I26" s="33" t="n">
        <v>0.0817</v>
      </c>
      <c r="J26" s="32" t="n">
        <v>4.44191624131357</v>
      </c>
      <c r="K26" s="36" t="n">
        <v>100.925</v>
      </c>
      <c r="L26" s="32" t="n">
        <v>-1.96236393825718</v>
      </c>
      <c r="M26" s="36" t="n">
        <v>100.925</v>
      </c>
      <c r="N26" s="32" t="n">
        <v>-1.65118996371687</v>
      </c>
      <c r="O26" s="34" t="n">
        <v>1</v>
      </c>
      <c r="P26" s="32" t="n">
        <v>24.6841707152082</v>
      </c>
      <c r="Q26" s="36" t="n">
        <v>8.36356927618228</v>
      </c>
      <c r="R26" s="36" t="n">
        <v>2.09089231904557</v>
      </c>
      <c r="S26" s="36" t="n">
        <v>8.36356927618228</v>
      </c>
      <c r="T26" s="36" t="n">
        <v>2.09089231904557</v>
      </c>
      <c r="U26" s="32" t="n">
        <v>0</v>
      </c>
      <c r="V26" s="32" t="n">
        <v>0</v>
      </c>
      <c r="W26" s="23" t="n">
        <f aca="false">SUM(BDC_EAD!W$31:W$52)+SUM(BDC_EAD!W$81:W$102)</f>
        <v>1.537808</v>
      </c>
      <c r="X26" s="23" t="n">
        <f aca="false">SUM(BDC_EAD!W$6:W$27)+SUM(BDC_EAD!W$56:W$77)</f>
        <v>4.668771</v>
      </c>
      <c r="Y26" s="35" t="n">
        <f aca="false">MAX(0,Q26-W26)</f>
        <v>6.82576127618228</v>
      </c>
      <c r="Z26" s="35" t="n">
        <f aca="false">MAX(0,R26-(X26-W26))</f>
        <v>0</v>
      </c>
      <c r="AA26" s="32" t="n">
        <v>0</v>
      </c>
      <c r="AB26" s="32" t="n">
        <v>0</v>
      </c>
      <c r="AC26" s="32" t="n">
        <v>0</v>
      </c>
      <c r="AD26" s="32" t="n">
        <v>0</v>
      </c>
      <c r="AE26" s="36" t="n">
        <v>0</v>
      </c>
      <c r="AF26" s="32" t="n">
        <v>43.5</v>
      </c>
      <c r="AG26" s="32" t="n">
        <v>597.489348748539</v>
      </c>
      <c r="AH26" s="37" t="n">
        <v>1.383</v>
      </c>
      <c r="AI26" s="36" t="n">
        <v>579.372086587541</v>
      </c>
      <c r="AJ26" s="32" t="n">
        <v>1241.80817292909</v>
      </c>
      <c r="AK26" s="32" t="n">
        <v>142.213430908308</v>
      </c>
      <c r="AL26" s="32" t="n">
        <v>148.678162474633</v>
      </c>
      <c r="AM26" s="38" t="n">
        <v>0.157061722208302</v>
      </c>
      <c r="AN26" s="35" t="n">
        <f aca="false">AL26*AM26</f>
        <v>23.3516482530316</v>
      </c>
      <c r="AO26" s="32" t="n">
        <v>24.02</v>
      </c>
      <c r="AP26" s="32" t="n">
        <v>0.78</v>
      </c>
      <c r="AQ26" s="36" t="n">
        <v>298.74467437427</v>
      </c>
      <c r="AR26" s="34" t="n">
        <v>0</v>
      </c>
      <c r="AS26" s="34" t="n">
        <v>0.597489348748539</v>
      </c>
      <c r="AT26" s="34" t="n">
        <v>1.19497869749708</v>
      </c>
      <c r="AU26" s="34" t="n">
        <v>1.79246804624562</v>
      </c>
      <c r="AV26" s="34" t="n">
        <v>2.38995739499416</v>
      </c>
      <c r="AW26" s="34" t="n">
        <v>2.9874467437427</v>
      </c>
      <c r="AX26" s="34" t="n">
        <v>3.58493609249124</v>
      </c>
      <c r="AY26" s="32" t="n">
        <v>385.1742528</v>
      </c>
      <c r="AZ26" s="32" t="n">
        <v>154.7846721</v>
      </c>
      <c r="BA26" s="39" t="n">
        <f aca="false">G26/H26</f>
        <v>0.126323003832438</v>
      </c>
      <c r="BB26" s="23" t="n">
        <f aca="false">Holdings!$P26</f>
        <v>37.61</v>
      </c>
    </row>
    <row r="27" customFormat="false" ht="15" hidden="false" customHeight="true" outlineLevel="0" collapsed="false">
      <c r="A27" s="31" t="s">
        <v>538</v>
      </c>
      <c r="B27" s="31" t="s">
        <v>539</v>
      </c>
      <c r="C27" s="31" t="s">
        <v>536</v>
      </c>
      <c r="D27" s="28" t="n">
        <v>1</v>
      </c>
      <c r="E27" s="28" t="n">
        <v>1</v>
      </c>
      <c r="F27" s="28" t="n">
        <v>4</v>
      </c>
      <c r="G27" s="32" t="n">
        <v>68.3229813664596</v>
      </c>
      <c r="H27" s="32" t="n">
        <v>505.588217206814</v>
      </c>
      <c r="I27" s="33" t="n">
        <v>0.0813</v>
      </c>
      <c r="J27" s="32" t="n">
        <v>3.27409138429371</v>
      </c>
      <c r="K27" s="36" t="n">
        <v>85.305</v>
      </c>
      <c r="L27" s="32" t="n">
        <v>0</v>
      </c>
      <c r="M27" s="36" t="n">
        <v>85.305</v>
      </c>
      <c r="N27" s="32" t="n">
        <v>-0.911383063772216</v>
      </c>
      <c r="O27" s="34" t="n">
        <v>1</v>
      </c>
      <c r="P27" s="32" t="n">
        <v>18.3869380726893</v>
      </c>
      <c r="Q27" s="36" t="n">
        <v>7.33333333333333</v>
      </c>
      <c r="R27" s="36" t="n">
        <v>3.66666666666667</v>
      </c>
      <c r="S27" s="36" t="n">
        <v>14.6666666666667</v>
      </c>
      <c r="T27" s="36" t="n">
        <v>7.33333333333333</v>
      </c>
      <c r="U27" s="32" t="n">
        <v>0</v>
      </c>
      <c r="V27" s="32" t="n">
        <v>0</v>
      </c>
      <c r="W27" s="23" t="n">
        <f aca="false">SUM(BDC_EAD!X$31:X$52)+SUM(BDC_EAD!X$81:X$102)</f>
        <v>0.411154</v>
      </c>
      <c r="X27" s="23" t="n">
        <f aca="false">SUM(BDC_EAD!X$6:X$27)+SUM(BDC_EAD!X$56:X$77)</f>
        <v>1.469927</v>
      </c>
      <c r="Y27" s="35" t="n">
        <f aca="false">MAX(0,Q27-W27)</f>
        <v>6.92217933333333</v>
      </c>
      <c r="Z27" s="35" t="n">
        <f aca="false">MAX(0,R27-(X27-W27))</f>
        <v>2.60789366666667</v>
      </c>
      <c r="AA27" s="32" t="n">
        <v>0</v>
      </c>
      <c r="AB27" s="32" t="n">
        <v>0</v>
      </c>
      <c r="AC27" s="32" t="n">
        <v>0</v>
      </c>
      <c r="AD27" s="32" t="n">
        <v>0</v>
      </c>
      <c r="AE27" s="36" t="n">
        <v>0</v>
      </c>
      <c r="AF27" s="32" t="n">
        <v>0</v>
      </c>
      <c r="AG27" s="32" t="n">
        <v>503.447038927495</v>
      </c>
      <c r="AH27" s="37" t="n">
        <v>1.261</v>
      </c>
      <c r="AI27" s="36" t="n">
        <v>556.83606174282</v>
      </c>
      <c r="AJ27" s="32" t="n">
        <v>1101.02948773138</v>
      </c>
      <c r="AK27" s="32" t="n">
        <v>37.6025029210996</v>
      </c>
      <c r="AL27" s="32" t="n">
        <v>244.75177418363</v>
      </c>
      <c r="AM27" s="38" t="n">
        <v>0.223970889242666</v>
      </c>
      <c r="AN27" s="35" t="n">
        <f aca="false">AL27*AM27</f>
        <v>54.8172725076278</v>
      </c>
      <c r="AO27" s="32" t="n">
        <v>15.5</v>
      </c>
      <c r="AP27" s="32" t="n">
        <v>7.29</v>
      </c>
      <c r="AQ27" s="36" t="n">
        <v>251.723519463748</v>
      </c>
      <c r="AR27" s="34" t="n">
        <v>0</v>
      </c>
      <c r="AS27" s="34" t="n">
        <v>0.584219912674497</v>
      </c>
      <c r="AT27" s="34" t="n">
        <v>1.16843982534899</v>
      </c>
      <c r="AU27" s="34" t="n">
        <v>1.75265973802349</v>
      </c>
      <c r="AV27" s="34" t="n">
        <v>2.33687965069799</v>
      </c>
      <c r="AW27" s="34" t="n">
        <v>2.33687965069799</v>
      </c>
      <c r="AX27" s="34" t="n">
        <v>2.33687965069799</v>
      </c>
      <c r="AY27" s="32" t="n">
        <v>116.0014962</v>
      </c>
      <c r="AZ27" s="32" t="n">
        <v>130.776732</v>
      </c>
      <c r="BA27" s="39" t="n">
        <f aca="false">G27/H27</f>
        <v>0.135135628246874</v>
      </c>
      <c r="BB27" s="23" t="n">
        <f aca="false">Holdings!$P27</f>
        <v>49.24</v>
      </c>
    </row>
    <row r="28" customFormat="false" ht="15" hidden="false" customHeight="true" outlineLevel="0" collapsed="false">
      <c r="A28" s="31" t="s">
        <v>540</v>
      </c>
      <c r="B28" s="31" t="s">
        <v>541</v>
      </c>
      <c r="C28" s="31" t="s">
        <v>542</v>
      </c>
      <c r="D28" s="28" t="n">
        <v>1</v>
      </c>
      <c r="E28" s="28" t="n">
        <v>1</v>
      </c>
      <c r="F28" s="28" t="n">
        <v>5</v>
      </c>
      <c r="G28" s="32" t="n">
        <v>73.8866596268919</v>
      </c>
      <c r="H28" s="32" t="n">
        <v>547.694473776839</v>
      </c>
      <c r="I28" s="33" t="n">
        <v>0.111</v>
      </c>
      <c r="J28" s="32" t="n">
        <v>6.15909890883492</v>
      </c>
      <c r="K28" s="36" t="n">
        <v>158.98</v>
      </c>
      <c r="L28" s="32" t="n">
        <v>-0.225272791270679</v>
      </c>
      <c r="M28" s="36" t="n">
        <v>158.98</v>
      </c>
      <c r="N28" s="32" t="n">
        <v>-2.23794438577966</v>
      </c>
      <c r="O28" s="34" t="n">
        <v>1</v>
      </c>
      <c r="P28" s="32" t="n">
        <v>0</v>
      </c>
      <c r="Q28" s="32" t="n">
        <v>10.7708553326294</v>
      </c>
      <c r="R28" s="36" t="n">
        <v>0</v>
      </c>
      <c r="S28" s="36" t="n">
        <v>0</v>
      </c>
      <c r="T28" s="36" t="n">
        <v>0</v>
      </c>
      <c r="U28" s="32" t="n">
        <v>23.9352340725097</v>
      </c>
      <c r="V28" s="32" t="n">
        <v>0</v>
      </c>
      <c r="W28" s="23" t="n">
        <f aca="false">SUM(BDC_EAD!Y$31:Y$52)+SUM(BDC_EAD!Y$81:Y$102)</f>
        <v>1.193217</v>
      </c>
      <c r="X28" s="23" t="n">
        <f aca="false">SUM(BDC_EAD!Y$6:Y$27)+SUM(BDC_EAD!Y$56:Y$77)</f>
        <v>3.950015</v>
      </c>
      <c r="Y28" s="35" t="n">
        <f aca="false">MAX(0,Q28-W28)</f>
        <v>9.5776383326294</v>
      </c>
      <c r="Z28" s="35" t="n">
        <f aca="false">MAX(0,R28-(X28-W28))</f>
        <v>0</v>
      </c>
      <c r="AA28" s="32" t="n">
        <v>0</v>
      </c>
      <c r="AB28" s="32" t="n">
        <v>0</v>
      </c>
      <c r="AC28" s="32" t="n">
        <v>0</v>
      </c>
      <c r="AD28" s="32" t="n">
        <v>0</v>
      </c>
      <c r="AE28" s="36" t="n">
        <v>0</v>
      </c>
      <c r="AF28" s="32" t="n">
        <v>78.23</v>
      </c>
      <c r="AG28" s="32" t="n">
        <v>342.73213657163</v>
      </c>
      <c r="AH28" s="37" t="n">
        <v>1.25</v>
      </c>
      <c r="AI28" s="36" t="n">
        <v>381.633931714185</v>
      </c>
      <c r="AJ28" s="32" t="n">
        <v>1157.74234424498</v>
      </c>
      <c r="AK28" s="32" t="n">
        <v>111.12284406899</v>
      </c>
      <c r="AL28" s="32" t="n">
        <v>228.922914466737</v>
      </c>
      <c r="AM28" s="38" t="n">
        <v>0.298689840751687</v>
      </c>
      <c r="AN28" s="35" t="n">
        <f aca="false">AL28*AM28</f>
        <v>68.3769488664817</v>
      </c>
      <c r="AO28" s="32" t="n">
        <v>38.53</v>
      </c>
      <c r="AP28" s="32" t="n">
        <v>2.13</v>
      </c>
      <c r="AQ28" s="32" t="n">
        <v>440.385075677578</v>
      </c>
      <c r="AR28" s="40" t="n">
        <v>0</v>
      </c>
      <c r="AS28" s="40" t="n">
        <v>0.295670538542767</v>
      </c>
      <c r="AT28" s="40" t="n">
        <v>0.454065469904963</v>
      </c>
      <c r="AU28" s="40" t="n">
        <v>0.713129179866244</v>
      </c>
      <c r="AV28" s="40" t="n">
        <v>1.06969376979937</v>
      </c>
      <c r="AW28" s="40" t="n">
        <v>1.42625835973249</v>
      </c>
      <c r="AX28" s="40" t="n">
        <v>1.78282294966561</v>
      </c>
      <c r="AY28" s="32" t="n">
        <v>138.142533</v>
      </c>
      <c r="AZ28" s="32" t="n">
        <v>111.7710954</v>
      </c>
      <c r="BA28" s="39" t="n">
        <f aca="false">G28/H28</f>
        <v>0.134904884318766</v>
      </c>
      <c r="BB28" s="23" t="n">
        <f aca="false">Holdings!$P28</f>
        <v>135.42</v>
      </c>
    </row>
    <row r="29" customFormat="false" ht="15" hidden="false" customHeight="true" outlineLevel="0" collapsed="false">
      <c r="A29" s="31" t="s">
        <v>543</v>
      </c>
      <c r="B29" s="31" t="s">
        <v>544</v>
      </c>
      <c r="C29" s="31" t="s">
        <v>498</v>
      </c>
      <c r="D29" s="28" t="n">
        <v>0</v>
      </c>
      <c r="E29" s="28" t="n">
        <v>1</v>
      </c>
      <c r="F29" s="28" t="n">
        <v>2</v>
      </c>
      <c r="G29" s="32" t="n">
        <v>8.718</v>
      </c>
      <c r="H29" s="36" t="n">
        <v>96.8666666666667</v>
      </c>
      <c r="I29" s="41" t="n">
        <v>0.0675</v>
      </c>
      <c r="J29" s="32" t="n">
        <v>0.351</v>
      </c>
      <c r="K29" s="36" t="n">
        <v>0</v>
      </c>
      <c r="L29" s="36" t="n">
        <v>0</v>
      </c>
      <c r="M29" s="36" t="n">
        <v>0</v>
      </c>
      <c r="N29" s="36" t="n">
        <v>0</v>
      </c>
      <c r="O29" s="34" t="n">
        <v>0</v>
      </c>
      <c r="P29" s="32" t="n">
        <v>0</v>
      </c>
      <c r="Q29" s="36" t="n">
        <v>0</v>
      </c>
      <c r="R29" s="36" t="n">
        <v>0</v>
      </c>
      <c r="S29" s="36" t="n">
        <v>0</v>
      </c>
      <c r="T29" s="36" t="n">
        <v>0</v>
      </c>
      <c r="U29" s="32" t="n">
        <v>0</v>
      </c>
      <c r="V29" s="32" t="n">
        <v>0</v>
      </c>
      <c r="W29" s="23" t="n">
        <f aca="false">SUM(BDC_EAD!Z$31:Z$52)+SUM(BDC_EAD!Z$81:Z$102)</f>
        <v>0</v>
      </c>
      <c r="X29" s="23" t="n">
        <f aca="false">SUM(BDC_EAD!Z$6:Z$27)+SUM(BDC_EAD!Z$56:Z$77)</f>
        <v>0</v>
      </c>
      <c r="Y29" s="35" t="n">
        <f aca="false">MAX(0,Q29-W29)</f>
        <v>0</v>
      </c>
      <c r="Z29" s="35" t="n">
        <f aca="false">MAX(0,R29-(X29-W29))</f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6" t="n">
        <v>0</v>
      </c>
      <c r="AF29" s="32" t="n">
        <v>0</v>
      </c>
      <c r="AG29" s="32" t="n">
        <v>17.238</v>
      </c>
      <c r="AH29" s="38" t="n">
        <v>1</v>
      </c>
      <c r="AI29" s="32" t="n">
        <v>0</v>
      </c>
      <c r="AJ29" s="32" t="n">
        <v>0</v>
      </c>
      <c r="AK29" s="32" t="n">
        <v>1.603</v>
      </c>
      <c r="AL29" s="32" t="n">
        <v>16.734</v>
      </c>
      <c r="AM29" s="38" t="n">
        <v>0.728286852589641</v>
      </c>
      <c r="AN29" s="35" t="n">
        <f aca="false">AL29*AM29</f>
        <v>12.1871521912351</v>
      </c>
      <c r="AO29" s="32" t="n">
        <v>0</v>
      </c>
      <c r="AP29" s="32" t="n">
        <v>0</v>
      </c>
      <c r="AQ29" s="32" t="n">
        <v>3.61</v>
      </c>
      <c r="AR29" s="34" t="n">
        <v>0</v>
      </c>
      <c r="AS29" s="34" t="n">
        <v>0.44985</v>
      </c>
      <c r="AT29" s="34" t="n">
        <v>0.8997</v>
      </c>
      <c r="AU29" s="34" t="n">
        <v>0.8997</v>
      </c>
      <c r="AV29" s="34" t="n">
        <v>0.8997</v>
      </c>
      <c r="AW29" s="34" t="n">
        <v>0.8997</v>
      </c>
      <c r="AX29" s="34" t="n">
        <v>0.8997</v>
      </c>
      <c r="AY29" s="36" t="n">
        <v>12.225</v>
      </c>
      <c r="AZ29" s="36" t="n">
        <v>12.225</v>
      </c>
      <c r="BA29" s="39" t="n">
        <f aca="false">G29/H29</f>
        <v>0.09</v>
      </c>
      <c r="BB29" s="23" t="n">
        <f aca="false">Holdings!$P29</f>
        <v>18.28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29" min="3" style="1" width="10"/>
  </cols>
  <sheetData>
    <row r="1" customFormat="false" ht="17.25" hidden="false" customHeight="true" outlineLevel="0" collapsed="false">
      <c r="A1" s="5" t="s">
        <v>545</v>
      </c>
    </row>
    <row r="2" customFormat="false" ht="15" hidden="false" customHeight="true" outlineLevel="0" collapsed="false">
      <c r="A2" s="6" t="s">
        <v>546</v>
      </c>
    </row>
    <row r="5" customFormat="false" ht="42" hidden="false" customHeight="true" outlineLevel="0" collapsed="false">
      <c r="A5" s="21" t="s">
        <v>51</v>
      </c>
      <c r="B5" s="21" t="s">
        <v>52</v>
      </c>
      <c r="C5" s="21" t="s">
        <v>547</v>
      </c>
      <c r="D5" s="21" t="s">
        <v>548</v>
      </c>
      <c r="E5" s="21" t="s">
        <v>549</v>
      </c>
      <c r="F5" s="21" t="s">
        <v>550</v>
      </c>
      <c r="G5" s="21" t="s">
        <v>551</v>
      </c>
      <c r="H5" s="21" t="s">
        <v>552</v>
      </c>
      <c r="I5" s="21" t="s">
        <v>553</v>
      </c>
      <c r="J5" s="21" t="s">
        <v>554</v>
      </c>
      <c r="K5" s="21" t="s">
        <v>555</v>
      </c>
      <c r="L5" s="21" t="s">
        <v>556</v>
      </c>
      <c r="M5" s="21" t="s">
        <v>557</v>
      </c>
      <c r="N5" s="21" t="s">
        <v>558</v>
      </c>
      <c r="O5" s="21" t="s">
        <v>559</v>
      </c>
      <c r="P5" s="21" t="s">
        <v>560</v>
      </c>
      <c r="Q5" s="21" t="s">
        <v>561</v>
      </c>
      <c r="R5" s="21" t="s">
        <v>562</v>
      </c>
      <c r="S5" s="21" t="s">
        <v>563</v>
      </c>
      <c r="T5" s="21" t="s">
        <v>564</v>
      </c>
      <c r="U5" s="21" t="s">
        <v>565</v>
      </c>
      <c r="V5" s="21" t="s">
        <v>566</v>
      </c>
      <c r="W5" s="21" t="s">
        <v>567</v>
      </c>
      <c r="X5" s="21" t="s">
        <v>568</v>
      </c>
      <c r="Y5" s="21" t="s">
        <v>569</v>
      </c>
      <c r="Z5" s="21" t="s">
        <v>570</v>
      </c>
      <c r="AA5" s="21" t="s">
        <v>571</v>
      </c>
      <c r="AB5" s="21" t="s">
        <v>572</v>
      </c>
      <c r="AC5" s="21" t="s">
        <v>573</v>
      </c>
    </row>
    <row r="6" customFormat="false" ht="15" hidden="false" customHeight="true" outlineLevel="0" collapsed="false">
      <c r="A6" s="10" t="s">
        <v>496</v>
      </c>
      <c r="B6" s="10" t="s">
        <v>497</v>
      </c>
      <c r="C6" s="36" t="n">
        <v>726.55</v>
      </c>
      <c r="D6" s="36" t="n">
        <v>349.32</v>
      </c>
      <c r="E6" s="32" t="n">
        <v>242.69</v>
      </c>
      <c r="F6" s="32" t="n">
        <v>34</v>
      </c>
      <c r="G6" s="32" t="n">
        <v>55.56</v>
      </c>
      <c r="H6" s="32" t="n">
        <v>0</v>
      </c>
      <c r="I6" s="32" t="n">
        <v>14.24</v>
      </c>
      <c r="J6" s="32" t="n">
        <v>44.03</v>
      </c>
      <c r="K6" s="32" t="n">
        <v>33.98</v>
      </c>
      <c r="L6" s="32" t="n">
        <v>0</v>
      </c>
      <c r="M6" s="32" t="n">
        <v>267.07</v>
      </c>
      <c r="N6" s="32" t="n">
        <v>180.31</v>
      </c>
      <c r="O6" s="32" t="n">
        <v>31.39</v>
      </c>
      <c r="P6" s="35" t="n">
        <f aca="false">SUMPRODUCT(C6:O6,$C$33:$O$33)</f>
        <v>480.27</v>
      </c>
      <c r="Q6" s="42" t="n">
        <f aca="false">IF($P6&gt;0,C6*C$33/$P6,0)</f>
        <v>0</v>
      </c>
      <c r="R6" s="42" t="n">
        <f aca="false">IF($P6&gt;0,D6*D$33/$P6,0)</f>
        <v>0</v>
      </c>
      <c r="S6" s="42" t="n">
        <f aca="false">IF($P6&gt;0,E6*E$33/$P6,0)</f>
        <v>0</v>
      </c>
      <c r="T6" s="42" t="n">
        <f aca="false">IF($P6&gt;0,F6*F$33/$P6,0)</f>
        <v>0.070793511982843</v>
      </c>
      <c r="U6" s="42" t="n">
        <f aca="false">IF($P6&gt;0,G6*G$33/$P6,0)</f>
        <v>0.115684927228434</v>
      </c>
      <c r="V6" s="42" t="n">
        <f aca="false">IF($P6&gt;0,H6*H$33/$P6,0)</f>
        <v>0</v>
      </c>
      <c r="W6" s="42" t="n">
        <f aca="false">IF($P6&gt;0,I6*I$33/$P6,0)</f>
        <v>0.0296499885481084</v>
      </c>
      <c r="X6" s="42" t="n">
        <f aca="false">IF($P6&gt;0,J6*J$33/$P6,0)</f>
        <v>0.0916775980177817</v>
      </c>
      <c r="Y6" s="42" t="n">
        <f aca="false">IF($P6&gt;0,K6*K$33/$P6,0)</f>
        <v>0.0707518687405001</v>
      </c>
      <c r="Z6" s="42" t="n">
        <f aca="false">IF($P6&gt;0,L6*L$33/$P6,0)</f>
        <v>0</v>
      </c>
      <c r="AA6" s="42" t="n">
        <f aca="false">IF($P6&gt;0,M6*M$33/$P6,0)</f>
        <v>0.556083036625232</v>
      </c>
      <c r="AB6" s="42" t="n">
        <f aca="false">IF($P6&gt;0,N6*N$33/$P6,0)</f>
        <v>0</v>
      </c>
      <c r="AC6" s="42" t="n">
        <f aca="false">IF($P6&gt;0,O6*O$33/$P6,0)</f>
        <v>0.0653590688571012</v>
      </c>
    </row>
    <row r="7" customFormat="false" ht="15" hidden="false" customHeight="true" outlineLevel="0" collapsed="false">
      <c r="A7" s="10" t="s">
        <v>499</v>
      </c>
      <c r="B7" s="10" t="s">
        <v>500</v>
      </c>
      <c r="C7" s="36" t="n">
        <v>375.38</v>
      </c>
      <c r="D7" s="36" t="n">
        <v>528.24</v>
      </c>
      <c r="E7" s="32" t="n">
        <v>111.71</v>
      </c>
      <c r="F7" s="36" t="n">
        <v>14.32</v>
      </c>
      <c r="G7" s="36" t="n">
        <v>45.65</v>
      </c>
      <c r="H7" s="32" t="n">
        <v>0</v>
      </c>
      <c r="I7" s="32" t="n">
        <v>6.9</v>
      </c>
      <c r="J7" s="32" t="n">
        <v>8.75</v>
      </c>
      <c r="K7" s="36" t="n">
        <v>14.76</v>
      </c>
      <c r="L7" s="32" t="n">
        <v>0</v>
      </c>
      <c r="M7" s="32" t="n">
        <v>120.67</v>
      </c>
      <c r="N7" s="32" t="n">
        <v>83.31</v>
      </c>
      <c r="O7" s="32" t="n">
        <v>0</v>
      </c>
      <c r="P7" s="35" t="n">
        <f aca="false">SUMPRODUCT(C7:O7,$C$33:$O$33)</f>
        <v>211.05</v>
      </c>
      <c r="Q7" s="42" t="n">
        <f aca="false">IF($P7&gt;0,C7*C$33/$P7,0)</f>
        <v>0</v>
      </c>
      <c r="R7" s="42" t="n">
        <f aca="false">IF($P7&gt;0,D7*D$33/$P7,0)</f>
        <v>0</v>
      </c>
      <c r="S7" s="42" t="n">
        <f aca="false">IF($P7&gt;0,E7*E$33/$P7,0)</f>
        <v>0</v>
      </c>
      <c r="T7" s="42" t="n">
        <f aca="false">IF($P7&gt;0,F7*F$33/$P7,0)</f>
        <v>0.0678512200900261</v>
      </c>
      <c r="U7" s="42" t="n">
        <f aca="false">IF($P7&gt;0,G7*G$33/$P7,0)</f>
        <v>0.216299455105425</v>
      </c>
      <c r="V7" s="42" t="n">
        <f aca="false">IF($P7&gt;0,H7*H$33/$P7,0)</f>
        <v>0</v>
      </c>
      <c r="W7" s="42" t="n">
        <f aca="false">IF($P7&gt;0,I7*I$33/$P7,0)</f>
        <v>0.0326936744847193</v>
      </c>
      <c r="X7" s="42" t="n">
        <f aca="false">IF($P7&gt;0,J7*J$33/$P7,0)</f>
        <v>0.0414593698175788</v>
      </c>
      <c r="Y7" s="42" t="n">
        <f aca="false">IF($P7&gt;0,K7*K$33/$P7,0)</f>
        <v>0.0699360341151386</v>
      </c>
      <c r="Z7" s="42" t="n">
        <f aca="false">IF($P7&gt;0,L7*L$33/$P7,0)</f>
        <v>0</v>
      </c>
      <c r="AA7" s="42" t="n">
        <f aca="false">IF($P7&gt;0,M7*M$33/$P7,0)</f>
        <v>0.571760246387112</v>
      </c>
      <c r="AB7" s="42" t="n">
        <f aca="false">IF($P7&gt;0,N7*N$33/$P7,0)</f>
        <v>0</v>
      </c>
      <c r="AC7" s="42" t="n">
        <f aca="false">IF($P7&gt;0,O7*O$33/$P7,0)</f>
        <v>0</v>
      </c>
    </row>
    <row r="8" customFormat="false" ht="15" hidden="false" customHeight="true" outlineLevel="0" collapsed="false">
      <c r="A8" s="10" t="s">
        <v>501</v>
      </c>
      <c r="B8" s="10" t="s">
        <v>502</v>
      </c>
      <c r="C8" s="36" t="n">
        <v>280.64</v>
      </c>
      <c r="D8" s="36" t="n">
        <v>221.97</v>
      </c>
      <c r="E8" s="32" t="n">
        <v>321.85</v>
      </c>
      <c r="F8" s="32" t="n">
        <v>9.97</v>
      </c>
      <c r="G8" s="32" t="n">
        <v>31.57</v>
      </c>
      <c r="H8" s="32" t="n">
        <v>0</v>
      </c>
      <c r="I8" s="32" t="n">
        <v>1.45</v>
      </c>
      <c r="J8" s="32" t="n">
        <v>18.23</v>
      </c>
      <c r="K8" s="36" t="n">
        <v>8.48</v>
      </c>
      <c r="L8" s="32" t="n">
        <v>0</v>
      </c>
      <c r="M8" s="32" t="n">
        <v>97.93</v>
      </c>
      <c r="N8" s="32" t="n">
        <v>37.19</v>
      </c>
      <c r="O8" s="32" t="n">
        <v>30.87</v>
      </c>
      <c r="P8" s="35" t="n">
        <f aca="false">SUMPRODUCT(C8:O8,$C$33:$O$33)</f>
        <v>198.5</v>
      </c>
      <c r="Q8" s="42" t="n">
        <f aca="false">IF($P8&gt;0,C8*C$33/$P8,0)</f>
        <v>0</v>
      </c>
      <c r="R8" s="42" t="n">
        <f aca="false">IF($P8&gt;0,D8*D$33/$P8,0)</f>
        <v>0</v>
      </c>
      <c r="S8" s="42" t="n">
        <f aca="false">IF($P8&gt;0,E8*E$33/$P8,0)</f>
        <v>0</v>
      </c>
      <c r="T8" s="42" t="n">
        <f aca="false">IF($P8&gt;0,F8*F$33/$P8,0)</f>
        <v>0.0502267002518892</v>
      </c>
      <c r="U8" s="42" t="n">
        <f aca="false">IF($P8&gt;0,G8*G$33/$P8,0)</f>
        <v>0.15904282115869</v>
      </c>
      <c r="V8" s="42" t="n">
        <f aca="false">IF($P8&gt;0,H8*H$33/$P8,0)</f>
        <v>0</v>
      </c>
      <c r="W8" s="42" t="n">
        <f aca="false">IF($P8&gt;0,I8*I$33/$P8,0)</f>
        <v>0.00730478589420655</v>
      </c>
      <c r="X8" s="42" t="n">
        <f aca="false">IF($P8&gt;0,J8*J$33/$P8,0)</f>
        <v>0.0918387909319899</v>
      </c>
      <c r="Y8" s="42" t="n">
        <f aca="false">IF($P8&gt;0,K8*K$33/$P8,0)</f>
        <v>0.04272040302267</v>
      </c>
      <c r="Z8" s="42" t="n">
        <f aca="false">IF($P8&gt;0,L8*L$33/$P8,0)</f>
        <v>0</v>
      </c>
      <c r="AA8" s="42" t="n">
        <f aca="false">IF($P8&gt;0,M8*M$33/$P8,0)</f>
        <v>0.493350125944584</v>
      </c>
      <c r="AB8" s="42" t="n">
        <f aca="false">IF($P8&gt;0,N8*N$33/$P8,0)</f>
        <v>0</v>
      </c>
      <c r="AC8" s="42" t="n">
        <f aca="false">IF($P8&gt;0,O8*O$33/$P8,0)</f>
        <v>0.15551637279597</v>
      </c>
    </row>
    <row r="9" customFormat="false" ht="15" hidden="false" customHeight="true" outlineLevel="0" collapsed="false">
      <c r="A9" s="10" t="s">
        <v>503</v>
      </c>
      <c r="B9" s="10" t="s">
        <v>504</v>
      </c>
      <c r="C9" s="36" t="n">
        <v>148.35</v>
      </c>
      <c r="D9" s="36" t="n">
        <v>391.16</v>
      </c>
      <c r="E9" s="32" t="n">
        <v>0.33</v>
      </c>
      <c r="F9" s="36" t="n">
        <v>29.87</v>
      </c>
      <c r="G9" s="32" t="n">
        <v>17.09</v>
      </c>
      <c r="H9" s="32" t="n">
        <v>0</v>
      </c>
      <c r="I9" s="32" t="n">
        <v>5.03</v>
      </c>
      <c r="J9" s="32" t="n">
        <v>13.21</v>
      </c>
      <c r="K9" s="32" t="n">
        <v>5.26</v>
      </c>
      <c r="L9" s="32" t="n">
        <v>0</v>
      </c>
      <c r="M9" s="32" t="n">
        <v>37.96</v>
      </c>
      <c r="N9" s="32" t="n">
        <v>126.02</v>
      </c>
      <c r="O9" s="36" t="n">
        <v>19.32</v>
      </c>
      <c r="P9" s="35" t="n">
        <f aca="false">SUMPRODUCT(C9:O9,$C$33:$O$33)</f>
        <v>127.74</v>
      </c>
      <c r="Q9" s="42" t="n">
        <f aca="false">IF($P9&gt;0,C9*C$33/$P9,0)</f>
        <v>0</v>
      </c>
      <c r="R9" s="42" t="n">
        <f aca="false">IF($P9&gt;0,D9*D$33/$P9,0)</f>
        <v>0</v>
      </c>
      <c r="S9" s="42" t="n">
        <f aca="false">IF($P9&gt;0,E9*E$33/$P9,0)</f>
        <v>0</v>
      </c>
      <c r="T9" s="42" t="n">
        <f aca="false">IF($P9&gt;0,F9*F$33/$P9,0)</f>
        <v>0.233834351025521</v>
      </c>
      <c r="U9" s="42" t="n">
        <f aca="false">IF($P9&gt;0,G9*G$33/$P9,0)</f>
        <v>0.133787380616878</v>
      </c>
      <c r="V9" s="42" t="n">
        <f aca="false">IF($P9&gt;0,H9*H$33/$P9,0)</f>
        <v>0</v>
      </c>
      <c r="W9" s="42" t="n">
        <f aca="false">IF($P9&gt;0,I9*I$33/$P9,0)</f>
        <v>0.0393768592453421</v>
      </c>
      <c r="X9" s="42" t="n">
        <f aca="false">IF($P9&gt;0,J9*J$33/$P9,0)</f>
        <v>0.103413183028026</v>
      </c>
      <c r="Y9" s="42" t="n">
        <f aca="false">IF($P9&gt;0,K9*K$33/$P9,0)</f>
        <v>0.0411773915766401</v>
      </c>
      <c r="Z9" s="42" t="n">
        <f aca="false">IF($P9&gt;0,L9*L$33/$P9,0)</f>
        <v>0</v>
      </c>
      <c r="AA9" s="42" t="n">
        <f aca="false">IF($P9&gt;0,M9*M$33/$P9,0)</f>
        <v>0.297166118678566</v>
      </c>
      <c r="AB9" s="42" t="n">
        <f aca="false">IF($P9&gt;0,N9*N$33/$P9,0)</f>
        <v>0</v>
      </c>
      <c r="AC9" s="42" t="n">
        <f aca="false">IF($P9&gt;0,O9*O$33/$P9,0)</f>
        <v>0.151244715829028</v>
      </c>
    </row>
    <row r="10" customFormat="false" ht="15" hidden="false" customHeight="true" outlineLevel="0" collapsed="false">
      <c r="A10" s="10" t="s">
        <v>505</v>
      </c>
      <c r="B10" s="10" t="s">
        <v>506</v>
      </c>
      <c r="C10" s="36" t="n">
        <v>392.14</v>
      </c>
      <c r="D10" s="36" t="n">
        <v>76.82</v>
      </c>
      <c r="E10" s="32" t="n">
        <v>151.26</v>
      </c>
      <c r="F10" s="32" t="n">
        <v>0.89</v>
      </c>
      <c r="G10" s="32" t="n">
        <v>67.92</v>
      </c>
      <c r="H10" s="32" t="n">
        <v>0</v>
      </c>
      <c r="I10" s="32" t="n">
        <v>23.81</v>
      </c>
      <c r="J10" s="32" t="n">
        <v>0</v>
      </c>
      <c r="K10" s="32" t="n">
        <v>23.07</v>
      </c>
      <c r="L10" s="32" t="n">
        <v>0</v>
      </c>
      <c r="M10" s="32" t="n">
        <v>247.17</v>
      </c>
      <c r="N10" s="32" t="n">
        <v>40.31</v>
      </c>
      <c r="O10" s="32" t="n">
        <v>4.11</v>
      </c>
      <c r="P10" s="35" t="n">
        <f aca="false">SUMPRODUCT(C10:O10,$C$33:$O$33)</f>
        <v>366.97</v>
      </c>
      <c r="Q10" s="42" t="n">
        <f aca="false">IF($P10&gt;0,C10*C$33/$P10,0)</f>
        <v>0</v>
      </c>
      <c r="R10" s="42" t="n">
        <f aca="false">IF($P10&gt;0,D10*D$33/$P10,0)</f>
        <v>0</v>
      </c>
      <c r="S10" s="42" t="n">
        <f aca="false">IF($P10&gt;0,E10*E$33/$P10,0)</f>
        <v>0</v>
      </c>
      <c r="T10" s="42" t="n">
        <f aca="false">IF($P10&gt;0,F10*F$33/$P10,0)</f>
        <v>0.002425266370548</v>
      </c>
      <c r="U10" s="42" t="n">
        <f aca="false">IF($P10&gt;0,G10*G$33/$P10,0)</f>
        <v>0.185083249311933</v>
      </c>
      <c r="V10" s="42" t="n">
        <f aca="false">IF($P10&gt;0,H10*H$33/$P10,0)</f>
        <v>0</v>
      </c>
      <c r="W10" s="42" t="n">
        <f aca="false">IF($P10&gt;0,I10*I$33/$P10,0)</f>
        <v>0.0648826879581437</v>
      </c>
      <c r="X10" s="42" t="n">
        <f aca="false">IF($P10&gt;0,J10*J$33/$P10,0)</f>
        <v>0</v>
      </c>
      <c r="Y10" s="42" t="n">
        <f aca="false">IF($P10&gt;0,K10*K$33/$P10,0)</f>
        <v>0.0628661743466769</v>
      </c>
      <c r="Z10" s="42" t="n">
        <f aca="false">IF($P10&gt;0,L10*L$33/$P10,0)</f>
        <v>0</v>
      </c>
      <c r="AA10" s="42" t="n">
        <f aca="false">IF($P10&gt;0,M10*M$33/$P10,0)</f>
        <v>0.673542796413876</v>
      </c>
      <c r="AB10" s="42" t="n">
        <f aca="false">IF($P10&gt;0,N10*N$33/$P10,0)</f>
        <v>0</v>
      </c>
      <c r="AC10" s="42" t="n">
        <f aca="false">IF($P10&gt;0,O10*O$33/$P10,0)</f>
        <v>0.0111998255988228</v>
      </c>
    </row>
    <row r="11" customFormat="false" ht="15" hidden="false" customHeight="true" outlineLevel="0" collapsed="false">
      <c r="A11" s="10" t="s">
        <v>507</v>
      </c>
      <c r="B11" s="10" t="s">
        <v>508</v>
      </c>
      <c r="C11" s="36" t="n">
        <v>161.79</v>
      </c>
      <c r="D11" s="36" t="n">
        <v>136.84</v>
      </c>
      <c r="E11" s="32" t="n">
        <v>64.29</v>
      </c>
      <c r="F11" s="32" t="n">
        <v>6.51</v>
      </c>
      <c r="G11" s="32" t="n">
        <v>46.68</v>
      </c>
      <c r="H11" s="32" t="n">
        <v>0</v>
      </c>
      <c r="I11" s="32" t="n">
        <v>24.16</v>
      </c>
      <c r="J11" s="32" t="n">
        <v>0</v>
      </c>
      <c r="K11" s="32" t="n">
        <v>5.23</v>
      </c>
      <c r="L11" s="32" t="n">
        <v>0</v>
      </c>
      <c r="M11" s="32" t="n">
        <v>211.99</v>
      </c>
      <c r="N11" s="32" t="n">
        <v>16.4</v>
      </c>
      <c r="O11" s="32" t="n">
        <v>3.41</v>
      </c>
      <c r="P11" s="35" t="n">
        <f aca="false">SUMPRODUCT(C11:O11,$C$33:$O$33)</f>
        <v>297.98</v>
      </c>
      <c r="Q11" s="42" t="n">
        <f aca="false">IF($P11&gt;0,C11*C$33/$P11,0)</f>
        <v>0</v>
      </c>
      <c r="R11" s="42" t="n">
        <f aca="false">IF($P11&gt;0,D11*D$33/$P11,0)</f>
        <v>0</v>
      </c>
      <c r="S11" s="42" t="n">
        <f aca="false">IF($P11&gt;0,E11*E$33/$P11,0)</f>
        <v>0</v>
      </c>
      <c r="T11" s="42" t="n">
        <f aca="false">IF($P11&gt;0,F11*F$33/$P11,0)</f>
        <v>0.021847103832472</v>
      </c>
      <c r="U11" s="42" t="n">
        <f aca="false">IF($P11&gt;0,G11*G$33/$P11,0)</f>
        <v>0.156654809047587</v>
      </c>
      <c r="V11" s="42" t="n">
        <f aca="false">IF($P11&gt;0,H11*H$33/$P11,0)</f>
        <v>0</v>
      </c>
      <c r="W11" s="42" t="n">
        <f aca="false">IF($P11&gt;0,I11*I$33/$P11,0)</f>
        <v>0.0810792670649037</v>
      </c>
      <c r="X11" s="42" t="n">
        <f aca="false">IF($P11&gt;0,J11*J$33/$P11,0)</f>
        <v>0</v>
      </c>
      <c r="Y11" s="42" t="n">
        <f aca="false">IF($P11&gt;0,K11*K$33/$P11,0)</f>
        <v>0.0175515135243976</v>
      </c>
      <c r="Z11" s="42" t="n">
        <f aca="false">IF($P11&gt;0,L11*L$33/$P11,0)</f>
        <v>0</v>
      </c>
      <c r="AA11" s="42" t="n">
        <f aca="false">IF($P11&gt;0,M11*M$33/$P11,0)</f>
        <v>0.711423585475535</v>
      </c>
      <c r="AB11" s="42" t="n">
        <f aca="false">IF($P11&gt;0,N11*N$33/$P11,0)</f>
        <v>0</v>
      </c>
      <c r="AC11" s="42" t="n">
        <f aca="false">IF($P11&gt;0,O11*O$33/$P11,0)</f>
        <v>0.0114437210551044</v>
      </c>
    </row>
    <row r="12" customFormat="false" ht="15" hidden="false" customHeight="true" outlineLevel="0" collapsed="false">
      <c r="A12" s="10" t="s">
        <v>509</v>
      </c>
      <c r="B12" s="10" t="s">
        <v>509</v>
      </c>
      <c r="C12" s="32" t="n">
        <v>46.42</v>
      </c>
      <c r="D12" s="32" t="n">
        <v>96.53</v>
      </c>
      <c r="E12" s="32" t="n">
        <v>0.06</v>
      </c>
      <c r="F12" s="32" t="n">
        <v>2.37</v>
      </c>
      <c r="G12" s="32" t="n">
        <v>2.02</v>
      </c>
      <c r="H12" s="32" t="n">
        <v>0</v>
      </c>
      <c r="I12" s="32" t="n">
        <v>0.02</v>
      </c>
      <c r="J12" s="32" t="n">
        <v>0.06</v>
      </c>
      <c r="K12" s="32" t="n">
        <v>4.68</v>
      </c>
      <c r="L12" s="32" t="n">
        <v>0</v>
      </c>
      <c r="M12" s="32" t="n">
        <v>0</v>
      </c>
      <c r="N12" s="32" t="n">
        <v>47.15</v>
      </c>
      <c r="O12" s="32" t="n">
        <v>0</v>
      </c>
      <c r="P12" s="35" t="n">
        <f aca="false">SUMPRODUCT(C12:O12,$C$33:$O$33)</f>
        <v>9.15</v>
      </c>
      <c r="Q12" s="42" t="n">
        <f aca="false">IF($P12&gt;0,C12*C$33/$P12,0)</f>
        <v>0</v>
      </c>
      <c r="R12" s="42" t="n">
        <f aca="false">IF($P12&gt;0,D12*D$33/$P12,0)</f>
        <v>0</v>
      </c>
      <c r="S12" s="42" t="n">
        <f aca="false">IF($P12&gt;0,E12*E$33/$P12,0)</f>
        <v>0</v>
      </c>
      <c r="T12" s="42" t="n">
        <f aca="false">IF($P12&gt;0,F12*F$33/$P12,0)</f>
        <v>0.259016393442623</v>
      </c>
      <c r="U12" s="42" t="n">
        <f aca="false">IF($P12&gt;0,G12*G$33/$P12,0)</f>
        <v>0.220765027322404</v>
      </c>
      <c r="V12" s="42" t="n">
        <f aca="false">IF($P12&gt;0,H12*H$33/$P12,0)</f>
        <v>0</v>
      </c>
      <c r="W12" s="42" t="n">
        <f aca="false">IF($P12&gt;0,I12*I$33/$P12,0)</f>
        <v>0.00218579234972678</v>
      </c>
      <c r="X12" s="42" t="n">
        <f aca="false">IF($P12&gt;0,J12*J$33/$P12,0)</f>
        <v>0.00655737704918033</v>
      </c>
      <c r="Y12" s="42" t="n">
        <f aca="false">IF($P12&gt;0,K12*K$33/$P12,0)</f>
        <v>0.511475409836066</v>
      </c>
      <c r="Z12" s="42" t="n">
        <f aca="false">IF($P12&gt;0,L12*L$33/$P12,0)</f>
        <v>0</v>
      </c>
      <c r="AA12" s="42" t="n">
        <f aca="false">IF($P12&gt;0,M12*M$33/$P12,0)</f>
        <v>0</v>
      </c>
      <c r="AB12" s="42" t="n">
        <f aca="false">IF($P12&gt;0,N12*N$33/$P12,0)</f>
        <v>0</v>
      </c>
      <c r="AC12" s="42" t="n">
        <f aca="false">IF($P12&gt;0,O12*O$33/$P12,0)</f>
        <v>0</v>
      </c>
    </row>
    <row r="13" customFormat="false" ht="15" hidden="false" customHeight="true" outlineLevel="0" collapsed="false">
      <c r="A13" s="10" t="s">
        <v>510</v>
      </c>
      <c r="B13" s="10" t="s">
        <v>511</v>
      </c>
      <c r="C13" s="32" t="n">
        <v>24.09</v>
      </c>
      <c r="D13" s="32" t="n">
        <v>125.09</v>
      </c>
      <c r="E13" s="32" t="n">
        <v>0.42</v>
      </c>
      <c r="F13" s="32" t="n">
        <v>7.38</v>
      </c>
      <c r="G13" s="32" t="n">
        <v>0</v>
      </c>
      <c r="H13" s="32" t="n">
        <v>0</v>
      </c>
      <c r="I13" s="32" t="n">
        <v>0.09</v>
      </c>
      <c r="J13" s="32" t="n">
        <v>4.38</v>
      </c>
      <c r="K13" s="32" t="n">
        <v>1.16</v>
      </c>
      <c r="L13" s="32" t="n">
        <v>0</v>
      </c>
      <c r="M13" s="32" t="n">
        <v>0</v>
      </c>
      <c r="N13" s="32" t="n">
        <v>50.72</v>
      </c>
      <c r="O13" s="32" t="n">
        <v>0</v>
      </c>
      <c r="P13" s="35" t="n">
        <f aca="false">SUMPRODUCT(C13:O13,$C$33:$O$33)</f>
        <v>13.01</v>
      </c>
      <c r="Q13" s="42" t="n">
        <f aca="false">IF($P13&gt;0,C13*C$33/$P13,0)</f>
        <v>0</v>
      </c>
      <c r="R13" s="42" t="n">
        <f aca="false">IF($P13&gt;0,D13*D$33/$P13,0)</f>
        <v>0</v>
      </c>
      <c r="S13" s="42" t="n">
        <f aca="false">IF($P13&gt;0,E13*E$33/$P13,0)</f>
        <v>0</v>
      </c>
      <c r="T13" s="42" t="n">
        <f aca="false">IF($P13&gt;0,F13*F$33/$P13,0)</f>
        <v>0.567255956956188</v>
      </c>
      <c r="U13" s="42" t="n">
        <f aca="false">IF($P13&gt;0,G13*G$33/$P13,0)</f>
        <v>0</v>
      </c>
      <c r="V13" s="42" t="n">
        <f aca="false">IF($P13&gt;0,H13*H$33/$P13,0)</f>
        <v>0</v>
      </c>
      <c r="W13" s="42" t="n">
        <f aca="false">IF($P13&gt;0,I13*I$33/$P13,0)</f>
        <v>0.00691775557263643</v>
      </c>
      <c r="X13" s="42" t="n">
        <f aca="false">IF($P13&gt;0,J13*J$33/$P13,0)</f>
        <v>0.336664104534973</v>
      </c>
      <c r="Y13" s="42" t="n">
        <f aca="false">IF($P13&gt;0,K13*K$33/$P13,0)</f>
        <v>0.0891621829362029</v>
      </c>
      <c r="Z13" s="42" t="n">
        <f aca="false">IF($P13&gt;0,L13*L$33/$P13,0)</f>
        <v>0</v>
      </c>
      <c r="AA13" s="42" t="n">
        <f aca="false">IF($P13&gt;0,M13*M$33/$P13,0)</f>
        <v>0</v>
      </c>
      <c r="AB13" s="42" t="n">
        <f aca="false">IF($P13&gt;0,N13*N$33/$P13,0)</f>
        <v>0</v>
      </c>
      <c r="AC13" s="42" t="n">
        <f aca="false">IF($P13&gt;0,O13*O$33/$P13,0)</f>
        <v>0</v>
      </c>
    </row>
    <row r="14" customFormat="false" ht="15" hidden="false" customHeight="true" outlineLevel="0" collapsed="false">
      <c r="A14" s="10" t="s">
        <v>512</v>
      </c>
      <c r="B14" s="10" t="s">
        <v>513</v>
      </c>
      <c r="C14" s="32" t="n">
        <v>13.12</v>
      </c>
      <c r="D14" s="32" t="n">
        <v>99.11</v>
      </c>
      <c r="E14" s="32" t="n">
        <v>0</v>
      </c>
      <c r="F14" s="32" t="n">
        <v>0.34</v>
      </c>
      <c r="G14" s="32" t="n">
        <v>0</v>
      </c>
      <c r="H14" s="32" t="n">
        <v>0</v>
      </c>
      <c r="I14" s="32" t="n">
        <v>0.17</v>
      </c>
      <c r="J14" s="32" t="n">
        <v>0</v>
      </c>
      <c r="K14" s="32" t="n">
        <v>1.28</v>
      </c>
      <c r="L14" s="32" t="n">
        <v>0</v>
      </c>
      <c r="M14" s="32" t="n">
        <v>0</v>
      </c>
      <c r="N14" s="32" t="n">
        <v>51.02</v>
      </c>
      <c r="O14" s="32" t="n">
        <v>2.62</v>
      </c>
      <c r="P14" s="35" t="n">
        <f aca="false">SUMPRODUCT(C14:O14,$C$33:$O$33)</f>
        <v>4.41</v>
      </c>
      <c r="Q14" s="42" t="n">
        <f aca="false">IF($P14&gt;0,C14*C$33/$P14,0)</f>
        <v>0</v>
      </c>
      <c r="R14" s="42" t="n">
        <f aca="false">IF($P14&gt;0,D14*D$33/$P14,0)</f>
        <v>0</v>
      </c>
      <c r="S14" s="42" t="n">
        <f aca="false">IF($P14&gt;0,E14*E$33/$P14,0)</f>
        <v>0</v>
      </c>
      <c r="T14" s="42" t="n">
        <f aca="false">IF($P14&gt;0,F14*F$33/$P14,0)</f>
        <v>0.0770975056689342</v>
      </c>
      <c r="U14" s="42" t="n">
        <f aca="false">IF($P14&gt;0,G14*G$33/$P14,0)</f>
        <v>0</v>
      </c>
      <c r="V14" s="42" t="n">
        <f aca="false">IF($P14&gt;0,H14*H$33/$P14,0)</f>
        <v>0</v>
      </c>
      <c r="W14" s="42" t="n">
        <f aca="false">IF($P14&gt;0,I14*I$33/$P14,0)</f>
        <v>0.0385487528344671</v>
      </c>
      <c r="X14" s="42" t="n">
        <f aca="false">IF($P14&gt;0,J14*J$33/$P14,0)</f>
        <v>0</v>
      </c>
      <c r="Y14" s="42" t="n">
        <f aca="false">IF($P14&gt;0,K14*K$33/$P14,0)</f>
        <v>0.290249433106576</v>
      </c>
      <c r="Z14" s="42" t="n">
        <f aca="false">IF($P14&gt;0,L14*L$33/$P14,0)</f>
        <v>0</v>
      </c>
      <c r="AA14" s="42" t="n">
        <f aca="false">IF($P14&gt;0,M14*M$33/$P14,0)</f>
        <v>0</v>
      </c>
      <c r="AB14" s="42" t="n">
        <f aca="false">IF($P14&gt;0,N14*N$33/$P14,0)</f>
        <v>0</v>
      </c>
      <c r="AC14" s="42" t="n">
        <f aca="false">IF($P14&gt;0,O14*O$33/$P14,0)</f>
        <v>0.594104308390023</v>
      </c>
    </row>
    <row r="15" customFormat="false" ht="15" hidden="false" customHeight="true" outlineLevel="0" collapsed="false">
      <c r="A15" s="10" t="s">
        <v>514</v>
      </c>
      <c r="B15" s="10" t="s">
        <v>515</v>
      </c>
      <c r="C15" s="32" t="n">
        <v>24.3</v>
      </c>
      <c r="D15" s="32" t="n">
        <v>43.05</v>
      </c>
      <c r="E15" s="32" t="n">
        <v>23.96</v>
      </c>
      <c r="F15" s="32" t="n">
        <v>0.03</v>
      </c>
      <c r="G15" s="32" t="n">
        <v>0.12</v>
      </c>
      <c r="H15" s="32" t="n">
        <v>0</v>
      </c>
      <c r="I15" s="32" t="n">
        <v>0</v>
      </c>
      <c r="J15" s="32" t="n">
        <v>4.01</v>
      </c>
      <c r="K15" s="32" t="n">
        <v>11.79</v>
      </c>
      <c r="L15" s="32" t="n">
        <v>0</v>
      </c>
      <c r="M15" s="32" t="n">
        <v>0</v>
      </c>
      <c r="N15" s="32" t="n">
        <v>2.29</v>
      </c>
      <c r="O15" s="32" t="n">
        <v>0.12</v>
      </c>
      <c r="P15" s="35" t="n">
        <f aca="false">SUMPRODUCT(C15:O15,$C$33:$O$33)</f>
        <v>16.07</v>
      </c>
      <c r="Q15" s="42" t="n">
        <f aca="false">IF($P15&gt;0,C15*C$33/$P15,0)</f>
        <v>0</v>
      </c>
      <c r="R15" s="42" t="n">
        <f aca="false">IF($P15&gt;0,D15*D$33/$P15,0)</f>
        <v>0</v>
      </c>
      <c r="S15" s="42" t="n">
        <f aca="false">IF($P15&gt;0,E15*E$33/$P15,0)</f>
        <v>0</v>
      </c>
      <c r="T15" s="42" t="n">
        <f aca="false">IF($P15&gt;0,F15*F$33/$P15,0)</f>
        <v>0.00186683260734288</v>
      </c>
      <c r="U15" s="42" t="n">
        <f aca="false">IF($P15&gt;0,G15*G$33/$P15,0)</f>
        <v>0.0074673304293715</v>
      </c>
      <c r="V15" s="42" t="n">
        <f aca="false">IF($P15&gt;0,H15*H$33/$P15,0)</f>
        <v>0</v>
      </c>
      <c r="W15" s="42" t="n">
        <f aca="false">IF($P15&gt;0,I15*I$33/$P15,0)</f>
        <v>0</v>
      </c>
      <c r="X15" s="42" t="n">
        <f aca="false">IF($P15&gt;0,J15*J$33/$P15,0)</f>
        <v>0.249533291848164</v>
      </c>
      <c r="Y15" s="42" t="n">
        <f aca="false">IF($P15&gt;0,K15*K$33/$P15,0)</f>
        <v>0.73366521468575</v>
      </c>
      <c r="Z15" s="42" t="n">
        <f aca="false">IF($P15&gt;0,L15*L$33/$P15,0)</f>
        <v>0</v>
      </c>
      <c r="AA15" s="42" t="n">
        <f aca="false">IF($P15&gt;0,M15*M$33/$P15,0)</f>
        <v>0</v>
      </c>
      <c r="AB15" s="42" t="n">
        <f aca="false">IF($P15&gt;0,N15*N$33/$P15,0)</f>
        <v>0</v>
      </c>
      <c r="AC15" s="42" t="n">
        <f aca="false">IF($P15&gt;0,O15*O$33/$P15,0)</f>
        <v>0.0074673304293715</v>
      </c>
    </row>
    <row r="16" customFormat="false" ht="15" hidden="false" customHeight="true" outlineLevel="0" collapsed="false">
      <c r="A16" s="10" t="s">
        <v>516</v>
      </c>
      <c r="B16" s="10" t="s">
        <v>517</v>
      </c>
      <c r="C16" s="32" t="n">
        <v>36.02</v>
      </c>
      <c r="D16" s="32" t="n">
        <v>65.47</v>
      </c>
      <c r="E16" s="32" t="n">
        <v>32.94</v>
      </c>
      <c r="F16" s="32" t="n">
        <v>0.01</v>
      </c>
      <c r="G16" s="32" t="n">
        <v>8.57</v>
      </c>
      <c r="H16" s="32" t="n">
        <v>0</v>
      </c>
      <c r="I16" s="32" t="n">
        <v>0</v>
      </c>
      <c r="J16" s="32" t="n">
        <v>8.85</v>
      </c>
      <c r="K16" s="32" t="n">
        <v>3.8</v>
      </c>
      <c r="L16" s="32" t="n">
        <v>0</v>
      </c>
      <c r="M16" s="32" t="n">
        <v>0</v>
      </c>
      <c r="N16" s="32" t="n">
        <v>5.63</v>
      </c>
      <c r="O16" s="32" t="n">
        <v>5.69</v>
      </c>
      <c r="P16" s="35" t="n">
        <f aca="false">SUMPRODUCT(C16:O16,$C$33:$O$33)</f>
        <v>26.92</v>
      </c>
      <c r="Q16" s="42" t="n">
        <f aca="false">IF($P16&gt;0,C16*C$33/$P16,0)</f>
        <v>0</v>
      </c>
      <c r="R16" s="42" t="n">
        <f aca="false">IF($P16&gt;0,D16*D$33/$P16,0)</f>
        <v>0</v>
      </c>
      <c r="S16" s="42" t="n">
        <f aca="false">IF($P16&gt;0,E16*E$33/$P16,0)</f>
        <v>0</v>
      </c>
      <c r="T16" s="42" t="n">
        <f aca="false">IF($P16&gt;0,F16*F$33/$P16,0)</f>
        <v>0.00037147102526003</v>
      </c>
      <c r="U16" s="42" t="n">
        <f aca="false">IF($P16&gt;0,G16*G$33/$P16,0)</f>
        <v>0.318350668647845</v>
      </c>
      <c r="V16" s="42" t="n">
        <f aca="false">IF($P16&gt;0,H16*H$33/$P16,0)</f>
        <v>0</v>
      </c>
      <c r="W16" s="42" t="n">
        <f aca="false">IF($P16&gt;0,I16*I$33/$P16,0)</f>
        <v>0</v>
      </c>
      <c r="X16" s="42" t="n">
        <f aca="false">IF($P16&gt;0,J16*J$33/$P16,0)</f>
        <v>0.328751857355126</v>
      </c>
      <c r="Y16" s="42" t="n">
        <f aca="false">IF($P16&gt;0,K16*K$33/$P16,0)</f>
        <v>0.141158989598811</v>
      </c>
      <c r="Z16" s="42" t="n">
        <f aca="false">IF($P16&gt;0,L16*L$33/$P16,0)</f>
        <v>0</v>
      </c>
      <c r="AA16" s="42" t="n">
        <f aca="false">IF($P16&gt;0,M16*M$33/$P16,0)</f>
        <v>0</v>
      </c>
      <c r="AB16" s="42" t="n">
        <f aca="false">IF($P16&gt;0,N16*N$33/$P16,0)</f>
        <v>0</v>
      </c>
      <c r="AC16" s="42" t="n">
        <f aca="false">IF($P16&gt;0,O16*O$33/$P16,0)</f>
        <v>0.211367013372957</v>
      </c>
    </row>
    <row r="17" customFormat="false" ht="15" hidden="false" customHeight="true" outlineLevel="0" collapsed="false">
      <c r="A17" s="10" t="s">
        <v>518</v>
      </c>
      <c r="B17" s="10" t="s">
        <v>519</v>
      </c>
      <c r="C17" s="32" t="n">
        <v>13.71</v>
      </c>
      <c r="D17" s="32" t="n">
        <v>29.29</v>
      </c>
      <c r="E17" s="32" t="n">
        <v>0.25</v>
      </c>
      <c r="F17" s="32" t="n">
        <v>0.01</v>
      </c>
      <c r="G17" s="32" t="n">
        <v>0.13</v>
      </c>
      <c r="H17" s="32" t="n">
        <v>0</v>
      </c>
      <c r="I17" s="32" t="n">
        <v>0</v>
      </c>
      <c r="J17" s="32" t="n">
        <v>0</v>
      </c>
      <c r="K17" s="32" t="n">
        <v>0.02</v>
      </c>
      <c r="L17" s="32" t="n">
        <v>0</v>
      </c>
      <c r="M17" s="32" t="n">
        <v>0</v>
      </c>
      <c r="N17" s="32" t="n">
        <v>38.81</v>
      </c>
      <c r="O17" s="32" t="n">
        <v>0</v>
      </c>
      <c r="P17" s="35" t="n">
        <f aca="false">SUMPRODUCT(C17:O17,$C$33:$O$33)</f>
        <v>0.16</v>
      </c>
      <c r="Q17" s="42" t="n">
        <f aca="false">IF($P17&gt;0,C17*C$33/$P17,0)</f>
        <v>0</v>
      </c>
      <c r="R17" s="42" t="n">
        <f aca="false">IF($P17&gt;0,D17*D$33/$P17,0)</f>
        <v>0</v>
      </c>
      <c r="S17" s="42" t="n">
        <f aca="false">IF($P17&gt;0,E17*E$33/$P17,0)</f>
        <v>0</v>
      </c>
      <c r="T17" s="42" t="n">
        <f aca="false">IF($P17&gt;0,F17*F$33/$P17,0)</f>
        <v>0.0625</v>
      </c>
      <c r="U17" s="42" t="n">
        <f aca="false">IF($P17&gt;0,G17*G$33/$P17,0)</f>
        <v>0.8125</v>
      </c>
      <c r="V17" s="42" t="n">
        <f aca="false">IF($P17&gt;0,H17*H$33/$P17,0)</f>
        <v>0</v>
      </c>
      <c r="W17" s="42" t="n">
        <f aca="false">IF($P17&gt;0,I17*I$33/$P17,0)</f>
        <v>0</v>
      </c>
      <c r="X17" s="42" t="n">
        <f aca="false">IF($P17&gt;0,J17*J$33/$P17,0)</f>
        <v>0</v>
      </c>
      <c r="Y17" s="42" t="n">
        <f aca="false">IF($P17&gt;0,K17*K$33/$P17,0)</f>
        <v>0.125</v>
      </c>
      <c r="Z17" s="42" t="n">
        <f aca="false">IF($P17&gt;0,L17*L$33/$P17,0)</f>
        <v>0</v>
      </c>
      <c r="AA17" s="42" t="n">
        <f aca="false">IF($P17&gt;0,M17*M$33/$P17,0)</f>
        <v>0</v>
      </c>
      <c r="AB17" s="42" t="n">
        <f aca="false">IF($P17&gt;0,N17*N$33/$P17,0)</f>
        <v>0</v>
      </c>
      <c r="AC17" s="42" t="n">
        <f aca="false">IF($P17&gt;0,O17*O$33/$P17,0)</f>
        <v>0</v>
      </c>
    </row>
    <row r="18" customFormat="false" ht="15" hidden="false" customHeight="true" outlineLevel="0" collapsed="false">
      <c r="A18" s="10" t="s">
        <v>520</v>
      </c>
      <c r="B18" s="10" t="s">
        <v>521</v>
      </c>
      <c r="C18" s="32" t="n">
        <v>4.43</v>
      </c>
      <c r="D18" s="32" t="n">
        <v>40.07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0.15</v>
      </c>
      <c r="J18" s="32" t="n">
        <v>0.04</v>
      </c>
      <c r="K18" s="32" t="n">
        <v>0.54</v>
      </c>
      <c r="L18" s="32" t="n">
        <v>0</v>
      </c>
      <c r="M18" s="32" t="n">
        <v>0</v>
      </c>
      <c r="N18" s="32" t="n">
        <v>26.95</v>
      </c>
      <c r="O18" s="32" t="n">
        <v>0</v>
      </c>
      <c r="P18" s="35" t="n">
        <f aca="false">SUMPRODUCT(C18:O18,$C$33:$O$33)</f>
        <v>0.73</v>
      </c>
      <c r="Q18" s="42" t="n">
        <f aca="false">IF($P18&gt;0,C18*C$33/$P18,0)</f>
        <v>0</v>
      </c>
      <c r="R18" s="42" t="n">
        <f aca="false">IF($P18&gt;0,D18*D$33/$P18,0)</f>
        <v>0</v>
      </c>
      <c r="S18" s="42" t="n">
        <f aca="false">IF($P18&gt;0,E18*E$33/$P18,0)</f>
        <v>0</v>
      </c>
      <c r="T18" s="42" t="n">
        <f aca="false">IF($P18&gt;0,F18*F$33/$P18,0)</f>
        <v>0</v>
      </c>
      <c r="U18" s="42" t="n">
        <f aca="false">IF($P18&gt;0,G18*G$33/$P18,0)</f>
        <v>0</v>
      </c>
      <c r="V18" s="42" t="n">
        <f aca="false">IF($P18&gt;0,H18*H$33/$P18,0)</f>
        <v>0</v>
      </c>
      <c r="W18" s="42" t="n">
        <f aca="false">IF($P18&gt;0,I18*I$33/$P18,0)</f>
        <v>0.205479452054795</v>
      </c>
      <c r="X18" s="42" t="n">
        <f aca="false">IF($P18&gt;0,J18*J$33/$P18,0)</f>
        <v>0.0547945205479452</v>
      </c>
      <c r="Y18" s="42" t="n">
        <f aca="false">IF($P18&gt;0,K18*K$33/$P18,0)</f>
        <v>0.73972602739726</v>
      </c>
      <c r="Z18" s="42" t="n">
        <f aca="false">IF($P18&gt;0,L18*L$33/$P18,0)</f>
        <v>0</v>
      </c>
      <c r="AA18" s="42" t="n">
        <f aca="false">IF($P18&gt;0,M18*M$33/$P18,0)</f>
        <v>0</v>
      </c>
      <c r="AB18" s="42" t="n">
        <f aca="false">IF($P18&gt;0,N18*N$33/$P18,0)</f>
        <v>0</v>
      </c>
      <c r="AC18" s="42" t="n">
        <f aca="false">IF($P18&gt;0,O18*O$33/$P18,0)</f>
        <v>0</v>
      </c>
    </row>
    <row r="19" customFormat="false" ht="15" hidden="false" customHeight="true" outlineLevel="0" collapsed="false">
      <c r="A19" s="10" t="s">
        <v>522</v>
      </c>
      <c r="B19" s="10" t="s">
        <v>523</v>
      </c>
      <c r="C19" s="32" t="n">
        <v>63.64</v>
      </c>
      <c r="D19" s="32" t="n">
        <v>31.46</v>
      </c>
      <c r="E19" s="32" t="n">
        <v>124.26</v>
      </c>
      <c r="F19" s="32" t="n">
        <v>0</v>
      </c>
      <c r="G19" s="32" t="n">
        <v>60.51</v>
      </c>
      <c r="H19" s="32" t="n">
        <v>0</v>
      </c>
      <c r="I19" s="32" t="n">
        <v>16.24</v>
      </c>
      <c r="J19" s="32" t="n">
        <v>0</v>
      </c>
      <c r="K19" s="32" t="n">
        <v>35.78</v>
      </c>
      <c r="L19" s="32" t="n">
        <v>0</v>
      </c>
      <c r="M19" s="32" t="n">
        <v>110.37</v>
      </c>
      <c r="N19" s="32" t="n">
        <v>29.36</v>
      </c>
      <c r="O19" s="32" t="n">
        <v>0.28</v>
      </c>
      <c r="P19" s="35" t="n">
        <f aca="false">SUMPRODUCT(C19:O19,$C$33:$O$33)</f>
        <v>223.18</v>
      </c>
      <c r="Q19" s="42" t="n">
        <f aca="false">IF($P19&gt;0,C19*C$33/$P19,0)</f>
        <v>0</v>
      </c>
      <c r="R19" s="42" t="n">
        <f aca="false">IF($P19&gt;0,D19*D$33/$P19,0)</f>
        <v>0</v>
      </c>
      <c r="S19" s="42" t="n">
        <f aca="false">IF($P19&gt;0,E19*E$33/$P19,0)</f>
        <v>0</v>
      </c>
      <c r="T19" s="42" t="n">
        <f aca="false">IF($P19&gt;0,F19*F$33/$P19,0)</f>
        <v>0</v>
      </c>
      <c r="U19" s="42" t="n">
        <f aca="false">IF($P19&gt;0,G19*G$33/$P19,0)</f>
        <v>0.271126445021955</v>
      </c>
      <c r="V19" s="42" t="n">
        <f aca="false">IF($P19&gt;0,H19*H$33/$P19,0)</f>
        <v>0</v>
      </c>
      <c r="W19" s="42" t="n">
        <f aca="false">IF($P19&gt;0,I19*I$33/$P19,0)</f>
        <v>0.0727663769154942</v>
      </c>
      <c r="X19" s="42" t="n">
        <f aca="false">IF($P19&gt;0,J19*J$33/$P19,0)</f>
        <v>0</v>
      </c>
      <c r="Y19" s="42" t="n">
        <f aca="false">IF($P19&gt;0,K19*K$33/$P19,0)</f>
        <v>0.16031902500224</v>
      </c>
      <c r="Z19" s="42" t="n">
        <f aca="false">IF($P19&gt;0,L19*L$33/$P19,0)</f>
        <v>0</v>
      </c>
      <c r="AA19" s="42" t="n">
        <f aca="false">IF($P19&gt;0,M19*M$33/$P19,0)</f>
        <v>0.494533560354871</v>
      </c>
      <c r="AB19" s="42" t="n">
        <f aca="false">IF($P19&gt;0,N19*N$33/$P19,0)</f>
        <v>0</v>
      </c>
      <c r="AC19" s="42" t="n">
        <f aca="false">IF($P19&gt;0,O19*O$33/$P19,0)</f>
        <v>0.00125459270543956</v>
      </c>
    </row>
    <row r="20" customFormat="false" ht="15" hidden="false" customHeight="true" outlineLevel="0" collapsed="false">
      <c r="A20" s="10" t="s">
        <v>525</v>
      </c>
      <c r="B20" s="10" t="s">
        <v>526</v>
      </c>
      <c r="C20" s="32" t="n">
        <v>25.84</v>
      </c>
      <c r="D20" s="32" t="n">
        <v>27.73</v>
      </c>
      <c r="E20" s="36" t="n">
        <v>441.16</v>
      </c>
      <c r="F20" s="32" t="n">
        <v>0</v>
      </c>
      <c r="G20" s="32" t="n">
        <v>0</v>
      </c>
      <c r="H20" s="32" t="n">
        <v>0</v>
      </c>
      <c r="I20" s="32" t="n">
        <v>0</v>
      </c>
      <c r="J20" s="32" t="n">
        <v>0.21</v>
      </c>
      <c r="K20" s="32" t="n">
        <v>0.08</v>
      </c>
      <c r="L20" s="32" t="n">
        <v>0</v>
      </c>
      <c r="M20" s="32" t="n">
        <v>176.31</v>
      </c>
      <c r="N20" s="32" t="n">
        <v>67.74</v>
      </c>
      <c r="O20" s="32" t="n">
        <v>151.27</v>
      </c>
      <c r="P20" s="35" t="n">
        <f aca="false">SUMPRODUCT(C20:O20,$C$33:$O$33)</f>
        <v>327.87</v>
      </c>
      <c r="Q20" s="42" t="n">
        <f aca="false">IF($P20&gt;0,C20*C$33/$P20,0)</f>
        <v>0</v>
      </c>
      <c r="R20" s="42" t="n">
        <f aca="false">IF($P20&gt;0,D20*D$33/$P20,0)</f>
        <v>0</v>
      </c>
      <c r="S20" s="42" t="n">
        <f aca="false">IF($P20&gt;0,E20*E$33/$P20,0)</f>
        <v>0</v>
      </c>
      <c r="T20" s="42" t="n">
        <f aca="false">IF($P20&gt;0,F20*F$33/$P20,0)</f>
        <v>0</v>
      </c>
      <c r="U20" s="42" t="n">
        <f aca="false">IF($P20&gt;0,G20*G$33/$P20,0)</f>
        <v>0</v>
      </c>
      <c r="V20" s="42" t="n">
        <f aca="false">IF($P20&gt;0,H20*H$33/$P20,0)</f>
        <v>0</v>
      </c>
      <c r="W20" s="42" t="n">
        <f aca="false">IF($P20&gt;0,I20*I$33/$P20,0)</f>
        <v>0</v>
      </c>
      <c r="X20" s="42" t="n">
        <f aca="false">IF($P20&gt;0,J20*J$33/$P20,0)</f>
        <v>0.000640497758257846</v>
      </c>
      <c r="Y20" s="42" t="n">
        <f aca="false">IF($P20&gt;0,K20*K$33/$P20,0)</f>
        <v>0.000243999146002989</v>
      </c>
      <c r="Z20" s="42" t="n">
        <f aca="false">IF($P20&gt;0,L20*L$33/$P20,0)</f>
        <v>0</v>
      </c>
      <c r="AA20" s="42" t="n">
        <f aca="false">IF($P20&gt;0,M20*M$33/$P20,0)</f>
        <v>0.537743617897337</v>
      </c>
      <c r="AB20" s="42" t="n">
        <f aca="false">IF($P20&gt;0,N20*N$33/$P20,0)</f>
        <v>0</v>
      </c>
      <c r="AC20" s="42" t="n">
        <f aca="false">IF($P20&gt;0,O20*O$33/$P20,0)</f>
        <v>0.461371885198402</v>
      </c>
    </row>
    <row r="21" customFormat="false" ht="15" hidden="false" customHeight="true" outlineLevel="0" collapsed="false">
      <c r="A21" s="10" t="s">
        <v>527</v>
      </c>
      <c r="B21" s="10" t="s">
        <v>528</v>
      </c>
      <c r="C21" s="32" t="n">
        <v>45.19</v>
      </c>
      <c r="D21" s="32" t="n">
        <v>0.53</v>
      </c>
      <c r="E21" s="36" t="n">
        <v>127.96</v>
      </c>
      <c r="F21" s="32" t="n">
        <v>1.55</v>
      </c>
      <c r="G21" s="36" t="n">
        <v>69.02</v>
      </c>
      <c r="H21" s="32" t="n">
        <v>0</v>
      </c>
      <c r="I21" s="32" t="n">
        <v>14.61</v>
      </c>
      <c r="J21" s="32" t="n">
        <v>0</v>
      </c>
      <c r="K21" s="32" t="n">
        <v>0</v>
      </c>
      <c r="L21" s="32" t="n">
        <v>0</v>
      </c>
      <c r="M21" s="32" t="n">
        <v>2.11</v>
      </c>
      <c r="N21" s="32" t="n">
        <v>47.66</v>
      </c>
      <c r="O21" s="32" t="n">
        <v>0</v>
      </c>
      <c r="P21" s="35" t="n">
        <f aca="false">SUMPRODUCT(C21:O21,$C$33:$O$33)</f>
        <v>87.29</v>
      </c>
      <c r="Q21" s="42" t="n">
        <f aca="false">IF($P21&gt;0,C21*C$33/$P21,0)</f>
        <v>0</v>
      </c>
      <c r="R21" s="42" t="n">
        <f aca="false">IF($P21&gt;0,D21*D$33/$P21,0)</f>
        <v>0</v>
      </c>
      <c r="S21" s="42" t="n">
        <f aca="false">IF($P21&gt;0,E21*E$33/$P21,0)</f>
        <v>0</v>
      </c>
      <c r="T21" s="42" t="n">
        <f aca="false">IF($P21&gt;0,F21*F$33/$P21,0)</f>
        <v>0.0177569022797571</v>
      </c>
      <c r="U21" s="42" t="n">
        <f aca="false">IF($P21&gt;0,G21*G$33/$P21,0)</f>
        <v>0.790697674418605</v>
      </c>
      <c r="V21" s="42" t="n">
        <f aca="false">IF($P21&gt;0,H21*H$33/$P21,0)</f>
        <v>0</v>
      </c>
      <c r="W21" s="42" t="n">
        <f aca="false">IF($P21&gt;0,I21*I$33/$P21,0)</f>
        <v>0.167373124069195</v>
      </c>
      <c r="X21" s="42" t="n">
        <f aca="false">IF($P21&gt;0,J21*J$33/$P21,0)</f>
        <v>0</v>
      </c>
      <c r="Y21" s="42" t="n">
        <f aca="false">IF($P21&gt;0,K21*K$33/$P21,0)</f>
        <v>0</v>
      </c>
      <c r="Z21" s="42" t="n">
        <f aca="false">IF($P21&gt;0,L21*L$33/$P21,0)</f>
        <v>0</v>
      </c>
      <c r="AA21" s="42" t="n">
        <f aca="false">IF($P21&gt;0,M21*M$33/$P21,0)</f>
        <v>0.0241722992324436</v>
      </c>
      <c r="AB21" s="42" t="n">
        <f aca="false">IF($P21&gt;0,N21*N$33/$P21,0)</f>
        <v>0</v>
      </c>
      <c r="AC21" s="42" t="n">
        <f aca="false">IF($P21&gt;0,O21*O$33/$P21,0)</f>
        <v>0</v>
      </c>
    </row>
    <row r="22" customFormat="false" ht="15" hidden="false" customHeight="true" outlineLevel="0" collapsed="false">
      <c r="A22" s="10" t="s">
        <v>530</v>
      </c>
      <c r="B22" s="10" t="s">
        <v>531</v>
      </c>
      <c r="C22" s="32" t="n">
        <v>112</v>
      </c>
      <c r="D22" s="32" t="n">
        <v>0</v>
      </c>
      <c r="E22" s="36" t="n">
        <v>240.5</v>
      </c>
      <c r="F22" s="32" t="n">
        <v>0</v>
      </c>
      <c r="G22" s="36" t="n">
        <v>145.33</v>
      </c>
      <c r="H22" s="32" t="n">
        <v>0</v>
      </c>
      <c r="I22" s="32" t="n">
        <v>13.46</v>
      </c>
      <c r="J22" s="32" t="n">
        <v>0</v>
      </c>
      <c r="K22" s="32" t="n">
        <v>0</v>
      </c>
      <c r="L22" s="32" t="n">
        <v>0</v>
      </c>
      <c r="M22" s="32" t="n">
        <v>193.72</v>
      </c>
      <c r="N22" s="32" t="n">
        <v>85.23</v>
      </c>
      <c r="O22" s="32" t="n">
        <v>0</v>
      </c>
      <c r="P22" s="35" t="n">
        <f aca="false">SUMPRODUCT(C22:O22,$C$33:$O$33)</f>
        <v>352.51</v>
      </c>
      <c r="Q22" s="42" t="n">
        <f aca="false">IF($P22&gt;0,C22*C$33/$P22,0)</f>
        <v>0</v>
      </c>
      <c r="R22" s="42" t="n">
        <f aca="false">IF($P22&gt;0,D22*D$33/$P22,0)</f>
        <v>0</v>
      </c>
      <c r="S22" s="42" t="n">
        <f aca="false">IF($P22&gt;0,E22*E$33/$P22,0)</f>
        <v>0</v>
      </c>
      <c r="T22" s="42" t="n">
        <f aca="false">IF($P22&gt;0,F22*F$33/$P22,0)</f>
        <v>0</v>
      </c>
      <c r="U22" s="42" t="n">
        <f aca="false">IF($P22&gt;0,G22*G$33/$P22,0)</f>
        <v>0.412271992283907</v>
      </c>
      <c r="V22" s="42" t="n">
        <f aca="false">IF($P22&gt;0,H22*H$33/$P22,0)</f>
        <v>0</v>
      </c>
      <c r="W22" s="42" t="n">
        <f aca="false">IF($P22&gt;0,I22*I$33/$P22,0)</f>
        <v>0.0381833139485405</v>
      </c>
      <c r="X22" s="42" t="n">
        <f aca="false">IF($P22&gt;0,J22*J$33/$P22,0)</f>
        <v>0</v>
      </c>
      <c r="Y22" s="42" t="n">
        <f aca="false">IF($P22&gt;0,K22*K$33/$P22,0)</f>
        <v>0</v>
      </c>
      <c r="Z22" s="42" t="n">
        <f aca="false">IF($P22&gt;0,L22*L$33/$P22,0)</f>
        <v>0</v>
      </c>
      <c r="AA22" s="42" t="n">
        <f aca="false">IF($P22&gt;0,M22*M$33/$P22,0)</f>
        <v>0.549544693767553</v>
      </c>
      <c r="AB22" s="42" t="n">
        <f aca="false">IF($P22&gt;0,N22*N$33/$P22,0)</f>
        <v>0</v>
      </c>
      <c r="AC22" s="42" t="n">
        <f aca="false">IF($P22&gt;0,O22*O$33/$P22,0)</f>
        <v>0</v>
      </c>
    </row>
    <row r="23" customFormat="false" ht="15" hidden="false" customHeight="true" outlineLevel="0" collapsed="false">
      <c r="A23" s="10" t="s">
        <v>532</v>
      </c>
      <c r="B23" s="10" t="s">
        <v>533</v>
      </c>
      <c r="C23" s="32" t="n">
        <v>48.88</v>
      </c>
      <c r="D23" s="32" t="n">
        <v>0</v>
      </c>
      <c r="E23" s="36" t="n">
        <v>94.85</v>
      </c>
      <c r="F23" s="32" t="n">
        <v>0</v>
      </c>
      <c r="G23" s="36" t="n">
        <v>25.99</v>
      </c>
      <c r="H23" s="32" t="n">
        <v>0</v>
      </c>
      <c r="I23" s="32" t="n">
        <v>10.55</v>
      </c>
      <c r="J23" s="32" t="n">
        <v>0</v>
      </c>
      <c r="K23" s="32" t="n">
        <v>0</v>
      </c>
      <c r="L23" s="32" t="n">
        <v>0</v>
      </c>
      <c r="M23" s="32" t="n">
        <v>127.09</v>
      </c>
      <c r="N23" s="32" t="n">
        <v>32.46</v>
      </c>
      <c r="O23" s="32" t="n">
        <v>0</v>
      </c>
      <c r="P23" s="35" t="n">
        <f aca="false">SUMPRODUCT(C23:O23,$C$33:$O$33)</f>
        <v>163.63</v>
      </c>
      <c r="Q23" s="42" t="n">
        <f aca="false">IF($P23&gt;0,C23*C$33/$P23,0)</f>
        <v>0</v>
      </c>
      <c r="R23" s="42" t="n">
        <f aca="false">IF($P23&gt;0,D23*D$33/$P23,0)</f>
        <v>0</v>
      </c>
      <c r="S23" s="42" t="n">
        <f aca="false">IF($P23&gt;0,E23*E$33/$P23,0)</f>
        <v>0</v>
      </c>
      <c r="T23" s="42" t="n">
        <f aca="false">IF($P23&gt;0,F23*F$33/$P23,0)</f>
        <v>0</v>
      </c>
      <c r="U23" s="42" t="n">
        <f aca="false">IF($P23&gt;0,G23*G$33/$P23,0)</f>
        <v>0.158833954653792</v>
      </c>
      <c r="V23" s="42" t="n">
        <f aca="false">IF($P23&gt;0,H23*H$33/$P23,0)</f>
        <v>0</v>
      </c>
      <c r="W23" s="42" t="n">
        <f aca="false">IF($P23&gt;0,I23*I$33/$P23,0)</f>
        <v>0.0644747295728167</v>
      </c>
      <c r="X23" s="42" t="n">
        <f aca="false">IF($P23&gt;0,J23*J$33/$P23,0)</f>
        <v>0</v>
      </c>
      <c r="Y23" s="42" t="n">
        <f aca="false">IF($P23&gt;0,K23*K$33/$P23,0)</f>
        <v>0</v>
      </c>
      <c r="Z23" s="42" t="n">
        <f aca="false">IF($P23&gt;0,L23*L$33/$P23,0)</f>
        <v>0</v>
      </c>
      <c r="AA23" s="42" t="n">
        <f aca="false">IF($P23&gt;0,M23*M$33/$P23,0)</f>
        <v>0.776691315773391</v>
      </c>
      <c r="AB23" s="42" t="n">
        <f aca="false">IF($P23&gt;0,N23*N$33/$P23,0)</f>
        <v>0</v>
      </c>
      <c r="AC23" s="42" t="n">
        <f aca="false">IF($P23&gt;0,O23*O$33/$P23,0)</f>
        <v>0</v>
      </c>
    </row>
    <row r="24" customFormat="false" ht="15" hidden="false" customHeight="true" outlineLevel="0" collapsed="false">
      <c r="A24" s="10" t="s">
        <v>534</v>
      </c>
      <c r="B24" s="10" t="s">
        <v>534</v>
      </c>
      <c r="C24" s="32" t="n">
        <v>5.96</v>
      </c>
      <c r="D24" s="32" t="n">
        <v>4.19</v>
      </c>
      <c r="E24" s="36" t="n">
        <v>51.7</v>
      </c>
      <c r="F24" s="32" t="n">
        <v>0</v>
      </c>
      <c r="G24" s="32" t="n">
        <v>41.39</v>
      </c>
      <c r="H24" s="32" t="n">
        <v>0</v>
      </c>
      <c r="I24" s="32" t="n">
        <v>3.66</v>
      </c>
      <c r="J24" s="32" t="n">
        <v>0</v>
      </c>
      <c r="K24" s="32" t="n">
        <v>2.14</v>
      </c>
      <c r="L24" s="32" t="n">
        <v>0</v>
      </c>
      <c r="M24" s="32" t="n">
        <v>129.23</v>
      </c>
      <c r="N24" s="32" t="n">
        <v>93.13</v>
      </c>
      <c r="O24" s="32" t="n">
        <v>79.35</v>
      </c>
      <c r="P24" s="35" t="n">
        <f aca="false">SUMPRODUCT(C24:O24,$C$33:$O$33)</f>
        <v>255.77</v>
      </c>
      <c r="Q24" s="42" t="n">
        <f aca="false">IF($P24&gt;0,C24*C$33/$P24,0)</f>
        <v>0</v>
      </c>
      <c r="R24" s="42" t="n">
        <f aca="false">IF($P24&gt;0,D24*D$33/$P24,0)</f>
        <v>0</v>
      </c>
      <c r="S24" s="42" t="n">
        <f aca="false">IF($P24&gt;0,E24*E$33/$P24,0)</f>
        <v>0</v>
      </c>
      <c r="T24" s="42" t="n">
        <f aca="false">IF($P24&gt;0,F24*F$33/$P24,0)</f>
        <v>0</v>
      </c>
      <c r="U24" s="42" t="n">
        <f aca="false">IF($P24&gt;0,G24*G$33/$P24,0)</f>
        <v>0.161825077217813</v>
      </c>
      <c r="V24" s="42" t="n">
        <f aca="false">IF($P24&gt;0,H24*H$33/$P24,0)</f>
        <v>0</v>
      </c>
      <c r="W24" s="42" t="n">
        <f aca="false">IF($P24&gt;0,I24*I$33/$P24,0)</f>
        <v>0.0143097313993041</v>
      </c>
      <c r="X24" s="42" t="n">
        <f aca="false">IF($P24&gt;0,J24*J$33/$P24,0)</f>
        <v>0</v>
      </c>
      <c r="Y24" s="42" t="n">
        <f aca="false">IF($P24&gt;0,K24*K$33/$P24,0)</f>
        <v>0.00836689212964773</v>
      </c>
      <c r="Z24" s="42" t="n">
        <f aca="false">IF($P24&gt;0,L24*L$33/$P24,0)</f>
        <v>0</v>
      </c>
      <c r="AA24" s="42" t="n">
        <f aca="false">IF($P24&gt;0,M24*M$33/$P24,0)</f>
        <v>0.50525863080111</v>
      </c>
      <c r="AB24" s="42" t="n">
        <f aca="false">IF($P24&gt;0,N24*N$33/$P24,0)</f>
        <v>0</v>
      </c>
      <c r="AC24" s="42" t="n">
        <f aca="false">IF($P24&gt;0,O24*O$33/$P24,0)</f>
        <v>0.310239668452125</v>
      </c>
    </row>
    <row r="25" customFormat="false" ht="15" hidden="false" customHeight="true" outlineLevel="0" collapsed="false">
      <c r="A25" s="10" t="s">
        <v>535</v>
      </c>
      <c r="B25" s="10" t="s">
        <v>535</v>
      </c>
      <c r="C25" s="32" t="n">
        <v>0</v>
      </c>
      <c r="D25" s="36" t="n">
        <v>98.52</v>
      </c>
      <c r="E25" s="32" t="n">
        <v>361.31</v>
      </c>
      <c r="F25" s="32" t="n">
        <v>0</v>
      </c>
      <c r="G25" s="32" t="n">
        <v>24.89</v>
      </c>
      <c r="H25" s="32" t="n">
        <v>0</v>
      </c>
      <c r="I25" s="32" t="n">
        <v>0</v>
      </c>
      <c r="J25" s="36" t="n">
        <v>42.43</v>
      </c>
      <c r="K25" s="32" t="n">
        <v>0</v>
      </c>
      <c r="L25" s="32" t="n">
        <v>4.92</v>
      </c>
      <c r="M25" s="32" t="n">
        <v>33.46</v>
      </c>
      <c r="N25" s="32" t="n">
        <v>95.94</v>
      </c>
      <c r="O25" s="32" t="n">
        <v>39.12</v>
      </c>
      <c r="P25" s="35" t="n">
        <f aca="false">SUMPRODUCT(C25:O25,$C$33:$O$33)</f>
        <v>139.9</v>
      </c>
      <c r="Q25" s="42" t="n">
        <f aca="false">IF($P25&gt;0,C25*C$33/$P25,0)</f>
        <v>0</v>
      </c>
      <c r="R25" s="42" t="n">
        <f aca="false">IF($P25&gt;0,D25*D$33/$P25,0)</f>
        <v>0</v>
      </c>
      <c r="S25" s="42" t="n">
        <f aca="false">IF($P25&gt;0,E25*E$33/$P25,0)</f>
        <v>0</v>
      </c>
      <c r="T25" s="42" t="n">
        <f aca="false">IF($P25&gt;0,F25*F$33/$P25,0)</f>
        <v>0</v>
      </c>
      <c r="U25" s="42" t="n">
        <f aca="false">IF($P25&gt;0,G25*G$33/$P25,0)</f>
        <v>0.177912794853467</v>
      </c>
      <c r="V25" s="42" t="n">
        <f aca="false">IF($P25&gt;0,H25*H$33/$P25,0)</f>
        <v>0</v>
      </c>
      <c r="W25" s="42" t="n">
        <f aca="false">IF($P25&gt;0,I25*I$33/$P25,0)</f>
        <v>0</v>
      </c>
      <c r="X25" s="42" t="n">
        <f aca="false">IF($P25&gt;0,J25*J$33/$P25,0)</f>
        <v>0.303288062902073</v>
      </c>
      <c r="Y25" s="42" t="n">
        <f aca="false">IF($P25&gt;0,K25*K$33/$P25,0)</f>
        <v>0</v>
      </c>
      <c r="Z25" s="42" t="n">
        <f aca="false">IF($P25&gt;0,L25*L$33/$P25,0)</f>
        <v>0</v>
      </c>
      <c r="AA25" s="42" t="n">
        <f aca="false">IF($P25&gt;0,M25*M$33/$P25,0)</f>
        <v>0.239170836311651</v>
      </c>
      <c r="AB25" s="42" t="n">
        <f aca="false">IF($P25&gt;0,N25*N$33/$P25,0)</f>
        <v>0</v>
      </c>
      <c r="AC25" s="42" t="n">
        <f aca="false">IF($P25&gt;0,O25*O$33/$P25,0)</f>
        <v>0.279628305932809</v>
      </c>
    </row>
    <row r="26" customFormat="false" ht="15" hidden="false" customHeight="true" outlineLevel="0" collapsed="false">
      <c r="A26" s="10" t="s">
        <v>537</v>
      </c>
      <c r="B26" s="10" t="s">
        <v>537</v>
      </c>
      <c r="C26" s="32" t="n">
        <v>41.87</v>
      </c>
      <c r="D26" s="36" t="n">
        <v>20.96</v>
      </c>
      <c r="E26" s="36" t="n">
        <v>139.02</v>
      </c>
      <c r="F26" s="32" t="n">
        <v>0</v>
      </c>
      <c r="G26" s="32" t="n">
        <v>3.12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2.55</v>
      </c>
      <c r="N26" s="32" t="n">
        <v>43.5</v>
      </c>
      <c r="O26" s="32" t="n">
        <v>31.94</v>
      </c>
      <c r="P26" s="35" t="n">
        <f aca="false">SUMPRODUCT(C26:O26,$C$33:$O$33)</f>
        <v>37.61</v>
      </c>
      <c r="Q26" s="42" t="n">
        <f aca="false">IF($P26&gt;0,C26*C$33/$P26,0)</f>
        <v>0</v>
      </c>
      <c r="R26" s="42" t="n">
        <f aca="false">IF($P26&gt;0,D26*D$33/$P26,0)</f>
        <v>0</v>
      </c>
      <c r="S26" s="42" t="n">
        <f aca="false">IF($P26&gt;0,E26*E$33/$P26,0)</f>
        <v>0</v>
      </c>
      <c r="T26" s="42" t="n">
        <f aca="false">IF($P26&gt;0,F26*F$33/$P26,0)</f>
        <v>0</v>
      </c>
      <c r="U26" s="42" t="n">
        <f aca="false">IF($P26&gt;0,G26*G$33/$P26,0)</f>
        <v>0.0829566604626429</v>
      </c>
      <c r="V26" s="42" t="n">
        <f aca="false">IF($P26&gt;0,H26*H$33/$P26,0)</f>
        <v>0</v>
      </c>
      <c r="W26" s="42" t="n">
        <f aca="false">IF($P26&gt;0,I26*I$33/$P26,0)</f>
        <v>0</v>
      </c>
      <c r="X26" s="42" t="n">
        <f aca="false">IF($P26&gt;0,J26*J$33/$P26,0)</f>
        <v>0</v>
      </c>
      <c r="Y26" s="42" t="n">
        <f aca="false">IF($P26&gt;0,K26*K$33/$P26,0)</f>
        <v>0</v>
      </c>
      <c r="Z26" s="42" t="n">
        <f aca="false">IF($P26&gt;0,L26*L$33/$P26,0)</f>
        <v>0</v>
      </c>
      <c r="AA26" s="42" t="n">
        <f aca="false">IF($P26&gt;0,M26*M$33/$P26,0)</f>
        <v>0.0678011167242755</v>
      </c>
      <c r="AB26" s="42" t="n">
        <f aca="false">IF($P26&gt;0,N26*N$33/$P26,0)</f>
        <v>0</v>
      </c>
      <c r="AC26" s="42" t="n">
        <f aca="false">IF($P26&gt;0,O26*O$33/$P26,0)</f>
        <v>0.849242222813082</v>
      </c>
    </row>
    <row r="27" customFormat="false" ht="15" hidden="false" customHeight="true" outlineLevel="0" collapsed="false">
      <c r="A27" s="10" t="s">
        <v>538</v>
      </c>
      <c r="B27" s="10" t="s">
        <v>539</v>
      </c>
      <c r="C27" s="32" t="n">
        <v>42.23</v>
      </c>
      <c r="D27" s="32" t="n">
        <v>0</v>
      </c>
      <c r="E27" s="36" t="n">
        <v>128.38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49.24</v>
      </c>
      <c r="P27" s="35" t="n">
        <f aca="false">SUMPRODUCT(C27:O27,$C$33:$O$33)</f>
        <v>49.24</v>
      </c>
      <c r="Q27" s="42" t="n">
        <f aca="false">IF($P27&gt;0,C27*C$33/$P27,0)</f>
        <v>0</v>
      </c>
      <c r="R27" s="42" t="n">
        <f aca="false">IF($P27&gt;0,D27*D$33/$P27,0)</f>
        <v>0</v>
      </c>
      <c r="S27" s="42" t="n">
        <f aca="false">IF($P27&gt;0,E27*E$33/$P27,0)</f>
        <v>0</v>
      </c>
      <c r="T27" s="42" t="n">
        <f aca="false">IF($P27&gt;0,F27*F$33/$P27,0)</f>
        <v>0</v>
      </c>
      <c r="U27" s="42" t="n">
        <f aca="false">IF($P27&gt;0,G27*G$33/$P27,0)</f>
        <v>0</v>
      </c>
      <c r="V27" s="42" t="n">
        <f aca="false">IF($P27&gt;0,H27*H$33/$P27,0)</f>
        <v>0</v>
      </c>
      <c r="W27" s="42" t="n">
        <f aca="false">IF($P27&gt;0,I27*I$33/$P27,0)</f>
        <v>0</v>
      </c>
      <c r="X27" s="42" t="n">
        <f aca="false">IF($P27&gt;0,J27*J$33/$P27,0)</f>
        <v>0</v>
      </c>
      <c r="Y27" s="42" t="n">
        <f aca="false">IF($P27&gt;0,K27*K$33/$P27,0)</f>
        <v>0</v>
      </c>
      <c r="Z27" s="42" t="n">
        <f aca="false">IF($P27&gt;0,L27*L$33/$P27,0)</f>
        <v>0</v>
      </c>
      <c r="AA27" s="42" t="n">
        <f aca="false">IF($P27&gt;0,M27*M$33/$P27,0)</f>
        <v>0</v>
      </c>
      <c r="AB27" s="42" t="n">
        <f aca="false">IF($P27&gt;0,N27*N$33/$P27,0)</f>
        <v>0</v>
      </c>
      <c r="AC27" s="42" t="n">
        <f aca="false">IF($P27&gt;0,O27*O$33/$P27,0)</f>
        <v>1</v>
      </c>
    </row>
    <row r="28" customFormat="false" ht="15" hidden="false" customHeight="true" outlineLevel="0" collapsed="false">
      <c r="A28" s="10" t="s">
        <v>540</v>
      </c>
      <c r="B28" s="10" t="s">
        <v>541</v>
      </c>
      <c r="C28" s="36" t="n">
        <v>183.45</v>
      </c>
      <c r="D28" s="32" t="n">
        <v>0</v>
      </c>
      <c r="E28" s="32" t="n">
        <v>134.51</v>
      </c>
      <c r="F28" s="32" t="n">
        <v>0</v>
      </c>
      <c r="G28" s="32" t="n">
        <v>54.3</v>
      </c>
      <c r="H28" s="32" t="n">
        <v>1.45</v>
      </c>
      <c r="I28" s="32" t="n">
        <v>0</v>
      </c>
      <c r="J28" s="32" t="n">
        <v>0</v>
      </c>
      <c r="K28" s="32" t="n">
        <v>11.32</v>
      </c>
      <c r="L28" s="32" t="n">
        <v>0</v>
      </c>
      <c r="M28" s="32" t="n">
        <v>68.35</v>
      </c>
      <c r="N28" s="32" t="n">
        <v>78.23</v>
      </c>
      <c r="O28" s="32" t="n">
        <v>0</v>
      </c>
      <c r="P28" s="35" t="n">
        <f aca="false">SUMPRODUCT(C28:O28,$C$33:$O$33)</f>
        <v>135.42</v>
      </c>
      <c r="Q28" s="42" t="n">
        <f aca="false">IF($P28&gt;0,C28*C$33/$P28,0)</f>
        <v>0</v>
      </c>
      <c r="R28" s="42" t="n">
        <f aca="false">IF($P28&gt;0,D28*D$33/$P28,0)</f>
        <v>0</v>
      </c>
      <c r="S28" s="42" t="n">
        <f aca="false">IF($P28&gt;0,E28*E$33/$P28,0)</f>
        <v>0</v>
      </c>
      <c r="T28" s="42" t="n">
        <f aca="false">IF($P28&gt;0,F28*F$33/$P28,0)</f>
        <v>0</v>
      </c>
      <c r="U28" s="42" t="n">
        <f aca="false">IF($P28&gt;0,G28*G$33/$P28,0)</f>
        <v>0.40097474523704</v>
      </c>
      <c r="V28" s="42" t="n">
        <f aca="false">IF($P28&gt;0,H28*H$33/$P28,0)</f>
        <v>0.0107074287402156</v>
      </c>
      <c r="W28" s="42" t="n">
        <f aca="false">IF($P28&gt;0,I28*I$33/$P28,0)</f>
        <v>0</v>
      </c>
      <c r="X28" s="42" t="n">
        <f aca="false">IF($P28&gt;0,J28*J$33/$P28,0)</f>
        <v>0</v>
      </c>
      <c r="Y28" s="42" t="n">
        <f aca="false">IF($P28&gt;0,K28*K$33/$P28,0)</f>
        <v>0.0835917885098213</v>
      </c>
      <c r="Z28" s="42" t="n">
        <f aca="false">IF($P28&gt;0,L28*L$33/$P28,0)</f>
        <v>0</v>
      </c>
      <c r="AA28" s="42" t="n">
        <f aca="false">IF($P28&gt;0,M28*M$33/$P28,0)</f>
        <v>0.504726037512923</v>
      </c>
      <c r="AB28" s="42" t="n">
        <f aca="false">IF($P28&gt;0,N28*N$33/$P28,0)</f>
        <v>0</v>
      </c>
      <c r="AC28" s="42" t="n">
        <f aca="false">IF($P28&gt;0,O28*O$33/$P28,0)</f>
        <v>0</v>
      </c>
    </row>
    <row r="29" customFormat="false" ht="15" hidden="false" customHeight="true" outlineLevel="0" collapsed="false">
      <c r="A29" s="10" t="s">
        <v>543</v>
      </c>
      <c r="B29" s="10" t="s">
        <v>544</v>
      </c>
      <c r="C29" s="36" t="n">
        <v>3.11</v>
      </c>
      <c r="D29" s="36" t="n">
        <v>2.02</v>
      </c>
      <c r="E29" s="32" t="n">
        <v>1.69</v>
      </c>
      <c r="F29" s="32" t="n">
        <v>0.65</v>
      </c>
      <c r="G29" s="32" t="n">
        <v>5.27</v>
      </c>
      <c r="H29" s="32" t="n">
        <v>0</v>
      </c>
      <c r="I29" s="32" t="n">
        <v>1.83</v>
      </c>
      <c r="J29" s="32" t="n">
        <v>0.71</v>
      </c>
      <c r="K29" s="32" t="n">
        <v>0.98</v>
      </c>
      <c r="L29" s="32" t="n">
        <v>0</v>
      </c>
      <c r="M29" s="32" t="n">
        <v>8.66</v>
      </c>
      <c r="N29" s="32" t="n">
        <v>0</v>
      </c>
      <c r="O29" s="32" t="n">
        <v>0.18</v>
      </c>
      <c r="P29" s="35" t="n">
        <f aca="false">SUMPRODUCT(C29:O29,$C$33:$O$33)</f>
        <v>18.28</v>
      </c>
      <c r="Q29" s="42" t="n">
        <f aca="false">IF($P29&gt;0,C29*C$33/$P29,0)</f>
        <v>0</v>
      </c>
      <c r="R29" s="42" t="n">
        <f aca="false">IF($P29&gt;0,D29*D$33/$P29,0)</f>
        <v>0</v>
      </c>
      <c r="S29" s="42" t="n">
        <f aca="false">IF($P29&gt;0,E29*E$33/$P29,0)</f>
        <v>0</v>
      </c>
      <c r="T29" s="42" t="n">
        <f aca="false">IF($P29&gt;0,F29*F$33/$P29,0)</f>
        <v>0.0355579868708972</v>
      </c>
      <c r="U29" s="42" t="n">
        <f aca="false">IF($P29&gt;0,G29*G$33/$P29,0)</f>
        <v>0.288293216630197</v>
      </c>
      <c r="V29" s="42" t="n">
        <f aca="false">IF($P29&gt;0,H29*H$33/$P29,0)</f>
        <v>0</v>
      </c>
      <c r="W29" s="42" t="n">
        <f aca="false">IF($P29&gt;0,I29*I$33/$P29,0)</f>
        <v>0.100109409190372</v>
      </c>
      <c r="X29" s="42" t="n">
        <f aca="false">IF($P29&gt;0,J29*J$33/$P29,0)</f>
        <v>0.0388402625820569</v>
      </c>
      <c r="Y29" s="42" t="n">
        <f aca="false">IF($P29&gt;0,K29*K$33/$P29,0)</f>
        <v>0.0536105032822757</v>
      </c>
      <c r="Z29" s="42" t="n">
        <f aca="false">IF($P29&gt;0,L29*L$33/$P29,0)</f>
        <v>0</v>
      </c>
      <c r="AA29" s="42" t="n">
        <f aca="false">IF($P29&gt;0,M29*M$33/$P29,0)</f>
        <v>0.473741794310722</v>
      </c>
      <c r="AB29" s="42" t="n">
        <f aca="false">IF($P29&gt;0,N29*N$33/$P29,0)</f>
        <v>0</v>
      </c>
      <c r="AC29" s="42" t="n">
        <f aca="false">IF($P29&gt;0,O29*O$33/$P29,0)</f>
        <v>0.00984682713347921</v>
      </c>
    </row>
    <row r="31" customFormat="false" ht="15" hidden="false" customHeight="true" outlineLevel="0" collapsed="false">
      <c r="B31" s="7" t="s">
        <v>574</v>
      </c>
      <c r="C31" s="40" t="n">
        <v>0.02</v>
      </c>
      <c r="D31" s="40" t="n">
        <v>0.06</v>
      </c>
      <c r="E31" s="40" t="n">
        <v>0.3</v>
      </c>
      <c r="F31" s="40" t="n">
        <v>0.25</v>
      </c>
      <c r="G31" s="40" t="n">
        <v>0.75</v>
      </c>
      <c r="H31" s="40" t="n">
        <v>1.5</v>
      </c>
      <c r="I31" s="40" t="n">
        <v>3</v>
      </c>
      <c r="J31" s="40" t="n">
        <v>3</v>
      </c>
      <c r="K31" s="40" t="n">
        <v>1.5</v>
      </c>
      <c r="L31" s="40" t="n">
        <v>3</v>
      </c>
      <c r="M31" s="40" t="n">
        <v>0.05</v>
      </c>
      <c r="N31" s="40" t="n">
        <v>3</v>
      </c>
      <c r="O31" s="40" t="n">
        <v>1</v>
      </c>
    </row>
    <row r="32" customFormat="false" ht="15" hidden="false" customHeight="true" outlineLevel="0" collapsed="false">
      <c r="B32" s="7" t="s">
        <v>575</v>
      </c>
      <c r="C32" s="37" t="n">
        <v>0.1</v>
      </c>
      <c r="D32" s="37" t="n">
        <v>0.1</v>
      </c>
      <c r="E32" s="37" t="n">
        <v>0.1</v>
      </c>
      <c r="F32" s="37" t="n">
        <v>0.25</v>
      </c>
      <c r="G32" s="37" t="n">
        <v>0.25</v>
      </c>
      <c r="H32" s="37" t="n">
        <v>0.5</v>
      </c>
      <c r="I32" s="37" t="n">
        <v>1</v>
      </c>
      <c r="J32" s="37" t="n">
        <v>0.5</v>
      </c>
      <c r="K32" s="37" t="n">
        <v>0.5</v>
      </c>
      <c r="L32" s="37" t="n">
        <v>0</v>
      </c>
      <c r="M32" s="37" t="n">
        <v>0.02</v>
      </c>
      <c r="N32" s="37" t="n">
        <v>0</v>
      </c>
      <c r="O32" s="37" t="n">
        <v>0.1</v>
      </c>
    </row>
    <row r="33" customFormat="false" ht="15" hidden="false" customHeight="true" outlineLevel="0" collapsed="false">
      <c r="B33" s="7" t="s">
        <v>576</v>
      </c>
      <c r="C33" s="28" t="n">
        <v>0</v>
      </c>
      <c r="D33" s="28" t="n">
        <v>0</v>
      </c>
      <c r="E33" s="28" t="n">
        <v>0</v>
      </c>
      <c r="F33" s="28" t="n">
        <v>1</v>
      </c>
      <c r="G33" s="28" t="n">
        <v>1</v>
      </c>
      <c r="H33" s="28" t="n">
        <v>1</v>
      </c>
      <c r="I33" s="28" t="n">
        <v>1</v>
      </c>
      <c r="J33" s="28" t="n">
        <v>1</v>
      </c>
      <c r="K33" s="28" t="n">
        <v>1</v>
      </c>
      <c r="L33" s="28" t="n">
        <v>0</v>
      </c>
      <c r="M33" s="28" t="n">
        <v>1</v>
      </c>
      <c r="N33" s="28" t="n">
        <v>0</v>
      </c>
      <c r="O33" s="28" t="n">
        <v>1</v>
      </c>
    </row>
    <row r="34" customFormat="false" ht="15" hidden="false" customHeight="true" outlineLevel="0" collapsed="false">
      <c r="B34" s="7" t="s">
        <v>577</v>
      </c>
      <c r="C34" s="37" t="n">
        <v>0.05</v>
      </c>
      <c r="D34" s="37" t="n">
        <v>0.05</v>
      </c>
      <c r="E34" s="37" t="n">
        <v>0.1</v>
      </c>
      <c r="F34" s="37" t="n">
        <v>0.2</v>
      </c>
      <c r="G34" s="37" t="n">
        <v>0.25</v>
      </c>
      <c r="H34" s="37" t="n">
        <v>0.35</v>
      </c>
      <c r="I34" s="37" t="n">
        <v>0.45</v>
      </c>
      <c r="J34" s="37" t="n">
        <v>0.45</v>
      </c>
      <c r="K34" s="37" t="n">
        <v>0.4</v>
      </c>
      <c r="L34" s="37" t="n">
        <v>0.45</v>
      </c>
      <c r="M34" s="37" t="n">
        <v>0.4</v>
      </c>
      <c r="N34" s="37" t="n">
        <v>0.3</v>
      </c>
      <c r="O34" s="37" t="n">
        <v>0.3</v>
      </c>
    </row>
    <row r="35" customFormat="false" ht="15" hidden="false" customHeight="true" outlineLevel="0" collapsed="false">
      <c r="B35" s="7" t="s">
        <v>578</v>
      </c>
      <c r="C35" s="37" t="n">
        <v>0</v>
      </c>
      <c r="D35" s="37" t="n">
        <v>0</v>
      </c>
      <c r="E35" s="43" t="n">
        <f aca="false">-p_dp_OSOV</f>
        <v>0.02</v>
      </c>
      <c r="F35" s="43" t="n">
        <f aca="false">-p_dp_MUNI</f>
        <v>0.06</v>
      </c>
      <c r="G35" s="43" t="n">
        <f aca="false">-p_dp_IG</f>
        <v>0.08</v>
      </c>
      <c r="H35" s="43" t="n">
        <f aca="false">-p_dp_HY</f>
        <v>0.25</v>
      </c>
      <c r="I35" s="43" t="n">
        <f aca="false">-p_dp_LEV</f>
        <v>0.3</v>
      </c>
      <c r="J35" s="43" t="n">
        <f aca="false">-p_dp_CLO</f>
        <v>0.25</v>
      </c>
      <c r="K35" s="43" t="n">
        <f aca="false">-p_dp_ABS</f>
        <v>0.2</v>
      </c>
      <c r="L35" s="37" t="n">
        <v>0</v>
      </c>
      <c r="M35" s="43" t="n">
        <f aca="false">-p_dp_EQ</f>
        <v>0.45</v>
      </c>
      <c r="N35" s="37" t="n">
        <v>0</v>
      </c>
      <c r="O35" s="37" t="n">
        <v>0</v>
      </c>
    </row>
    <row r="36" customFormat="false" ht="15" hidden="false" customHeight="true" outlineLevel="0" collapsed="false">
      <c r="B36" s="7" t="s">
        <v>579</v>
      </c>
      <c r="C36" s="37" t="n">
        <v>0</v>
      </c>
      <c r="D36" s="37" t="n">
        <v>0</v>
      </c>
      <c r="E36" s="37" t="n">
        <v>0</v>
      </c>
      <c r="F36" s="37" t="n">
        <v>0.03</v>
      </c>
      <c r="G36" s="37" t="n">
        <v>0.25</v>
      </c>
      <c r="H36" s="37" t="n">
        <v>0.11</v>
      </c>
      <c r="I36" s="37" t="n">
        <v>0</v>
      </c>
      <c r="J36" s="37" t="n">
        <v>0</v>
      </c>
      <c r="K36" s="37" t="n">
        <v>0.13</v>
      </c>
      <c r="L36" s="37" t="n">
        <v>0</v>
      </c>
      <c r="M36" s="37" t="n">
        <v>0.48</v>
      </c>
      <c r="N36" s="37" t="n">
        <v>0</v>
      </c>
      <c r="O36" s="37" t="n">
        <v>0</v>
      </c>
    </row>
    <row r="37" customFormat="false" ht="15" hidden="false" customHeight="true" outlineLevel="0" collapsed="false">
      <c r="B37" s="7" t="s">
        <v>580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0.5</v>
      </c>
      <c r="H37" s="37" t="n">
        <v>0</v>
      </c>
      <c r="I37" s="37" t="n">
        <v>0</v>
      </c>
      <c r="J37" s="37" t="n">
        <v>0.2</v>
      </c>
      <c r="K37" s="37" t="n">
        <v>0.15</v>
      </c>
      <c r="L37" s="37" t="n">
        <v>0.15</v>
      </c>
      <c r="M37" s="37" t="n">
        <v>0</v>
      </c>
      <c r="N37" s="37" t="n">
        <v>0</v>
      </c>
      <c r="O37" s="37" t="n">
        <v>0</v>
      </c>
    </row>
    <row r="38" customFormat="false" ht="15" hidden="false" customHeight="true" outlineLevel="0" collapsed="false">
      <c r="B38" s="7" t="s">
        <v>581</v>
      </c>
      <c r="C38" s="35" t="n">
        <f aca="false">CE_ins_sales*C37</f>
        <v>0</v>
      </c>
      <c r="D38" s="35" t="n">
        <f aca="false">CE_ins_sales*D37</f>
        <v>0</v>
      </c>
      <c r="E38" s="35" t="n">
        <f aca="false">CE_ins_sales*E37</f>
        <v>0</v>
      </c>
      <c r="F38" s="35" t="n">
        <f aca="false">CE_ins_sales*F37</f>
        <v>0</v>
      </c>
      <c r="G38" s="35" t="n">
        <f aca="false">CE_ins_sales*G37</f>
        <v>14.78125</v>
      </c>
      <c r="H38" s="35" t="n">
        <f aca="false">CE_ins_sales*H37</f>
        <v>0</v>
      </c>
      <c r="I38" s="35" t="n">
        <f aca="false">CE_ins_sales*I37</f>
        <v>0</v>
      </c>
      <c r="J38" s="35" t="n">
        <f aca="false">CE_ins_sales*J37</f>
        <v>5.9125</v>
      </c>
      <c r="K38" s="35" t="n">
        <f aca="false">CE_ins_sales*K37</f>
        <v>4.434375</v>
      </c>
      <c r="L38" s="35" t="n">
        <f aca="false">CE_ins_sales*L37+CE_nonbank_pcl</f>
        <v>151.833549442618</v>
      </c>
      <c r="M38" s="35" t="n">
        <f aca="false">CE_ins_sales*M37</f>
        <v>0</v>
      </c>
      <c r="N38" s="35" t="n">
        <f aca="false">CE_ins_sales*N37</f>
        <v>0</v>
      </c>
      <c r="O38" s="35" t="n">
        <f aca="false">CE_ins_sales*O37</f>
        <v>0</v>
      </c>
    </row>
    <row r="39" customFormat="false" ht="15" hidden="false" customHeight="true" outlineLevel="0" collapsed="false">
      <c r="B39" s="7" t="s">
        <v>582</v>
      </c>
      <c r="C39" s="37" t="n">
        <v>0</v>
      </c>
      <c r="D39" s="37" t="n">
        <v>0.01</v>
      </c>
      <c r="E39" s="37" t="n">
        <v>0.02</v>
      </c>
      <c r="F39" s="37" t="n">
        <v>0.08</v>
      </c>
      <c r="G39" s="37" t="n">
        <v>0.1</v>
      </c>
      <c r="H39" s="37" t="n">
        <v>0.15</v>
      </c>
      <c r="I39" s="37" t="n">
        <v>0.2</v>
      </c>
      <c r="J39" s="37" t="n">
        <v>0.15</v>
      </c>
      <c r="K39" s="37" t="n">
        <v>0.1</v>
      </c>
      <c r="L39" s="37" t="n">
        <v>0.2</v>
      </c>
      <c r="M39" s="37" t="n">
        <v>0.3</v>
      </c>
      <c r="N39" s="37" t="n">
        <v>0</v>
      </c>
      <c r="O39" s="37" t="n">
        <v>0.1</v>
      </c>
    </row>
    <row r="40" customFormat="false" ht="15" hidden="false" customHeight="true" outlineLevel="0" collapsed="false">
      <c r="B40" s="7" t="s">
        <v>583</v>
      </c>
      <c r="C40" s="6" t="s">
        <v>584</v>
      </c>
      <c r="D40" s="6" t="s">
        <v>585</v>
      </c>
      <c r="E40" s="6" t="s">
        <v>586</v>
      </c>
      <c r="F40" s="6" t="s">
        <v>587</v>
      </c>
      <c r="G40" s="6" t="s">
        <v>588</v>
      </c>
      <c r="H40" s="6" t="s">
        <v>589</v>
      </c>
      <c r="I40" s="6" t="s">
        <v>590</v>
      </c>
      <c r="J40" s="6" t="s">
        <v>591</v>
      </c>
      <c r="K40" s="6" t="s">
        <v>592</v>
      </c>
      <c r="L40" s="6" t="s">
        <v>593</v>
      </c>
      <c r="M40" s="6" t="s">
        <v>594</v>
      </c>
      <c r="N40" s="6" t="s">
        <v>595</v>
      </c>
      <c r="O40" s="6" t="s">
        <v>114</v>
      </c>
    </row>
    <row r="41" customFormat="false" ht="15" hidden="false" customHeight="true" outlineLevel="0" collapsed="false">
      <c r="A41" s="6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0" min="2" style="1" width="11"/>
  </cols>
  <sheetData>
    <row r="1" customFormat="false" ht="17.25" hidden="false" customHeight="true" outlineLevel="0" collapsed="false">
      <c r="A1" s="5" t="s">
        <v>597</v>
      </c>
    </row>
    <row r="2" customFormat="false" ht="15" hidden="false" customHeight="true" outlineLevel="0" collapsed="false">
      <c r="A2" s="6" t="s">
        <v>598</v>
      </c>
    </row>
    <row r="5" customFormat="false" ht="42" hidden="false" customHeight="true" outlineLevel="0" collapsed="false">
      <c r="A5" s="21" t="s">
        <v>599</v>
      </c>
      <c r="B5" s="21" t="s">
        <v>600</v>
      </c>
      <c r="C5" s="21" t="s">
        <v>601</v>
      </c>
      <c r="D5" s="21" t="s">
        <v>602</v>
      </c>
      <c r="E5" s="21" t="s">
        <v>603</v>
      </c>
      <c r="F5" s="21" t="s">
        <v>604</v>
      </c>
      <c r="G5" s="21" t="s">
        <v>605</v>
      </c>
      <c r="H5" s="21" t="s">
        <v>606</v>
      </c>
      <c r="I5" s="21" t="s">
        <v>607</v>
      </c>
      <c r="J5" s="21" t="s">
        <v>608</v>
      </c>
      <c r="K5" s="21" t="s">
        <v>609</v>
      </c>
      <c r="L5" s="21" t="s">
        <v>610</v>
      </c>
      <c r="M5" s="21" t="s">
        <v>611</v>
      </c>
      <c r="N5" s="21" t="s">
        <v>612</v>
      </c>
      <c r="O5" s="21" t="s">
        <v>613</v>
      </c>
      <c r="P5" s="21" t="s">
        <v>614</v>
      </c>
      <c r="Q5" s="21" t="s">
        <v>615</v>
      </c>
      <c r="R5" s="21" t="s">
        <v>616</v>
      </c>
      <c r="S5" s="21" t="s">
        <v>617</v>
      </c>
      <c r="T5" s="21" t="s">
        <v>618</v>
      </c>
      <c r="U5" s="21" t="s">
        <v>619</v>
      </c>
      <c r="V5" s="21" t="s">
        <v>620</v>
      </c>
      <c r="W5" s="21" t="s">
        <v>621</v>
      </c>
      <c r="X5" s="21" t="s">
        <v>622</v>
      </c>
      <c r="Y5" s="21" t="s">
        <v>623</v>
      </c>
      <c r="Z5" s="21" t="s">
        <v>624</v>
      </c>
      <c r="AA5" s="21" t="s">
        <v>625</v>
      </c>
      <c r="AB5" s="21" t="s">
        <v>626</v>
      </c>
      <c r="AC5" s="21" t="s">
        <v>627</v>
      </c>
      <c r="AD5" s="21" t="s">
        <v>628</v>
      </c>
    </row>
    <row r="6" customFormat="false" ht="15" hidden="false" customHeight="true" outlineLevel="0" collapsed="false">
      <c r="A6" s="10" t="s">
        <v>629</v>
      </c>
      <c r="B6" s="31" t="s">
        <v>630</v>
      </c>
      <c r="C6" s="40" t="n">
        <v>77.65</v>
      </c>
      <c r="D6" s="37" t="n">
        <v>0.258</v>
      </c>
      <c r="E6" s="40" t="n">
        <v>0.82</v>
      </c>
      <c r="F6" s="40"/>
      <c r="G6" s="37" t="n">
        <v>0.424</v>
      </c>
      <c r="H6" s="37" t="n">
        <v>0.1</v>
      </c>
      <c r="I6" s="44" t="n">
        <f aca="false">IF(B6="NT",1,0)</f>
        <v>1</v>
      </c>
      <c r="J6" s="43" t="n">
        <f aca="false">1/(1+E6)</f>
        <v>0.54945054945055</v>
      </c>
      <c r="K6" s="43" t="n">
        <f aca="false">E6/(1+E6)</f>
        <v>0.450549450549451</v>
      </c>
      <c r="L6" s="43" t="str">
        <f aca="false">IF(F6="","",MIN(1,1-(1-F6)*J6))</f>
        <v/>
      </c>
      <c r="M6" s="43" t="n">
        <f aca="false">IF(L6="",$C$42,L6)</f>
        <v>0.884331284067868</v>
      </c>
      <c r="N6" s="43" t="n">
        <f aca="false">p_w_mkt*(1-M6)</f>
        <v>0.115668715932132</v>
      </c>
      <c r="O6" s="43" t="n">
        <f aca="false">1-((1-D6)*CE_Lg+D6*CE_Ls)-p_gap-N6</f>
        <v>0.447625832867522</v>
      </c>
      <c r="P6" s="43" t="n">
        <f aca="false">(1-D6)*CE_MTMg+D6*CE_MTMs</f>
        <v>0.0609634350836499</v>
      </c>
      <c r="Q6" s="43" t="n">
        <f aca="false">(1-G6)*K6</f>
        <v>0.259516483516484</v>
      </c>
      <c r="R6" s="45" t="n">
        <f aca="false">O6/K6</f>
        <v>0.993510994901086</v>
      </c>
      <c r="S6" s="43" t="n">
        <f aca="false">(O6-1)/J6</f>
        <v>-1.00532098418111</v>
      </c>
      <c r="T6" s="28" t="n">
        <v>0</v>
      </c>
      <c r="U6" s="44" t="n">
        <f aca="false">MAX(T6,IF(OR(R6&lt;1.75,S6&lt;-0.2),1,0))</f>
        <v>1</v>
      </c>
      <c r="V6" s="43" t="n">
        <f aca="false">MAX(0,1-O6*(1-CE_mig_hc)-p_bb_cush)*Q6</f>
        <v>0.150153996133559</v>
      </c>
      <c r="W6" s="43" t="n">
        <f aca="false">MAX(0,K6-O6/1.5)</f>
        <v>0.152132228637769</v>
      </c>
      <c r="X6" s="43" t="n">
        <f aca="false">I6*J6*MIN(H6,p_red_rate)*(1-0.3)</f>
        <v>0.0384615384615385</v>
      </c>
      <c r="Y6" s="45" t="n">
        <f aca="false">C6*(p_theta_lev*MAX(V6,W6)+X6)</f>
        <v>13.618299259889</v>
      </c>
      <c r="Z6" s="43" t="n">
        <f aca="false">O6-P6-p_c_liq</f>
        <v>0.336662397783872</v>
      </c>
      <c r="AA6" s="43" t="n">
        <f aca="false">p_phi*MAX(0,p_a_spv-Z6)/p_a_spv+(1-p_phi)*MAX(0,p_a_spv-O6)/p_a_spv</f>
        <v>0.487349878856282</v>
      </c>
      <c r="AB6" s="43" t="n">
        <f aca="false">IF(Q6&gt;0,p_phi*MAX(0,Q6-Z6)/Q6+(1-p_phi)*MAX(0,Q6-O6)/Q6,0)</f>
        <v>0</v>
      </c>
      <c r="AC6" s="45" t="n">
        <f aca="false">IF(L6="",0,L6*C6)</f>
        <v>0</v>
      </c>
      <c r="AD6" s="45" t="n">
        <f aca="false">IF(L6="",0,C6)</f>
        <v>0</v>
      </c>
    </row>
    <row r="7" customFormat="false" ht="15" hidden="false" customHeight="true" outlineLevel="0" collapsed="false">
      <c r="A7" s="10" t="s">
        <v>631</v>
      </c>
      <c r="B7" s="31" t="s">
        <v>630</v>
      </c>
      <c r="C7" s="40" t="n">
        <v>35.69</v>
      </c>
      <c r="D7" s="37" t="n">
        <v>0.136</v>
      </c>
      <c r="E7" s="40" t="n">
        <v>0.91</v>
      </c>
      <c r="F7" s="40"/>
      <c r="G7" s="37" t="n">
        <v>0.42</v>
      </c>
      <c r="H7" s="37" t="n">
        <v>0.168</v>
      </c>
      <c r="I7" s="44" t="n">
        <f aca="false">IF(B7="NT",1,0)</f>
        <v>1</v>
      </c>
      <c r="J7" s="43" t="n">
        <f aca="false">1/(1+E7)</f>
        <v>0.523560209424084</v>
      </c>
      <c r="K7" s="43" t="n">
        <f aca="false">E7/(1+E7)</f>
        <v>0.476439790575916</v>
      </c>
      <c r="L7" s="43" t="str">
        <f aca="false">IF(F7="","",MIN(1,1-(1-F7)*J7))</f>
        <v/>
      </c>
      <c r="M7" s="43" t="n">
        <f aca="false">IF(L7="",$C$42,L7)</f>
        <v>0.884331284067868</v>
      </c>
      <c r="N7" s="43" t="n">
        <f aca="false">p_w_mkt*(1-M7)</f>
        <v>0.115668715932132</v>
      </c>
      <c r="O7" s="43" t="n">
        <f aca="false">1-((1-D7)*CE_Lg+D7*CE_Ls)-p_gap-N7</f>
        <v>0.476796782077734</v>
      </c>
      <c r="P7" s="43" t="n">
        <f aca="false">(1-D7)*CE_MTMg+D7*CE_MTMs</f>
        <v>0.0642563755039974</v>
      </c>
      <c r="Q7" s="43" t="n">
        <f aca="false">(1-G7)*K7</f>
        <v>0.276335078534031</v>
      </c>
      <c r="R7" s="45" t="n">
        <f aca="false">O7/K7</f>
        <v>1.00074928985546</v>
      </c>
      <c r="S7" s="43" t="n">
        <f aca="false">(O7-1)/J7</f>
        <v>-0.999318146231529</v>
      </c>
      <c r="T7" s="28" t="n">
        <v>0</v>
      </c>
      <c r="U7" s="44" t="n">
        <f aca="false">MAX(T7,IF(OR(R7&lt;1.75,S7&lt;-0.2),1,0))</f>
        <v>1</v>
      </c>
      <c r="V7" s="43" t="n">
        <f aca="false">MAX(0,1-O7*(1-CE_mig_hc)-p_bb_cush)*Q7</f>
        <v>0.152836506582615</v>
      </c>
      <c r="W7" s="43" t="n">
        <f aca="false">MAX(0,K7-O7/1.5)</f>
        <v>0.15857526919076</v>
      </c>
      <c r="X7" s="43" t="n">
        <f aca="false">I7*J7*MIN(H7,p_red_rate)*(1-0.3)</f>
        <v>0.0549738219895288</v>
      </c>
      <c r="Y7" s="45" t="n">
        <f aca="false">C7*(p_theta_lev*MAX(V7,W7)+X7)</f>
        <v>7.0556119284827</v>
      </c>
      <c r="Z7" s="43" t="n">
        <f aca="false">O7-P7-p_c_liq</f>
        <v>0.362540406573736</v>
      </c>
      <c r="AA7" s="43" t="n">
        <f aca="false">p_phi*MAX(0,p_a_spv-Z7)/p_a_spv+(1-p_phi)*MAX(0,p_a_spv-O7)/p_a_spv</f>
        <v>0.449440454750663</v>
      </c>
      <c r="AB7" s="43" t="n">
        <f aca="false">IF(Q7&gt;0,p_phi*MAX(0,Q7-Z7)/Q7+(1-p_phi)*MAX(0,Q7-O7)/Q7,0)</f>
        <v>0</v>
      </c>
      <c r="AC7" s="45" t="n">
        <f aca="false">IF(L7="",0,L7*C7)</f>
        <v>0</v>
      </c>
      <c r="AD7" s="45" t="n">
        <f aca="false">IF(L7="",0,C7)</f>
        <v>0</v>
      </c>
    </row>
    <row r="8" customFormat="false" ht="15" hidden="false" customHeight="true" outlineLevel="0" collapsed="false">
      <c r="A8" s="10" t="s">
        <v>632</v>
      </c>
      <c r="B8" s="31" t="s">
        <v>633</v>
      </c>
      <c r="C8" s="40" t="n">
        <v>29.35</v>
      </c>
      <c r="D8" s="37" t="n">
        <v>0.22</v>
      </c>
      <c r="E8" s="40" t="n">
        <v>1.14</v>
      </c>
      <c r="F8" s="40" t="n">
        <v>0.947</v>
      </c>
      <c r="G8" s="37" t="n">
        <v>0.637</v>
      </c>
      <c r="H8" s="37" t="n">
        <v>0</v>
      </c>
      <c r="I8" s="44" t="n">
        <f aca="false">IF(B8="NT",1,0)</f>
        <v>0</v>
      </c>
      <c r="J8" s="43" t="n">
        <f aca="false">1/(1+E8)</f>
        <v>0.467289719626168</v>
      </c>
      <c r="K8" s="43" t="n">
        <f aca="false">E8/(1+E8)</f>
        <v>0.532710280373832</v>
      </c>
      <c r="L8" s="43" t="n">
        <f aca="false">IF(F8="","",MIN(1,1-(1-F8)*J8))</f>
        <v>0.975233644859813</v>
      </c>
      <c r="M8" s="43" t="n">
        <f aca="false">IF(L8="",$C$42,L8)</f>
        <v>0.975233644859813</v>
      </c>
      <c r="N8" s="43" t="n">
        <f aca="false">p_w_mkt*(1-M8)</f>
        <v>0.024766355140187</v>
      </c>
      <c r="O8" s="43" t="n">
        <f aca="false">1-((1-D8)*CE_Lg+D8*CE_Ls)-p_gap-N8</f>
        <v>0.547614227020025</v>
      </c>
      <c r="P8" s="43" t="n">
        <f aca="false">(1-D8)*CE_MTMg+D8*CE_MTMs</f>
        <v>0.0619891050506434</v>
      </c>
      <c r="Q8" s="43" t="n">
        <f aca="false">(1-G8)*K8</f>
        <v>0.193373831775701</v>
      </c>
      <c r="R8" s="45" t="n">
        <f aca="false">O8/K8</f>
        <v>1.02797758405513</v>
      </c>
      <c r="S8" s="43" t="n">
        <f aca="false">(O8-1)/J8</f>
        <v>-0.968105554177147</v>
      </c>
      <c r="T8" s="28" t="n">
        <v>0</v>
      </c>
      <c r="U8" s="44" t="n">
        <f aca="false">MAX(T8,IF(OR(R8&lt;1.75,S8&lt;-0.2),1,0))</f>
        <v>1</v>
      </c>
      <c r="V8" s="43" t="n">
        <f aca="false">MAX(0,1-O8*(1-CE_mig_hc)-p_bb_cush)*Q8</f>
        <v>0.0949775845542611</v>
      </c>
      <c r="W8" s="43" t="n">
        <f aca="false">MAX(0,K8-O8/1.5)</f>
        <v>0.167634129027149</v>
      </c>
      <c r="X8" s="43" t="n">
        <f aca="false">I8*J8*MIN(H8,p_red_rate)*(1-0.3)</f>
        <v>0</v>
      </c>
      <c r="Y8" s="45" t="n">
        <f aca="false">C8*(p_theta_lev*MAX(V8,W8)+X8)</f>
        <v>4.42805551825213</v>
      </c>
      <c r="Z8" s="43" t="n">
        <f aca="false">O8-P8-p_c_liq</f>
        <v>0.435625121969381</v>
      </c>
      <c r="AA8" s="43" t="n">
        <f aca="false">p_phi*MAX(0,p_a_spv-Z8)/p_a_spv+(1-p_phi)*MAX(0,p_a_spv-O8)/p_a_spv</f>
        <v>0.345681510029272</v>
      </c>
      <c r="AB8" s="43" t="n">
        <f aca="false">IF(Q8&gt;0,p_phi*MAX(0,Q8-Z8)/Q8+(1-p_phi)*MAX(0,Q8-O8)/Q8,0)</f>
        <v>0</v>
      </c>
      <c r="AC8" s="45" t="n">
        <f aca="false">IF(L8="",0,L8*C8)</f>
        <v>28.6231074766355</v>
      </c>
      <c r="AD8" s="45" t="n">
        <f aca="false">IF(L8="",0,C8)</f>
        <v>29.35</v>
      </c>
    </row>
    <row r="9" customFormat="false" ht="15" hidden="false" customHeight="true" outlineLevel="0" collapsed="false">
      <c r="A9" s="10" t="s">
        <v>634</v>
      </c>
      <c r="B9" s="31" t="s">
        <v>630</v>
      </c>
      <c r="C9" s="40" t="n">
        <v>25.37</v>
      </c>
      <c r="D9" s="37" t="n">
        <v>0.107</v>
      </c>
      <c r="E9" s="40" t="n">
        <v>0.87</v>
      </c>
      <c r="F9" s="40"/>
      <c r="G9" s="37" t="n">
        <v>0.476</v>
      </c>
      <c r="H9" s="37" t="n">
        <v>0.147</v>
      </c>
      <c r="I9" s="44" t="n">
        <f aca="false">IF(B9="NT",1,0)</f>
        <v>1</v>
      </c>
      <c r="J9" s="43" t="n">
        <f aca="false">1/(1+E9)</f>
        <v>0.53475935828877</v>
      </c>
      <c r="K9" s="43" t="n">
        <f aca="false">E9/(1+E9)</f>
        <v>0.46524064171123</v>
      </c>
      <c r="L9" s="43" t="str">
        <f aca="false">IF(F9="","",MIN(1,1-(1-F9)*J9))</f>
        <v/>
      </c>
      <c r="M9" s="43" t="n">
        <f aca="false">IF(L9="",$C$42,L9)</f>
        <v>0.884331284067868</v>
      </c>
      <c r="N9" s="43" t="n">
        <f aca="false">p_w_mkt*(1-M9)</f>
        <v>0.115668715932132</v>
      </c>
      <c r="O9" s="43" t="n">
        <f aca="false">1-((1-D9)*CE_Lg+D9*CE_Ls)-p_gap-N9</f>
        <v>0.483730860168686</v>
      </c>
      <c r="P9" s="43" t="n">
        <f aca="false">(1-D9)*CE_MTMg+D9*CE_MTMs</f>
        <v>0.0650391236367029</v>
      </c>
      <c r="Q9" s="43" t="n">
        <f aca="false">(1-G9)*K9</f>
        <v>0.243786096256685</v>
      </c>
      <c r="R9" s="45" t="n">
        <f aca="false">O9/K9</f>
        <v>1.0397433431212</v>
      </c>
      <c r="S9" s="43" t="n">
        <f aca="false">(O9-1)/J9</f>
        <v>-0.965423291484558</v>
      </c>
      <c r="T9" s="28" t="n">
        <v>0</v>
      </c>
      <c r="U9" s="44" t="n">
        <f aca="false">MAX(T9,IF(OR(R9&lt;1.75,S9&lt;-0.2),1,0))</f>
        <v>1</v>
      </c>
      <c r="V9" s="43" t="n">
        <f aca="false">MAX(0,1-O9*(1-CE_mig_hc)-p_bb_cush)*Q9</f>
        <v>0.133356054746372</v>
      </c>
      <c r="W9" s="43" t="n">
        <f aca="false">MAX(0,K9-O9/1.5)</f>
        <v>0.142753401598773</v>
      </c>
      <c r="X9" s="43" t="n">
        <f aca="false">I9*J9*MIN(H9,p_red_rate)*(1-0.3)</f>
        <v>0.0550267379679144</v>
      </c>
      <c r="Y9" s="45" t="n">
        <f aca="false">C9*(p_theta_lev*MAX(V9,W9)+X9)</f>
        <v>4.65551676095077</v>
      </c>
      <c r="Z9" s="43" t="n">
        <f aca="false">O9-P9-p_c_liq</f>
        <v>0.368691736531983</v>
      </c>
      <c r="AA9" s="43" t="n">
        <f aca="false">p_phi*MAX(0,p_a_spv-Z9)/p_a_spv+(1-p_phi)*MAX(0,p_a_spv-O9)/p_a_spv</f>
        <v>0.440429198200967</v>
      </c>
      <c r="AB9" s="43" t="n">
        <f aca="false">IF(Q9&gt;0,p_phi*MAX(0,Q9-Z9)/Q9+(1-p_phi)*MAX(0,Q9-O9)/Q9,0)</f>
        <v>0</v>
      </c>
      <c r="AC9" s="45" t="n">
        <f aca="false">IF(L9="",0,L9*C9)</f>
        <v>0</v>
      </c>
      <c r="AD9" s="45" t="n">
        <f aca="false">IF(L9="",0,C9)</f>
        <v>0</v>
      </c>
    </row>
    <row r="10" customFormat="false" ht="15" hidden="false" customHeight="true" outlineLevel="0" collapsed="false">
      <c r="A10" s="10" t="s">
        <v>635</v>
      </c>
      <c r="B10" s="31" t="s">
        <v>630</v>
      </c>
      <c r="C10" s="40" t="n">
        <v>24.18</v>
      </c>
      <c r="D10" s="37" t="n">
        <v>0.176</v>
      </c>
      <c r="E10" s="40" t="n">
        <v>1</v>
      </c>
      <c r="F10" s="40"/>
      <c r="G10" s="37" t="n">
        <v>0.452</v>
      </c>
      <c r="H10" s="37" t="n">
        <v>0.115</v>
      </c>
      <c r="I10" s="44" t="n">
        <f aca="false">IF(B10="NT",1,0)</f>
        <v>1</v>
      </c>
      <c r="J10" s="43" t="n">
        <f aca="false">1/(1+E10)</f>
        <v>0.5</v>
      </c>
      <c r="K10" s="43" t="n">
        <f aca="false">E10/(1+E10)</f>
        <v>0.5</v>
      </c>
      <c r="L10" s="43" t="str">
        <f aca="false">IF(F10="","",MIN(1,1-(1-F10)*J10))</f>
        <v/>
      </c>
      <c r="M10" s="43" t="n">
        <f aca="false">IF(L10="",$C$42,L10)</f>
        <v>0.884331284067868</v>
      </c>
      <c r="N10" s="43" t="n">
        <f aca="false">p_w_mkt*(1-M10)</f>
        <v>0.115668715932132</v>
      </c>
      <c r="O10" s="43" t="n">
        <f aca="false">1-((1-D10)*CE_Lg+D10*CE_Ls)-p_gap-N10</f>
        <v>0.467232536435041</v>
      </c>
      <c r="P10" s="43" t="n">
        <f aca="false">(1-D10)*CE_MTMg+D10*CE_MTMs</f>
        <v>0.0631767229071622</v>
      </c>
      <c r="Q10" s="43" t="n">
        <f aca="false">(1-G10)*K10</f>
        <v>0.274</v>
      </c>
      <c r="R10" s="45" t="n">
        <f aca="false">O10/K10</f>
        <v>0.934465072870083</v>
      </c>
      <c r="S10" s="43" t="n">
        <f aca="false">(O10-1)/J10</f>
        <v>-1.06553492712992</v>
      </c>
      <c r="T10" s="28" t="n">
        <v>0</v>
      </c>
      <c r="U10" s="44" t="n">
        <f aca="false">MAX(T10,IF(OR(R10&lt;1.75,S10&lt;-0.2),1,0))</f>
        <v>1</v>
      </c>
      <c r="V10" s="43" t="n">
        <f aca="false">MAX(0,1-O10*(1-CE_mig_hc)-p_bb_cush)*Q10</f>
        <v>0.153836494548093</v>
      </c>
      <c r="W10" s="43" t="n">
        <f aca="false">MAX(0,K10-O10/1.5)</f>
        <v>0.188511642376639</v>
      </c>
      <c r="X10" s="43" t="n">
        <f aca="false">I10*J10*MIN(H10,p_red_rate)*(1-0.3)</f>
        <v>0.04025</v>
      </c>
      <c r="Y10" s="45" t="n">
        <f aca="false">C10*(p_theta_lev*MAX(V10,W10)+X10)</f>
        <v>5.07563536140042</v>
      </c>
      <c r="Z10" s="43" t="n">
        <f aca="false">O10-P10-p_c_liq</f>
        <v>0.354055813527879</v>
      </c>
      <c r="AA10" s="43" t="n">
        <f aca="false">p_phi*MAX(0,p_a_spv-Z10)/p_a_spv+(1-p_phi)*MAX(0,p_a_spv-O10)/p_a_spv</f>
        <v>0.461869774129555</v>
      </c>
      <c r="AB10" s="43" t="n">
        <f aca="false">IF(Q10&gt;0,p_phi*MAX(0,Q10-Z10)/Q10+(1-p_phi)*MAX(0,Q10-O10)/Q10,0)</f>
        <v>0</v>
      </c>
      <c r="AC10" s="45" t="n">
        <f aca="false">IF(L10="",0,L10*C10)</f>
        <v>0</v>
      </c>
      <c r="AD10" s="45" t="n">
        <f aca="false">IF(L10="",0,C10)</f>
        <v>0</v>
      </c>
    </row>
    <row r="11" customFormat="false" ht="15" hidden="false" customHeight="true" outlineLevel="0" collapsed="false">
      <c r="A11" s="10" t="s">
        <v>636</v>
      </c>
      <c r="B11" s="31" t="s">
        <v>630</v>
      </c>
      <c r="C11" s="40" t="n">
        <v>21.84</v>
      </c>
      <c r="D11" s="37" t="n">
        <v>0.213</v>
      </c>
      <c r="E11" s="40" t="n">
        <v>1.18</v>
      </c>
      <c r="F11" s="40"/>
      <c r="G11" s="37" t="n">
        <v>0.501</v>
      </c>
      <c r="H11" s="37" t="n">
        <v>0.131</v>
      </c>
      <c r="I11" s="44" t="n">
        <f aca="false">IF(B11="NT",1,0)</f>
        <v>1</v>
      </c>
      <c r="J11" s="43" t="n">
        <f aca="false">1/(1+E11)</f>
        <v>0.458715596330275</v>
      </c>
      <c r="K11" s="43" t="n">
        <f aca="false">E11/(1+E11)</f>
        <v>0.541284403669725</v>
      </c>
      <c r="L11" s="43" t="str">
        <f aca="false">IF(F11="","",MIN(1,1-(1-F11)*J11))</f>
        <v/>
      </c>
      <c r="M11" s="43" t="n">
        <f aca="false">IF(L11="",$C$42,L11)</f>
        <v>0.884331284067868</v>
      </c>
      <c r="N11" s="43" t="n">
        <f aca="false">p_w_mkt*(1-M11)</f>
        <v>0.115668715932132</v>
      </c>
      <c r="O11" s="43" t="n">
        <f aca="false">1-((1-D11)*CE_Lg+D11*CE_Ls)-p_gap-N11</f>
        <v>0.458385609215551</v>
      </c>
      <c r="P11" s="43" t="n">
        <f aca="false">(1-D11)*CE_MTMg+D11*CE_MTMs</f>
        <v>0.0621780442550896</v>
      </c>
      <c r="Q11" s="43" t="n">
        <f aca="false">(1-G11)*K11</f>
        <v>0.270100917431193</v>
      </c>
      <c r="R11" s="45" t="n">
        <f aca="false">O11/K11</f>
        <v>0.846847989906696</v>
      </c>
      <c r="S11" s="43" t="n">
        <f aca="false">(O11-1)/J11</f>
        <v>-1.1807193719101</v>
      </c>
      <c r="T11" s="28" t="n">
        <v>0</v>
      </c>
      <c r="U11" s="44" t="n">
        <f aca="false">MAX(T11,IF(OR(R11&lt;1.75,S11&lt;-0.2),1,0))</f>
        <v>1</v>
      </c>
      <c r="V11" s="43" t="n">
        <f aca="false">MAX(0,1-O11*(1-CE_mig_hc)-p_bb_cush)*Q11</f>
        <v>0.153736824725778</v>
      </c>
      <c r="W11" s="43" t="n">
        <f aca="false">MAX(0,K11-O11/1.5)</f>
        <v>0.235693997526024</v>
      </c>
      <c r="X11" s="43" t="n">
        <f aca="false">I11*J11*MIN(H11,p_red_rate)*(1-0.3)</f>
        <v>0.0420642201834862</v>
      </c>
      <c r="Y11" s="45" t="n">
        <f aca="false">C11*(p_theta_lev*MAX(V11,W11)+X11)</f>
        <v>5.55148378417887</v>
      </c>
      <c r="Z11" s="43" t="n">
        <f aca="false">O11-P11-p_c_liq</f>
        <v>0.346207564960461</v>
      </c>
      <c r="AA11" s="43" t="n">
        <f aca="false">p_phi*MAX(0,p_a_spv-Z11)/p_a_spv+(1-p_phi)*MAX(0,p_a_spv-O11)/p_a_spv</f>
        <v>0.47336689455503</v>
      </c>
      <c r="AB11" s="43" t="n">
        <f aca="false">IF(Q11&gt;0,p_phi*MAX(0,Q11-Z11)/Q11+(1-p_phi)*MAX(0,Q11-O11)/Q11,0)</f>
        <v>0</v>
      </c>
      <c r="AC11" s="45" t="n">
        <f aca="false">IF(L11="",0,L11*C11)</f>
        <v>0</v>
      </c>
      <c r="AD11" s="45" t="n">
        <f aca="false">IF(L11="",0,C11)</f>
        <v>0</v>
      </c>
    </row>
    <row r="12" customFormat="false" ht="15" hidden="false" customHeight="true" outlineLevel="0" collapsed="false">
      <c r="A12" s="10" t="s">
        <v>637</v>
      </c>
      <c r="B12" s="31" t="s">
        <v>630</v>
      </c>
      <c r="C12" s="40" t="n">
        <v>18.19</v>
      </c>
      <c r="D12" s="37" t="n">
        <v>0.241</v>
      </c>
      <c r="E12" s="40" t="n">
        <v>0.96</v>
      </c>
      <c r="F12" s="40"/>
      <c r="G12" s="37" t="n">
        <v>0.438</v>
      </c>
      <c r="H12" s="37" t="n">
        <v>0.0203</v>
      </c>
      <c r="I12" s="44" t="n">
        <f aca="false">IF(B12="NT",1,0)</f>
        <v>1</v>
      </c>
      <c r="J12" s="43" t="n">
        <f aca="false">1/(1+E12)</f>
        <v>0.510204081632653</v>
      </c>
      <c r="K12" s="43" t="n">
        <f aca="false">E12/(1+E12)</f>
        <v>0.489795918367347</v>
      </c>
      <c r="L12" s="43" t="str">
        <f aca="false">IF(F12="","",MIN(1,1-(1-F12)*J12))</f>
        <v/>
      </c>
      <c r="M12" s="43" t="n">
        <f aca="false">IF(L12="",$C$42,L12)</f>
        <v>0.884331284067868</v>
      </c>
      <c r="N12" s="43" t="n">
        <f aca="false">p_w_mkt*(1-M12)</f>
        <v>0.115668715932132</v>
      </c>
      <c r="O12" s="43" t="n">
        <f aca="false">1-((1-D12)*CE_Lg+D12*CE_Ls)-p_gap-N12</f>
        <v>0.451690637265666</v>
      </c>
      <c r="P12" s="43" t="n">
        <f aca="false">(1-D12)*CE_MTMg+D12*CE_MTMs</f>
        <v>0.0614222874373049</v>
      </c>
      <c r="Q12" s="43" t="n">
        <f aca="false">(1-G12)*K12</f>
        <v>0.275265306122449</v>
      </c>
      <c r="R12" s="45" t="n">
        <f aca="false">O12/K12</f>
        <v>0.922201717750736</v>
      </c>
      <c r="S12" s="43" t="n">
        <f aca="false">(O12-1)/J12</f>
        <v>-1.07468635095929</v>
      </c>
      <c r="T12" s="28" t="n">
        <v>0</v>
      </c>
      <c r="U12" s="44" t="n">
        <f aca="false">MAX(T12,IF(OR(R12&lt;1.75,S12&lt;-0.2),1,0))</f>
        <v>1</v>
      </c>
      <c r="V12" s="43" t="n">
        <f aca="false">MAX(0,1-O12*(1-CE_mig_hc)-p_bb_cush)*Q12</f>
        <v>0.158287751531906</v>
      </c>
      <c r="W12" s="43" t="n">
        <f aca="false">MAX(0,K12-O12/1.5)</f>
        <v>0.188668826856903</v>
      </c>
      <c r="X12" s="43" t="n">
        <f aca="false">I12*J12*MIN(H12,p_red_rate)*(1-0.3)</f>
        <v>0.00725</v>
      </c>
      <c r="Y12" s="45" t="n">
        <f aca="false">C12*(p_theta_lev*MAX(V12,W12)+X12)</f>
        <v>3.22057486447435</v>
      </c>
      <c r="Z12" s="43" t="n">
        <f aca="false">O12-P12-p_c_liq</f>
        <v>0.340268349828362</v>
      </c>
      <c r="AA12" s="43" t="n">
        <f aca="false">p_phi*MAX(0,p_a_spv-Z12)/p_a_spv+(1-p_phi)*MAX(0,p_a_spv-O12)/p_a_spv</f>
        <v>0.482067418120254</v>
      </c>
      <c r="AB12" s="43" t="n">
        <f aca="false">IF(Q12&gt;0,p_phi*MAX(0,Q12-Z12)/Q12+(1-p_phi)*MAX(0,Q12-O12)/Q12,0)</f>
        <v>0</v>
      </c>
      <c r="AC12" s="45" t="n">
        <f aca="false">IF(L12="",0,L12*C12)</f>
        <v>0</v>
      </c>
      <c r="AD12" s="45" t="n">
        <f aca="false">IF(L12="",0,C12)</f>
        <v>0</v>
      </c>
    </row>
    <row r="13" customFormat="false" ht="15" hidden="false" customHeight="true" outlineLevel="0" collapsed="false">
      <c r="A13" s="10" t="s">
        <v>638</v>
      </c>
      <c r="B13" s="31" t="s">
        <v>633</v>
      </c>
      <c r="C13" s="40" t="n">
        <v>14.96</v>
      </c>
      <c r="D13" s="37" t="n">
        <v>0.116</v>
      </c>
      <c r="E13" s="40" t="n">
        <v>1.12</v>
      </c>
      <c r="F13" s="40" t="n">
        <v>0.686</v>
      </c>
      <c r="G13" s="37" t="n">
        <v>0.664</v>
      </c>
      <c r="H13" s="37" t="n">
        <v>0</v>
      </c>
      <c r="I13" s="44" t="n">
        <f aca="false">IF(B13="NT",1,0)</f>
        <v>0</v>
      </c>
      <c r="J13" s="43" t="n">
        <f aca="false">1/(1+E13)</f>
        <v>0.471698113207547</v>
      </c>
      <c r="K13" s="43" t="n">
        <f aca="false">E13/(1+E13)</f>
        <v>0.528301886792453</v>
      </c>
      <c r="L13" s="43" t="n">
        <f aca="false">IF(F13="","",MIN(1,1-(1-F13)*J13))</f>
        <v>0.85188679245283</v>
      </c>
      <c r="M13" s="43" t="n">
        <f aca="false">IF(L13="",$C$42,L13)</f>
        <v>0.85188679245283</v>
      </c>
      <c r="N13" s="43" t="n">
        <f aca="false">p_w_mkt*(1-M13)</f>
        <v>0.14811320754717</v>
      </c>
      <c r="O13" s="43" t="n">
        <f aca="false">1-((1-D13)*CE_Lg+D13*CE_Ls)-p_gap-N13</f>
        <v>0.449134413284042</v>
      </c>
      <c r="P13" s="43" t="n">
        <f aca="false">(1-D13)*CE_MTMg+D13*CE_MTMs</f>
        <v>0.064796201802415</v>
      </c>
      <c r="Q13" s="43" t="n">
        <f aca="false">(1-G13)*K13</f>
        <v>0.177509433962264</v>
      </c>
      <c r="R13" s="45" t="n">
        <f aca="false">O13/K13</f>
        <v>0.85014728228765</v>
      </c>
      <c r="S13" s="43" t="n">
        <f aca="false">(O13-1)/J13</f>
        <v>-1.16783504383783</v>
      </c>
      <c r="T13" s="28" t="n">
        <v>0</v>
      </c>
      <c r="U13" s="44" t="n">
        <f aca="false">MAX(T13,IF(OR(R13&lt;1.75,S13&lt;-0.2),1,0))</f>
        <v>1</v>
      </c>
      <c r="V13" s="43" t="n">
        <f aca="false">MAX(0,1-O13*(1-CE_mig_hc)-p_bb_cush)*Q13</f>
        <v>0.102471269555376</v>
      </c>
      <c r="W13" s="43" t="n">
        <f aca="false">MAX(0,K13-O13/1.5)</f>
        <v>0.228878944603092</v>
      </c>
      <c r="X13" s="43" t="n">
        <f aca="false">I13*J13*MIN(H13,p_red_rate)*(1-0.3)</f>
        <v>0</v>
      </c>
      <c r="Y13" s="45" t="n">
        <f aca="false">C13*(p_theta_lev*MAX(V13,W13)+X13)</f>
        <v>3.08162611013603</v>
      </c>
      <c r="Z13" s="43" t="n">
        <f aca="false">O13-P13-p_c_liq</f>
        <v>0.334338211481627</v>
      </c>
      <c r="AA13" s="43" t="n">
        <f aca="false">p_phi*MAX(0,p_a_spv-Z13)/p_a_spv+(1-p_phi)*MAX(0,p_a_spv-O13)/p_a_spv</f>
        <v>0.489575068796986</v>
      </c>
      <c r="AB13" s="43" t="n">
        <f aca="false">IF(Q13&gt;0,p_phi*MAX(0,Q13-Z13)/Q13+(1-p_phi)*MAX(0,Q13-O13)/Q13,0)</f>
        <v>0</v>
      </c>
      <c r="AC13" s="45" t="n">
        <f aca="false">IF(L13="",0,L13*C13)</f>
        <v>12.7442264150943</v>
      </c>
      <c r="AD13" s="45" t="n">
        <f aca="false">IF(L13="",0,C13)</f>
        <v>14.96</v>
      </c>
    </row>
    <row r="14" customFormat="false" ht="15" hidden="false" customHeight="true" outlineLevel="0" collapsed="false">
      <c r="A14" s="10" t="s">
        <v>639</v>
      </c>
      <c r="B14" s="31" t="s">
        <v>633</v>
      </c>
      <c r="C14" s="40" t="n">
        <v>14.68</v>
      </c>
      <c r="D14" s="37" t="n">
        <v>0.328</v>
      </c>
      <c r="E14" s="40" t="n">
        <v>0.95</v>
      </c>
      <c r="F14" s="40" t="n">
        <v>0.547</v>
      </c>
      <c r="G14" s="37" t="n">
        <v>0.362</v>
      </c>
      <c r="H14" s="37" t="n">
        <v>0</v>
      </c>
      <c r="I14" s="44" t="n">
        <f aca="false">IF(B14="NT",1,0)</f>
        <v>0</v>
      </c>
      <c r="J14" s="43" t="n">
        <f aca="false">1/(1+E14)</f>
        <v>0.512820512820513</v>
      </c>
      <c r="K14" s="43" t="n">
        <f aca="false">E14/(1+E14)</f>
        <v>0.487179487179487</v>
      </c>
      <c r="L14" s="43" t="n">
        <f aca="false">IF(F14="","",MIN(1,1-(1-F14)*J14))</f>
        <v>0.767692307692308</v>
      </c>
      <c r="M14" s="43" t="n">
        <f aca="false">IF(L14="",$C$42,L14)</f>
        <v>0.767692307692308</v>
      </c>
      <c r="N14" s="43" t="n">
        <f aca="false">p_w_mkt*(1-M14)</f>
        <v>0.232307692307692</v>
      </c>
      <c r="O14" s="43" t="n">
        <f aca="false">1-((1-D14)*CE_Lg+D14*CE_Ls)-p_gap-N14</f>
        <v>0.31424942661725</v>
      </c>
      <c r="P14" s="43" t="n">
        <f aca="false">(1-D14)*CE_MTMg+D14*CE_MTMs</f>
        <v>0.0590740430391882</v>
      </c>
      <c r="Q14" s="43" t="n">
        <f aca="false">(1-G14)*K14</f>
        <v>0.310820512820513</v>
      </c>
      <c r="R14" s="45" t="n">
        <f aca="false">O14/K14</f>
        <v>0.645038296740671</v>
      </c>
      <c r="S14" s="43" t="n">
        <f aca="false">(O14-1)/J14</f>
        <v>-1.33721361809636</v>
      </c>
      <c r="T14" s="28" t="n">
        <v>0</v>
      </c>
      <c r="U14" s="44" t="n">
        <f aca="false">MAX(T14,IF(OR(R14&lt;1.75,S14&lt;-0.2),1,0))</f>
        <v>1</v>
      </c>
      <c r="V14" s="43" t="n">
        <f aca="false">MAX(0,1-O14*(1-CE_mig_hc)-p_bb_cush)*Q14</f>
        <v>0.216087725114103</v>
      </c>
      <c r="W14" s="43" t="n">
        <f aca="false">MAX(0,K14-O14/1.5)</f>
        <v>0.277679869434654</v>
      </c>
      <c r="X14" s="43" t="n">
        <f aca="false">I14*J14*MIN(H14,p_red_rate)*(1-0.3)</f>
        <v>0</v>
      </c>
      <c r="Y14" s="45" t="n">
        <f aca="false">C14*(p_theta_lev*MAX(V14,W14)+X14)</f>
        <v>3.66870643497065</v>
      </c>
      <c r="Z14" s="43" t="n">
        <f aca="false">O14-P14-p_c_liq</f>
        <v>0.205175383578062</v>
      </c>
      <c r="AA14" s="43" t="n">
        <f aca="false">p_phi*MAX(0,p_a_spv-Z14)/p_a_spv+(1-p_phi)*MAX(0,p_a_spv-O14)/p_a_spv</f>
        <v>0.675728296877286</v>
      </c>
      <c r="AB14" s="43" t="n">
        <f aca="false">IF(Q14&gt;0,p_phi*MAX(0,Q14-Z14)/Q14+(1-p_phi)*MAX(0,Q14-O14)/Q14,0)</f>
        <v>0.271912888332327</v>
      </c>
      <c r="AC14" s="45" t="n">
        <f aca="false">IF(L14="",0,L14*C14)</f>
        <v>11.2697230769231</v>
      </c>
      <c r="AD14" s="45" t="n">
        <f aca="false">IF(L14="",0,C14)</f>
        <v>14.68</v>
      </c>
    </row>
    <row r="15" customFormat="false" ht="15" hidden="false" customHeight="true" outlineLevel="0" collapsed="false">
      <c r="A15" s="10" t="s">
        <v>640</v>
      </c>
      <c r="B15" s="31" t="s">
        <v>633</v>
      </c>
      <c r="C15" s="40" t="n">
        <v>13.36</v>
      </c>
      <c r="D15" s="37" t="n">
        <v>0.189</v>
      </c>
      <c r="E15" s="40" t="n">
        <v>1.27</v>
      </c>
      <c r="F15" s="40" t="n">
        <v>0.918</v>
      </c>
      <c r="G15" s="37" t="n">
        <v>0.676</v>
      </c>
      <c r="H15" s="37" t="n">
        <v>0</v>
      </c>
      <c r="I15" s="44" t="n">
        <f aca="false">IF(B15="NT",1,0)</f>
        <v>0</v>
      </c>
      <c r="J15" s="43" t="n">
        <f aca="false">1/(1+E15)</f>
        <v>0.440528634361233</v>
      </c>
      <c r="K15" s="43" t="n">
        <f aca="false">E15/(1+E15)</f>
        <v>0.559471365638767</v>
      </c>
      <c r="L15" s="43" t="n">
        <f aca="false">IF(F15="","",MIN(1,1-(1-F15)*J15))</f>
        <v>0.963876651982379</v>
      </c>
      <c r="M15" s="43" t="n">
        <f aca="false">IF(L15="",$C$42,L15)</f>
        <v>0.963876651982379</v>
      </c>
      <c r="N15" s="43" t="n">
        <f aca="false">p_w_mkt*(1-M15)</f>
        <v>0.0361233480176211</v>
      </c>
      <c r="O15" s="43" t="n">
        <f aca="false">1-((1-D15)*CE_Lg+D15*CE_Ls)-p_gap-N15</f>
        <v>0.543669524515677</v>
      </c>
      <c r="P15" s="43" t="n">
        <f aca="false">(1-D15)*CE_MTMg+D15*CE_MTMs</f>
        <v>0.0628258358131907</v>
      </c>
      <c r="Q15" s="43" t="n">
        <f aca="false">(1-G15)*K15</f>
        <v>0.18126872246696</v>
      </c>
      <c r="R15" s="45" t="n">
        <f aca="false">O15/K15</f>
        <v>0.971755764291801</v>
      </c>
      <c r="S15" s="43" t="n">
        <f aca="false">(O15-1)/J15</f>
        <v>-1.03587017934941</v>
      </c>
      <c r="T15" s="28" t="n">
        <v>0</v>
      </c>
      <c r="U15" s="44" t="n">
        <f aca="false">MAX(T15,IF(OR(R15&lt;1.75,S15&lt;-0.2),1,0))</f>
        <v>1</v>
      </c>
      <c r="V15" s="43" t="n">
        <f aca="false">MAX(0,1-O15*(1-CE_mig_hc)-p_bb_cush)*Q15</f>
        <v>0.0896572813388359</v>
      </c>
      <c r="W15" s="43" t="n">
        <f aca="false">MAX(0,K15-O15/1.5)</f>
        <v>0.197025015961648</v>
      </c>
      <c r="X15" s="43" t="n">
        <f aca="false">I15*J15*MIN(H15,p_red_rate)*(1-0.3)</f>
        <v>0</v>
      </c>
      <c r="Y15" s="45" t="n">
        <f aca="false">C15*(p_theta_lev*MAX(V15,W15)+X15)</f>
        <v>2.36902879192286</v>
      </c>
      <c r="Z15" s="43" t="n">
        <f aca="false">O15-P15-p_c_liq</f>
        <v>0.430843688702487</v>
      </c>
      <c r="AA15" s="43" t="n">
        <f aca="false">p_phi*MAX(0,p_a_spv-Z15)/p_a_spv+(1-p_phi)*MAX(0,p_a_spv-O15)/p_a_spv</f>
        <v>0.352273063049822</v>
      </c>
      <c r="AB15" s="43" t="n">
        <f aca="false">IF(Q15&gt;0,p_phi*MAX(0,Q15-Z15)/Q15+(1-p_phi)*MAX(0,Q15-O15)/Q15,0)</f>
        <v>0</v>
      </c>
      <c r="AC15" s="45" t="n">
        <f aca="false">IF(L15="",0,L15*C15)</f>
        <v>12.8773920704846</v>
      </c>
      <c r="AD15" s="45" t="n">
        <f aca="false">IF(L15="",0,C15)</f>
        <v>13.36</v>
      </c>
    </row>
    <row r="16" customFormat="false" ht="15" hidden="false" customHeight="true" outlineLevel="0" collapsed="false">
      <c r="A16" s="10" t="s">
        <v>641</v>
      </c>
      <c r="B16" s="31" t="s">
        <v>633</v>
      </c>
      <c r="C16" s="40" t="n">
        <v>11.42</v>
      </c>
      <c r="D16" s="37" t="n">
        <v>0.177</v>
      </c>
      <c r="E16" s="40" t="n">
        <v>1.26</v>
      </c>
      <c r="F16" s="40" t="n">
        <v>0.552</v>
      </c>
      <c r="G16" s="37" t="n">
        <v>0.7</v>
      </c>
      <c r="H16" s="37" t="n">
        <v>0</v>
      </c>
      <c r="I16" s="44" t="n">
        <f aca="false">IF(B16="NT",1,0)</f>
        <v>0</v>
      </c>
      <c r="J16" s="43" t="n">
        <f aca="false">1/(1+E16)</f>
        <v>0.442477876106195</v>
      </c>
      <c r="K16" s="43" t="n">
        <f aca="false">E16/(1+E16)</f>
        <v>0.557522123893805</v>
      </c>
      <c r="L16" s="43" t="n">
        <f aca="false">IF(F16="","",MIN(1,1-(1-F16)*J16))</f>
        <v>0.801769911504425</v>
      </c>
      <c r="M16" s="43" t="n">
        <f aca="false">IF(L16="",$C$42,L16)</f>
        <v>0.801769911504425</v>
      </c>
      <c r="N16" s="43" t="n">
        <f aca="false">p_w_mkt*(1-M16)</f>
        <v>0.198230088495575</v>
      </c>
      <c r="O16" s="43" t="n">
        <f aca="false">1-((1-D16)*CE_Lg+D16*CE_Ls)-p_gap-N16</f>
        <v>0.384432057730531</v>
      </c>
      <c r="P16" s="43" t="n">
        <f aca="false">(1-D16)*CE_MTMg+D16*CE_MTMs</f>
        <v>0.0631497315922413</v>
      </c>
      <c r="Q16" s="43" t="n">
        <f aca="false">(1-G16)*K16</f>
        <v>0.167256637168142</v>
      </c>
      <c r="R16" s="45" t="n">
        <f aca="false">O16/K16</f>
        <v>0.689536865453174</v>
      </c>
      <c r="S16" s="43" t="n">
        <f aca="false">(O16-1)/J16</f>
        <v>-1.391183549529</v>
      </c>
      <c r="T16" s="28" t="n">
        <v>1</v>
      </c>
      <c r="U16" s="44" t="n">
        <f aca="false">MAX(T16,IF(OR(R16&lt;1.75,S16&lt;-0.2),1,0))</f>
        <v>1</v>
      </c>
      <c r="V16" s="43" t="n">
        <f aca="false">MAX(0,1-O16*(1-CE_mig_hc)-p_bb_cush)*Q16</f>
        <v>0.106015393895284</v>
      </c>
      <c r="W16" s="43" t="n">
        <f aca="false">MAX(0,K16-O16/1.5)</f>
        <v>0.301234085406785</v>
      </c>
      <c r="X16" s="43" t="n">
        <f aca="false">I16*J16*MIN(H16,p_red_rate)*(1-0.3)</f>
        <v>0</v>
      </c>
      <c r="Y16" s="45" t="n">
        <f aca="false">C16*(p_theta_lev*MAX(V16,W16)+X16)</f>
        <v>3.09608392981094</v>
      </c>
      <c r="Z16" s="43" t="n">
        <f aca="false">O16-P16-p_c_liq</f>
        <v>0.271282326138289</v>
      </c>
      <c r="AA16" s="43" t="n">
        <f aca="false">p_phi*MAX(0,p_a_spv-Z16)/p_a_spv+(1-p_phi)*MAX(0,p_a_spv-O16)/p_a_spv</f>
        <v>0.580125325061804</v>
      </c>
      <c r="AB16" s="43" t="n">
        <f aca="false">IF(Q16&gt;0,p_phi*MAX(0,Q16-Z16)/Q16+(1-p_phi)*MAX(0,Q16-O16)/Q16,0)</f>
        <v>0</v>
      </c>
      <c r="AC16" s="45" t="n">
        <f aca="false">IF(L16="",0,L16*C16)</f>
        <v>9.15621238938053</v>
      </c>
      <c r="AD16" s="45" t="n">
        <f aca="false">IF(L16="",0,C16)</f>
        <v>11.42</v>
      </c>
    </row>
    <row r="17" customFormat="false" ht="15" hidden="false" customHeight="true" outlineLevel="0" collapsed="false">
      <c r="A17" s="10" t="s">
        <v>642</v>
      </c>
      <c r="B17" s="31" t="s">
        <v>630</v>
      </c>
      <c r="C17" s="40" t="n">
        <v>9.62</v>
      </c>
      <c r="D17" s="37" t="n">
        <v>0.21</v>
      </c>
      <c r="E17" s="40" t="n">
        <v>1.15</v>
      </c>
      <c r="F17" s="40"/>
      <c r="G17" s="37" t="n">
        <v>0.451</v>
      </c>
      <c r="H17" s="37" t="n">
        <v>0.05</v>
      </c>
      <c r="I17" s="44" t="n">
        <f aca="false">IF(B17="NT",1,0)</f>
        <v>1</v>
      </c>
      <c r="J17" s="43" t="n">
        <f aca="false">1/(1+E17)</f>
        <v>0.465116279069767</v>
      </c>
      <c r="K17" s="43" t="n">
        <f aca="false">E17/(1+E17)</f>
        <v>0.534883720930233</v>
      </c>
      <c r="L17" s="43" t="str">
        <f aca="false">IF(F17="","",MIN(1,1-(1-F17)*J17))</f>
        <v/>
      </c>
      <c r="M17" s="43" t="n">
        <f aca="false">IF(L17="",$C$42,L17)</f>
        <v>0.884331284067868</v>
      </c>
      <c r="N17" s="43" t="n">
        <f aca="false">p_w_mkt*(1-M17)</f>
        <v>0.115668715932132</v>
      </c>
      <c r="O17" s="43" t="n">
        <f aca="false">1-((1-D17)*CE_Lg+D17*CE_Ls)-p_gap-N17</f>
        <v>0.459102927638753</v>
      </c>
      <c r="P17" s="43" t="n">
        <f aca="false">(1-D17)*CE_MTMg+D17*CE_MTMs</f>
        <v>0.0622590181998522</v>
      </c>
      <c r="Q17" s="43" t="n">
        <f aca="false">(1-G17)*K17</f>
        <v>0.293651162790698</v>
      </c>
      <c r="R17" s="45" t="n">
        <f aca="false">O17/K17</f>
        <v>0.858322864715929</v>
      </c>
      <c r="S17" s="43" t="n">
        <f aca="false">(O17-1)/J17</f>
        <v>-1.16292870557668</v>
      </c>
      <c r="T17" s="28" t="n">
        <v>0</v>
      </c>
      <c r="U17" s="44" t="n">
        <f aca="false">MAX(T17,IF(OR(R17&lt;1.75,S17&lt;-0.2),1,0))</f>
        <v>1</v>
      </c>
      <c r="V17" s="43" t="n">
        <f aca="false">MAX(0,1-O17*(1-CE_mig_hc)-p_bb_cush)*Q17</f>
        <v>0.166957034785203</v>
      </c>
      <c r="W17" s="43" t="n">
        <f aca="false">MAX(0,K17-O17/1.5)</f>
        <v>0.228815102504397</v>
      </c>
      <c r="X17" s="43" t="n">
        <f aca="false">I17*J17*MIN(H17,p_red_rate)*(1-0.3)</f>
        <v>0.0162790697674419</v>
      </c>
      <c r="Y17" s="45" t="n">
        <f aca="false">C17*(p_theta_lev*MAX(V17,W17)+X17)</f>
        <v>2.13768580864586</v>
      </c>
      <c r="Z17" s="43" t="n">
        <f aca="false">O17-P17-p_c_liq</f>
        <v>0.346843909438901</v>
      </c>
      <c r="AA17" s="43" t="n">
        <f aca="false">p_phi*MAX(0,p_a_spv-Z17)/p_a_spv+(1-p_phi)*MAX(0,p_a_spv-O17)/p_a_spv</f>
        <v>0.472434695601613</v>
      </c>
      <c r="AB17" s="43" t="n">
        <f aca="false">IF(Q17&gt;0,p_phi*MAX(0,Q17-Z17)/Q17+(1-p_phi)*MAX(0,Q17-O17)/Q17,0)</f>
        <v>0</v>
      </c>
      <c r="AC17" s="45" t="n">
        <f aca="false">IF(L17="",0,L17*C17)</f>
        <v>0</v>
      </c>
      <c r="AD17" s="45" t="n">
        <f aca="false">IF(L17="",0,C17)</f>
        <v>0</v>
      </c>
    </row>
    <row r="18" customFormat="false" ht="15" hidden="false" customHeight="true" outlineLevel="0" collapsed="false">
      <c r="A18" s="10" t="s">
        <v>643</v>
      </c>
      <c r="B18" s="31" t="s">
        <v>630</v>
      </c>
      <c r="C18" s="40" t="n">
        <v>8.65</v>
      </c>
      <c r="D18" s="37" t="n">
        <v>0.089</v>
      </c>
      <c r="E18" s="40" t="n">
        <v>0.91</v>
      </c>
      <c r="F18" s="40"/>
      <c r="G18" s="37" t="n">
        <v>0.507</v>
      </c>
      <c r="H18" s="37" t="n">
        <v>0</v>
      </c>
      <c r="I18" s="44" t="n">
        <f aca="false">IF(B18="NT",1,0)</f>
        <v>1</v>
      </c>
      <c r="J18" s="43" t="n">
        <f aca="false">1/(1+E18)</f>
        <v>0.523560209424084</v>
      </c>
      <c r="K18" s="43" t="n">
        <f aca="false">E18/(1+E18)</f>
        <v>0.476439790575916</v>
      </c>
      <c r="L18" s="43" t="str">
        <f aca="false">IF(F18="","",MIN(1,1-(1-F18)*J18))</f>
        <v/>
      </c>
      <c r="M18" s="43" t="n">
        <f aca="false">IF(L18="",$C$42,L18)</f>
        <v>0.884331284067868</v>
      </c>
      <c r="N18" s="43" t="n">
        <f aca="false">p_w_mkt*(1-M18)</f>
        <v>0.115668715932132</v>
      </c>
      <c r="O18" s="43" t="n">
        <f aca="false">1-((1-D18)*CE_Lg+D18*CE_Ls)-p_gap-N18</f>
        <v>0.488034770707897</v>
      </c>
      <c r="P18" s="43" t="n">
        <f aca="false">(1-D18)*CE_MTMg+D18*CE_MTMs</f>
        <v>0.0655249673052788</v>
      </c>
      <c r="Q18" s="43" t="n">
        <f aca="false">(1-G18)*K18</f>
        <v>0.234884816753927</v>
      </c>
      <c r="R18" s="45" t="n">
        <f aca="false">O18/K18</f>
        <v>1.02433671654075</v>
      </c>
      <c r="S18" s="43" t="n">
        <f aca="false">(O18-1)/J18</f>
        <v>-0.977853587947916</v>
      </c>
      <c r="T18" s="28" t="n">
        <v>0</v>
      </c>
      <c r="U18" s="44" t="n">
        <f aca="false">MAX(T18,IF(OR(R18&lt;1.75,S18&lt;-0.2),1,0))</f>
        <v>1</v>
      </c>
      <c r="V18" s="43" t="n">
        <f aca="false">MAX(0,1-O18*(1-CE_mig_hc)-p_bb_cush)*Q18</f>
        <v>0.127602908414702</v>
      </c>
      <c r="W18" s="43" t="n">
        <f aca="false">MAX(0,K18-O18/1.5)</f>
        <v>0.151083276770651</v>
      </c>
      <c r="X18" s="43" t="n">
        <f aca="false">I18*J18*MIN(H18,p_red_rate)*(1-0.3)</f>
        <v>0</v>
      </c>
      <c r="Y18" s="45" t="n">
        <f aca="false">C18*(p_theta_lev*MAX(V18,W18)+X18)</f>
        <v>1.17618330965952</v>
      </c>
      <c r="Z18" s="43" t="n">
        <f aca="false">O18-P18-p_c_liq</f>
        <v>0.372509803402618</v>
      </c>
      <c r="AA18" s="43" t="n">
        <f aca="false">p_phi*MAX(0,p_a_spv-Z18)/p_a_spv+(1-p_phi)*MAX(0,p_a_spv-O18)/p_a_spv</f>
        <v>0.434836004480466</v>
      </c>
      <c r="AB18" s="43" t="n">
        <f aca="false">IF(Q18&gt;0,p_phi*MAX(0,Q18-Z18)/Q18+(1-p_phi)*MAX(0,Q18-O18)/Q18,0)</f>
        <v>0</v>
      </c>
      <c r="AC18" s="45" t="n">
        <f aca="false">IF(L18="",0,L18*C18)</f>
        <v>0</v>
      </c>
      <c r="AD18" s="45" t="n">
        <f aca="false">IF(L18="",0,C18)</f>
        <v>0</v>
      </c>
    </row>
    <row r="19" customFormat="false" ht="15" hidden="false" customHeight="true" outlineLevel="0" collapsed="false">
      <c r="A19" s="10" t="s">
        <v>644</v>
      </c>
      <c r="B19" s="31" t="s">
        <v>633</v>
      </c>
      <c r="C19" s="40" t="n">
        <v>8.2</v>
      </c>
      <c r="D19" s="37" t="n">
        <v>0.26</v>
      </c>
      <c r="E19" s="40" t="n">
        <v>1.23</v>
      </c>
      <c r="F19" s="40" t="n">
        <v>0.846</v>
      </c>
      <c r="G19" s="37" t="n">
        <v>0.641</v>
      </c>
      <c r="H19" s="37" t="n">
        <v>0</v>
      </c>
      <c r="I19" s="44" t="n">
        <f aca="false">IF(B19="NT",1,0)</f>
        <v>0</v>
      </c>
      <c r="J19" s="43" t="n">
        <f aca="false">1/(1+E19)</f>
        <v>0.448430493273543</v>
      </c>
      <c r="K19" s="43" t="n">
        <f aca="false">E19/(1+E19)</f>
        <v>0.551569506726457</v>
      </c>
      <c r="L19" s="43" t="n">
        <f aca="false">IF(F19="","",MIN(1,1-(1-F19)*J19))</f>
        <v>0.930941704035874</v>
      </c>
      <c r="M19" s="43" t="n">
        <f aca="false">IF(L19="",$C$42,L19)</f>
        <v>0.930941704035874</v>
      </c>
      <c r="N19" s="43" t="n">
        <f aca="false">p_w_mkt*(1-M19)</f>
        <v>0.0690582959641256</v>
      </c>
      <c r="O19" s="43" t="n">
        <f aca="false">1-((1-D19)*CE_Lg+D19*CE_Ls)-p_gap-N19</f>
        <v>0.493758040553394</v>
      </c>
      <c r="P19" s="43" t="n">
        <f aca="false">(1-D19)*CE_MTMg+D19*CE_MTMs</f>
        <v>0.0609094524538082</v>
      </c>
      <c r="Q19" s="43" t="n">
        <f aca="false">(1-G19)*K19</f>
        <v>0.198013452914798</v>
      </c>
      <c r="R19" s="45" t="n">
        <f aca="false">O19/K19</f>
        <v>0.895187341816315</v>
      </c>
      <c r="S19" s="43" t="n">
        <f aca="false">(O19-1)/J19</f>
        <v>-1.12891956956593</v>
      </c>
      <c r="T19" s="28" t="n">
        <v>0</v>
      </c>
      <c r="U19" s="44" t="n">
        <f aca="false">MAX(T19,IF(OR(R19&lt;1.75,S19&lt;-0.2),1,0))</f>
        <v>1</v>
      </c>
      <c r="V19" s="43" t="n">
        <f aca="false">MAX(0,1-O19*(1-CE_mig_hc)-p_bb_cush)*Q19</f>
        <v>0.1065813126045</v>
      </c>
      <c r="W19" s="43" t="n">
        <f aca="false">MAX(0,K19-O19/1.5)</f>
        <v>0.222397479690862</v>
      </c>
      <c r="X19" s="43" t="n">
        <f aca="false">I19*J19*MIN(H19,p_red_rate)*(1-0.3)</f>
        <v>0</v>
      </c>
      <c r="Y19" s="45" t="n">
        <f aca="false">C19*(p_theta_lev*MAX(V19,W19)+X19)</f>
        <v>1.64129340011856</v>
      </c>
      <c r="Z19" s="43" t="n">
        <f aca="false">O19-P19-p_c_liq</f>
        <v>0.382848588099586</v>
      </c>
      <c r="AA19" s="43" t="n">
        <f aca="false">p_phi*MAX(0,p_a_spv-Z19)/p_a_spv+(1-p_phi)*MAX(0,p_a_spv-O19)/p_a_spv</f>
        <v>0.421385030585218</v>
      </c>
      <c r="AB19" s="43" t="n">
        <f aca="false">IF(Q19&gt;0,p_phi*MAX(0,Q19-Z19)/Q19+(1-p_phi)*MAX(0,Q19-O19)/Q19,0)</f>
        <v>0</v>
      </c>
      <c r="AC19" s="45" t="n">
        <f aca="false">IF(L19="",0,L19*C19)</f>
        <v>7.63372197309417</v>
      </c>
      <c r="AD19" s="45" t="n">
        <f aca="false">IF(L19="",0,C19)</f>
        <v>8.2</v>
      </c>
    </row>
    <row r="20" customFormat="false" ht="15" hidden="false" customHeight="true" outlineLevel="0" collapsed="false">
      <c r="A20" s="10" t="s">
        <v>645</v>
      </c>
      <c r="B20" s="31" t="s">
        <v>630</v>
      </c>
      <c r="C20" s="40" t="n">
        <v>6.8</v>
      </c>
      <c r="D20" s="37" t="n">
        <v>0.173</v>
      </c>
      <c r="E20" s="40" t="n">
        <v>0.61</v>
      </c>
      <c r="F20" s="40"/>
      <c r="G20" s="37" t="n">
        <v>0.439</v>
      </c>
      <c r="H20" s="37" t="n">
        <v>0.038</v>
      </c>
      <c r="I20" s="44" t="n">
        <f aca="false">IF(B20="NT",1,0)</f>
        <v>1</v>
      </c>
      <c r="J20" s="43" t="n">
        <f aca="false">1/(1+E20)</f>
        <v>0.62111801242236</v>
      </c>
      <c r="K20" s="43" t="n">
        <f aca="false">E20/(1+E20)</f>
        <v>0.37888198757764</v>
      </c>
      <c r="L20" s="43" t="str">
        <f aca="false">IF(F20="","",MIN(1,1-(1-F20)*J20))</f>
        <v/>
      </c>
      <c r="M20" s="43" t="n">
        <f aca="false">IF(L20="",$C$42,L20)</f>
        <v>0.884331284067868</v>
      </c>
      <c r="N20" s="43" t="n">
        <f aca="false">p_w_mkt*(1-M20)</f>
        <v>0.115668715932132</v>
      </c>
      <c r="O20" s="43" t="n">
        <f aca="false">1-((1-D20)*CE_Lg+D20*CE_Ls)-p_gap-N20</f>
        <v>0.467949854858243</v>
      </c>
      <c r="P20" s="43" t="n">
        <f aca="false">(1-D20)*CE_MTMg+D20*CE_MTMs</f>
        <v>0.0632576968519248</v>
      </c>
      <c r="Q20" s="43" t="n">
        <f aca="false">(1-G20)*K20</f>
        <v>0.212552795031056</v>
      </c>
      <c r="R20" s="45" t="n">
        <f aca="false">O20/K20</f>
        <v>1.23508076446192</v>
      </c>
      <c r="S20" s="43" t="n">
        <f aca="false">(O20-1)/J20</f>
        <v>-0.856600733678228</v>
      </c>
      <c r="T20" s="28" t="n">
        <v>0</v>
      </c>
      <c r="U20" s="44" t="n">
        <f aca="false">MAX(T20,IF(OR(R20&lt;1.75,S20&lt;-0.2),1,0))</f>
        <v>1</v>
      </c>
      <c r="V20" s="43" t="n">
        <f aca="false">MAX(0,1-O20*(1-CE_mig_hc)-p_bb_cush)*Q20</f>
        <v>0.119203822328812</v>
      </c>
      <c r="W20" s="43" t="n">
        <f aca="false">MAX(0,K20-O20/1.5)</f>
        <v>0.0669154176721442</v>
      </c>
      <c r="X20" s="43" t="n">
        <f aca="false">I20*J20*MIN(H20,p_red_rate)*(1-0.3)</f>
        <v>0.0165217391304348</v>
      </c>
      <c r="Y20" s="45" t="n">
        <f aca="false">C20*(p_theta_lev*MAX(V20,W20)+X20)</f>
        <v>0.841875218739288</v>
      </c>
      <c r="Z20" s="43" t="n">
        <f aca="false">O20-P20-p_c_liq</f>
        <v>0.354692158006319</v>
      </c>
      <c r="AA20" s="43" t="n">
        <f aca="false">p_phi*MAX(0,p_a_spv-Z20)/p_a_spv+(1-p_phi)*MAX(0,p_a_spv-O20)/p_a_spv</f>
        <v>0.460937575176138</v>
      </c>
      <c r="AB20" s="43" t="n">
        <f aca="false">IF(Q20&gt;0,p_phi*MAX(0,Q20-Z20)/Q20+(1-p_phi)*MAX(0,Q20-O20)/Q20,0)</f>
        <v>0</v>
      </c>
      <c r="AC20" s="45" t="n">
        <f aca="false">IF(L20="",0,L20*C20)</f>
        <v>0</v>
      </c>
      <c r="AD20" s="45" t="n">
        <f aca="false">IF(L20="",0,C20)</f>
        <v>0</v>
      </c>
    </row>
    <row r="21" customFormat="false" ht="15" hidden="false" customHeight="true" outlineLevel="0" collapsed="false">
      <c r="A21" s="10" t="s">
        <v>646</v>
      </c>
      <c r="B21" s="31" t="s">
        <v>633</v>
      </c>
      <c r="C21" s="40" t="n">
        <v>6.34</v>
      </c>
      <c r="D21" s="37" t="n">
        <v>0.023</v>
      </c>
      <c r="E21" s="40" t="n">
        <v>0.63</v>
      </c>
      <c r="F21" s="40" t="n">
        <v>0.268</v>
      </c>
      <c r="G21" s="38" t="n">
        <v>0.5</v>
      </c>
      <c r="H21" s="37" t="n">
        <v>0</v>
      </c>
      <c r="I21" s="44" t="n">
        <f aca="false">IF(B21="NT",1,0)</f>
        <v>0</v>
      </c>
      <c r="J21" s="43" t="n">
        <f aca="false">1/(1+E21)</f>
        <v>0.613496932515337</v>
      </c>
      <c r="K21" s="43" t="n">
        <f aca="false">E21/(1+E21)</f>
        <v>0.386503067484663</v>
      </c>
      <c r="L21" s="43" t="n">
        <f aca="false">IF(F21="","",MIN(1,1-(1-F21)*J21))</f>
        <v>0.550920245398773</v>
      </c>
      <c r="M21" s="43" t="n">
        <f aca="false">IF(L21="",$C$42,L21)</f>
        <v>0.550920245398773</v>
      </c>
      <c r="N21" s="43" t="n">
        <f aca="false">p_w_mkt*(1-M21)</f>
        <v>0.449079754601227</v>
      </c>
      <c r="O21" s="43" t="n">
        <f aca="false">1-((1-D21)*CE_Lg+D21*CE_Ls)-p_gap-N21</f>
        <v>0.170404737349244</v>
      </c>
      <c r="P21" s="43" t="n">
        <f aca="false">(1-D21)*CE_MTMg+D21*CE_MTMs</f>
        <v>0.0673063940900569</v>
      </c>
      <c r="Q21" s="43" t="n">
        <f aca="false">(1-G21)*K21</f>
        <v>0.193251533742331</v>
      </c>
      <c r="R21" s="45" t="n">
        <f aca="false">O21/K21</f>
        <v>0.44088844742741</v>
      </c>
      <c r="S21" s="43" t="n">
        <f aca="false">(O21-1)/J21</f>
        <v>-1.35224027812073</v>
      </c>
      <c r="T21" s="28" t="n">
        <v>0</v>
      </c>
      <c r="U21" s="44" t="n">
        <f aca="false">MAX(T21,IF(OR(R21&lt;1.75,S21&lt;-0.2),1,0))</f>
        <v>1</v>
      </c>
      <c r="V21" s="43" t="n">
        <f aca="false">MAX(0,1-O21*(1-CE_mig_hc)-p_bb_cush)*Q21</f>
        <v>0.158658802577333</v>
      </c>
      <c r="W21" s="43" t="n">
        <f aca="false">MAX(0,K21-O21/1.5)</f>
        <v>0.272899909251833</v>
      </c>
      <c r="X21" s="43" t="n">
        <f aca="false">I21*J21*MIN(H21,p_red_rate)*(1-0.3)</f>
        <v>0</v>
      </c>
      <c r="Y21" s="45" t="n">
        <f aca="false">C21*(p_theta_lev*MAX(V21,W21)+X21)</f>
        <v>1.55716688219096</v>
      </c>
      <c r="Z21" s="43" t="n">
        <f aca="false">O21-P21-p_c_liq</f>
        <v>0.0530983432591873</v>
      </c>
      <c r="AA21" s="43" t="n">
        <f aca="false">p_phi*MAX(0,p_a_spv-Z21)/p_a_spv+(1-p_phi)*MAX(0,p_a_spv-O21)/p_a_spv</f>
        <v>0.890629111318288</v>
      </c>
      <c r="AB21" s="43" t="n">
        <f aca="false">IF(Q21&gt;0,p_phi*MAX(0,Q21-Z21)/Q21+(1-p_phi)*MAX(0,Q21-O21)/Q21,0)</f>
        <v>0.603834336552909</v>
      </c>
      <c r="AC21" s="45" t="n">
        <f aca="false">IF(L21="",0,L21*C21)</f>
        <v>3.49283435582822</v>
      </c>
      <c r="AD21" s="45" t="n">
        <f aca="false">IF(L21="",0,C21)</f>
        <v>6.34</v>
      </c>
    </row>
    <row r="22" customFormat="false" ht="15" hidden="false" customHeight="true" outlineLevel="0" collapsed="false">
      <c r="A22" s="10" t="s">
        <v>647</v>
      </c>
      <c r="B22" s="31" t="s">
        <v>630</v>
      </c>
      <c r="C22" s="40" t="n">
        <v>5.98</v>
      </c>
      <c r="D22" s="37" t="n">
        <v>0.227</v>
      </c>
      <c r="E22" s="40" t="n">
        <v>0.96</v>
      </c>
      <c r="F22" s="40"/>
      <c r="G22" s="38" t="n">
        <v>0.5</v>
      </c>
      <c r="H22" s="37" t="n">
        <v>0.114</v>
      </c>
      <c r="I22" s="44" t="n">
        <f aca="false">IF(B22="NT",1,0)</f>
        <v>1</v>
      </c>
      <c r="J22" s="43" t="n">
        <f aca="false">1/(1+E22)</f>
        <v>0.510204081632653</v>
      </c>
      <c r="K22" s="43" t="n">
        <f aca="false">E22/(1+E22)</f>
        <v>0.489795918367347</v>
      </c>
      <c r="L22" s="43" t="str">
        <f aca="false">IF(F22="","",MIN(1,1-(1-F22)*J22))</f>
        <v/>
      </c>
      <c r="M22" s="43" t="n">
        <f aca="false">IF(L22="",$C$42,L22)</f>
        <v>0.884331284067868</v>
      </c>
      <c r="N22" s="43" t="n">
        <f aca="false">p_w_mkt*(1-M22)</f>
        <v>0.115668715932132</v>
      </c>
      <c r="O22" s="43" t="n">
        <f aca="false">1-((1-D22)*CE_Lg+D22*CE_Ls)-p_gap-N22</f>
        <v>0.455038123240609</v>
      </c>
      <c r="P22" s="43" t="n">
        <f aca="false">(1-D22)*CE_MTMg+D22*CE_MTMs</f>
        <v>0.0618001658461972</v>
      </c>
      <c r="Q22" s="43" t="n">
        <f aca="false">(1-G22)*K22</f>
        <v>0.244897959183673</v>
      </c>
      <c r="R22" s="45" t="n">
        <f aca="false">O22/K22</f>
        <v>0.929036168282909</v>
      </c>
      <c r="S22" s="43" t="n">
        <f aca="false">(O22-1)/J22</f>
        <v>-1.06812527844841</v>
      </c>
      <c r="T22" s="28" t="n">
        <v>0</v>
      </c>
      <c r="U22" s="44" t="n">
        <f aca="false">MAX(T22,IF(OR(R22&lt;1.75,S22&lt;-0.2),1,0))</f>
        <v>1</v>
      </c>
      <c r="V22" s="43" t="n">
        <f aca="false">MAX(0,1-O22*(1-CE_mig_hc)-p_bb_cush)*Q22</f>
        <v>0.140108566732025</v>
      </c>
      <c r="W22" s="43" t="n">
        <f aca="false">MAX(0,K22-O22/1.5)</f>
        <v>0.186437169540275</v>
      </c>
      <c r="X22" s="43" t="n">
        <f aca="false">I22*J22*MIN(H22,p_red_rate)*(1-0.3)</f>
        <v>0.0407142857142857</v>
      </c>
      <c r="Y22" s="45" t="n">
        <f aca="false">C22*(p_theta_lev*MAX(V22,W22)+X22)</f>
        <v>1.24687627503719</v>
      </c>
      <c r="Z22" s="43" t="n">
        <f aca="false">O22-P22-p_c_liq</f>
        <v>0.343237957394411</v>
      </c>
      <c r="AA22" s="43" t="n">
        <f aca="false">p_phi*MAX(0,p_a_spv-Z22)/p_a_spv+(1-p_phi)*MAX(0,p_a_spv-O22)/p_a_spv</f>
        <v>0.477717156337642</v>
      </c>
      <c r="AB22" s="43" t="n">
        <f aca="false">IF(Q22&gt;0,p_phi*MAX(0,Q22-Z22)/Q22+(1-p_phi)*MAX(0,Q22-O22)/Q22,0)</f>
        <v>0</v>
      </c>
      <c r="AC22" s="45" t="n">
        <f aca="false">IF(L22="",0,L22*C22)</f>
        <v>0</v>
      </c>
      <c r="AD22" s="45" t="n">
        <f aca="false">IF(L22="",0,C22)</f>
        <v>0</v>
      </c>
    </row>
    <row r="23" customFormat="false" ht="15" hidden="false" customHeight="true" outlineLevel="0" collapsed="false">
      <c r="A23" s="10" t="s">
        <v>648</v>
      </c>
      <c r="B23" s="31" t="s">
        <v>633</v>
      </c>
      <c r="C23" s="40" t="n">
        <v>5.75</v>
      </c>
      <c r="D23" s="37" t="n">
        <v>0.051</v>
      </c>
      <c r="E23" s="40" t="n">
        <v>0.8</v>
      </c>
      <c r="F23" s="40" t="n">
        <v>1.545</v>
      </c>
      <c r="G23" s="37" t="n">
        <v>0.767</v>
      </c>
      <c r="H23" s="37" t="n">
        <v>0</v>
      </c>
      <c r="I23" s="44" t="n">
        <f aca="false">IF(B23="NT",1,0)</f>
        <v>0</v>
      </c>
      <c r="J23" s="43" t="n">
        <f aca="false">1/(1+E23)</f>
        <v>0.555555555555556</v>
      </c>
      <c r="K23" s="43" t="n">
        <f aca="false">E23/(1+E23)</f>
        <v>0.444444444444445</v>
      </c>
      <c r="L23" s="43" t="n">
        <f aca="false">IF(F23="","",MIN(1,1-(1-F23)*J23))</f>
        <v>1</v>
      </c>
      <c r="M23" s="43" t="n">
        <f aca="false">IF(L23="",$C$42,L23)</f>
        <v>1</v>
      </c>
      <c r="N23" s="43" t="n">
        <f aca="false">p_w_mkt*(1-M23)</f>
        <v>0</v>
      </c>
      <c r="O23" s="43" t="n">
        <f aca="false">1-((1-D23)*CE_Lg+D23*CE_Ls)-p_gap-N23</f>
        <v>0.612789520000587</v>
      </c>
      <c r="P23" s="43" t="n">
        <f aca="false">(1-D23)*CE_MTMg+D23*CE_MTMs</f>
        <v>0.0665506372722723</v>
      </c>
      <c r="Q23" s="43" t="n">
        <f aca="false">(1-G23)*K23</f>
        <v>0.103555555555556</v>
      </c>
      <c r="R23" s="45" t="n">
        <f aca="false">O23/K23</f>
        <v>1.37877642000132</v>
      </c>
      <c r="S23" s="43" t="n">
        <f aca="false">(O23-1)/J23</f>
        <v>-0.696978863998944</v>
      </c>
      <c r="T23" s="28" t="n">
        <v>0</v>
      </c>
      <c r="U23" s="44" t="n">
        <f aca="false">MAX(T23,IF(OR(R23&lt;1.75,S23&lt;-0.2),1,0))</f>
        <v>1</v>
      </c>
      <c r="V23" s="43" t="n">
        <f aca="false">MAX(0,1-O23*(1-CE_mig_hc)-p_bb_cush)*Q23</f>
        <v>0.044960771018262</v>
      </c>
      <c r="W23" s="43" t="n">
        <f aca="false">MAX(0,K23-O23/1.5)</f>
        <v>0.0359180977773868</v>
      </c>
      <c r="X23" s="43" t="n">
        <f aca="false">I23*J23*MIN(H23,p_red_rate)*(1-0.3)</f>
        <v>0</v>
      </c>
      <c r="Y23" s="45" t="n">
        <f aca="false">C23*(p_theta_lev*MAX(V23,W23)+X23)</f>
        <v>0.232671990019506</v>
      </c>
      <c r="Z23" s="43" t="n">
        <f aca="false">O23-P23-p_c_liq</f>
        <v>0.496238882728314</v>
      </c>
      <c r="AA23" s="43" t="n">
        <f aca="false">p_phi*MAX(0,p_a_spv-Z23)/p_a_spv+(1-p_phi)*MAX(0,p_a_spv-O23)/p_a_spv</f>
        <v>0.25778712831033</v>
      </c>
      <c r="AB23" s="43" t="n">
        <f aca="false">IF(Q23&gt;0,p_phi*MAX(0,Q23-Z23)/Q23+(1-p_phi)*MAX(0,Q23-O23)/Q23,0)</f>
        <v>0</v>
      </c>
      <c r="AC23" s="45" t="n">
        <f aca="false">IF(L23="",0,L23*C23)</f>
        <v>5.75</v>
      </c>
      <c r="AD23" s="45" t="n">
        <f aca="false">IF(L23="",0,C23)</f>
        <v>5.75</v>
      </c>
    </row>
    <row r="24" customFormat="false" ht="15" hidden="false" customHeight="true" outlineLevel="0" collapsed="false">
      <c r="A24" s="10" t="s">
        <v>649</v>
      </c>
      <c r="B24" s="31" t="s">
        <v>630</v>
      </c>
      <c r="C24" s="40" t="n">
        <v>5.06</v>
      </c>
      <c r="D24" s="37" t="n">
        <v>0.3</v>
      </c>
      <c r="E24" s="40" t="n">
        <v>0.86</v>
      </c>
      <c r="F24" s="40"/>
      <c r="G24" s="37" t="n">
        <v>0.075</v>
      </c>
      <c r="H24" s="37" t="n">
        <v>0.39</v>
      </c>
      <c r="I24" s="44" t="n">
        <f aca="false">IF(B24="NT",1,0)</f>
        <v>1</v>
      </c>
      <c r="J24" s="43" t="n">
        <f aca="false">1/(1+E24)</f>
        <v>0.537634408602151</v>
      </c>
      <c r="K24" s="43" t="n">
        <f aca="false">E24/(1+E24)</f>
        <v>0.46236559139785</v>
      </c>
      <c r="L24" s="43" t="str">
        <f aca="false">IF(F24="","",MIN(1,1-(1-F24)*J24))</f>
        <v/>
      </c>
      <c r="M24" s="43" t="n">
        <f aca="false">IF(L24="",$C$42,L24)</f>
        <v>0.884331284067868</v>
      </c>
      <c r="N24" s="43" t="n">
        <f aca="false">p_w_mkt*(1-M24)</f>
        <v>0.115668715932132</v>
      </c>
      <c r="O24" s="43" t="n">
        <f aca="false">1-((1-D24)*CE_Lg+D24*CE_Ls)-p_gap-N24</f>
        <v>0.437583374942695</v>
      </c>
      <c r="P24" s="43" t="n">
        <f aca="false">(1-D24)*CE_MTMg+D24*CE_MTMs</f>
        <v>0.0598297998569729</v>
      </c>
      <c r="Q24" s="43" t="n">
        <f aca="false">(1-G24)*K24</f>
        <v>0.427688172043011</v>
      </c>
      <c r="R24" s="45" t="n">
        <f aca="false">O24/K24</f>
        <v>0.946401252783039</v>
      </c>
      <c r="S24" s="43" t="n">
        <f aca="false">(O24-1)/J24</f>
        <v>-1.04609492260659</v>
      </c>
      <c r="T24" s="28" t="n">
        <v>0</v>
      </c>
      <c r="U24" s="44" t="n">
        <f aca="false">MAX(T24,IF(OR(R24&lt;1.75,S24&lt;-0.2),1,0))</f>
        <v>1</v>
      </c>
      <c r="V24" s="43" t="n">
        <f aca="false">MAX(0,1-O24*(1-CE_mig_hc)-p_bb_cush)*Q24</f>
        <v>0.251212310358292</v>
      </c>
      <c r="W24" s="43" t="n">
        <f aca="false">MAX(0,K24-O24/1.5)</f>
        <v>0.170643341436053</v>
      </c>
      <c r="X24" s="43" t="n">
        <f aca="false">I24*J24*MIN(H24,p_red_rate)*(1-0.3)</f>
        <v>0.0564516129032258</v>
      </c>
      <c r="Y24" s="45" t="n">
        <f aca="false">C24*(p_theta_lev*MAX(V24,W24)+X24)</f>
        <v>1.42966602266198</v>
      </c>
      <c r="Z24" s="43" t="n">
        <f aca="false">O24-P24-p_c_liq</f>
        <v>0.327753575085722</v>
      </c>
      <c r="AA24" s="43" t="n">
        <f aca="false">p_phi*MAX(0,p_a_spv-Z24)/p_a_spv+(1-p_phi)*MAX(0,p_a_spv-O24)/p_a_spv</f>
        <v>0.500400664204119</v>
      </c>
      <c r="AB24" s="43" t="n">
        <f aca="false">IF(Q24&gt;0,p_phi*MAX(0,Q24-Z24)/Q24+(1-p_phi)*MAX(0,Q24-O24)/Q24,0)</f>
        <v>0.186929830637895</v>
      </c>
      <c r="AC24" s="45" t="n">
        <f aca="false">IF(L24="",0,L24*C24)</f>
        <v>0</v>
      </c>
      <c r="AD24" s="45" t="n">
        <f aca="false">IF(L24="",0,C24)</f>
        <v>0</v>
      </c>
    </row>
    <row r="25" customFormat="false" ht="15" hidden="false" customHeight="true" outlineLevel="0" collapsed="false">
      <c r="A25" s="10" t="s">
        <v>650</v>
      </c>
      <c r="B25" s="31" t="s">
        <v>630</v>
      </c>
      <c r="C25" s="40" t="n">
        <v>4.62</v>
      </c>
      <c r="D25" s="37" t="n">
        <v>0.187</v>
      </c>
      <c r="E25" s="40" t="n">
        <v>1.17</v>
      </c>
      <c r="F25" s="40"/>
      <c r="G25" s="38" t="n">
        <v>0.5</v>
      </c>
      <c r="H25" s="37" t="n">
        <v>0.103</v>
      </c>
      <c r="I25" s="44" t="n">
        <f aca="false">IF(B25="NT",1,0)</f>
        <v>1</v>
      </c>
      <c r="J25" s="43" t="n">
        <f aca="false">1/(1+E25)</f>
        <v>0.460829493087558</v>
      </c>
      <c r="K25" s="43" t="n">
        <f aca="false">E25/(1+E25)</f>
        <v>0.539170506912442</v>
      </c>
      <c r="L25" s="43" t="str">
        <f aca="false">IF(F25="","",MIN(1,1-(1-F25)*J25))</f>
        <v/>
      </c>
      <c r="M25" s="43" t="n">
        <f aca="false">IF(L25="",$C$42,L25)</f>
        <v>0.884331284067868</v>
      </c>
      <c r="N25" s="43" t="n">
        <f aca="false">p_w_mkt*(1-M25)</f>
        <v>0.115668715932132</v>
      </c>
      <c r="O25" s="43" t="n">
        <f aca="false">1-((1-D25)*CE_Lg+D25*CE_Ls)-p_gap-N25</f>
        <v>0.464602368883301</v>
      </c>
      <c r="P25" s="43" t="n">
        <f aca="false">(1-D25)*CE_MTMg+D25*CE_MTMs</f>
        <v>0.0628798184430325</v>
      </c>
      <c r="Q25" s="43" t="n">
        <f aca="false">(1-G25)*K25</f>
        <v>0.269585253456221</v>
      </c>
      <c r="R25" s="45" t="n">
        <f aca="false">O25/K25</f>
        <v>0.8616984106639</v>
      </c>
      <c r="S25" s="43" t="n">
        <f aca="false">(O25-1)/J25</f>
        <v>-1.16181285952324</v>
      </c>
      <c r="T25" s="28" t="n">
        <v>0</v>
      </c>
      <c r="U25" s="44" t="n">
        <f aca="false">MAX(T25,IF(OR(R25&lt;1.75,S25&lt;-0.2),1,0))</f>
        <v>1</v>
      </c>
      <c r="V25" s="43" t="n">
        <f aca="false">MAX(0,1-O25*(1-CE_mig_hc)-p_bb_cush)*Q25</f>
        <v>0.151977852532969</v>
      </c>
      <c r="W25" s="43" t="n">
        <f aca="false">MAX(0,K25-O25/1.5)</f>
        <v>0.229435594323575</v>
      </c>
      <c r="X25" s="43" t="n">
        <f aca="false">I25*J25*MIN(H25,p_red_rate)*(1-0.3)</f>
        <v>0.0332258064516129</v>
      </c>
      <c r="Y25" s="45" t="n">
        <f aca="false">C25*(p_theta_lev*MAX(V25,W25)+X25)</f>
        <v>1.10749642700388</v>
      </c>
      <c r="Z25" s="43" t="n">
        <f aca="false">O25-P25-p_c_liq</f>
        <v>0.351722550440269</v>
      </c>
      <c r="AA25" s="43" t="n">
        <f aca="false">p_phi*MAX(0,p_a_spv-Z25)/p_a_spv+(1-p_phi)*MAX(0,p_a_spv-O25)/p_a_spv</f>
        <v>0.46528783695875</v>
      </c>
      <c r="AB25" s="43" t="n">
        <f aca="false">IF(Q25&gt;0,p_phi*MAX(0,Q25-Z25)/Q25+(1-p_phi)*MAX(0,Q25-O25)/Q25,0)</f>
        <v>0</v>
      </c>
      <c r="AC25" s="45" t="n">
        <f aca="false">IF(L25="",0,L25*C25)</f>
        <v>0</v>
      </c>
      <c r="AD25" s="45" t="n">
        <f aca="false">IF(L25="",0,C25)</f>
        <v>0</v>
      </c>
    </row>
    <row r="26" customFormat="false" ht="15" hidden="false" customHeight="true" outlineLevel="0" collapsed="false">
      <c r="A26" s="10" t="s">
        <v>651</v>
      </c>
      <c r="B26" s="31" t="s">
        <v>633</v>
      </c>
      <c r="C26" s="40" t="n">
        <v>4.58</v>
      </c>
      <c r="D26" s="37" t="n">
        <v>0.328</v>
      </c>
      <c r="E26" s="40" t="n">
        <v>1.03</v>
      </c>
      <c r="F26" s="40" t="n">
        <v>1.313</v>
      </c>
      <c r="G26" s="38" t="n">
        <v>0.5</v>
      </c>
      <c r="H26" s="37" t="n">
        <v>0</v>
      </c>
      <c r="I26" s="44" t="n">
        <f aca="false">IF(B26="NT",1,0)</f>
        <v>0</v>
      </c>
      <c r="J26" s="43" t="n">
        <f aca="false">1/(1+E26)</f>
        <v>0.492610837438424</v>
      </c>
      <c r="K26" s="43" t="n">
        <f aca="false">E26/(1+E26)</f>
        <v>0.507389162561576</v>
      </c>
      <c r="L26" s="43" t="n">
        <f aca="false">IF(F26="","",MIN(1,1-(1-F26)*J26))</f>
        <v>1</v>
      </c>
      <c r="M26" s="43" t="n">
        <f aca="false">IF(L26="",$C$42,L26)</f>
        <v>1</v>
      </c>
      <c r="N26" s="43" t="n">
        <f aca="false">p_w_mkt*(1-M26)</f>
        <v>0</v>
      </c>
      <c r="O26" s="43" t="n">
        <f aca="false">1-((1-D26)*CE_Lg+D26*CE_Ls)-p_gap-N26</f>
        <v>0.546557118924942</v>
      </c>
      <c r="P26" s="43" t="n">
        <f aca="false">(1-D26)*CE_MTMg+D26*CE_MTMs</f>
        <v>0.0590740430391882</v>
      </c>
      <c r="Q26" s="43" t="n">
        <f aca="false">(1-G26)*K26</f>
        <v>0.253694581280788</v>
      </c>
      <c r="R26" s="45" t="n">
        <f aca="false">O26/K26</f>
        <v>1.07719509846372</v>
      </c>
      <c r="S26" s="43" t="n">
        <f aca="false">(O26-1)/J26</f>
        <v>-0.920489048582367</v>
      </c>
      <c r="T26" s="28" t="n">
        <v>0</v>
      </c>
      <c r="U26" s="44" t="n">
        <f aca="false">MAX(T26,IF(OR(R26&lt;1.75,S26&lt;-0.2),1,0))</f>
        <v>1</v>
      </c>
      <c r="V26" s="43" t="n">
        <f aca="false">MAX(0,1-O26*(1-CE_mig_hc)-p_bb_cush)*Q26</f>
        <v>0.124839254619559</v>
      </c>
      <c r="W26" s="43" t="n">
        <f aca="false">MAX(0,K26-O26/1.5)</f>
        <v>0.143017749944948</v>
      </c>
      <c r="X26" s="43" t="n">
        <f aca="false">I26*J26*MIN(H26,p_red_rate)*(1-0.3)</f>
        <v>0</v>
      </c>
      <c r="Y26" s="45" t="n">
        <f aca="false">C26*(p_theta_lev*MAX(V26,W26)+X26)</f>
        <v>0.589519165273076</v>
      </c>
      <c r="Z26" s="43" t="n">
        <f aca="false">O26-P26-p_c_liq</f>
        <v>0.437483075885754</v>
      </c>
      <c r="AA26" s="43" t="n">
        <f aca="false">p_phi*MAX(0,p_a_spv-Z26)/p_a_spv+(1-p_phi)*MAX(0,p_a_spv-O26)/p_a_spv</f>
        <v>0.343860165009155</v>
      </c>
      <c r="AB26" s="43" t="n">
        <f aca="false">IF(Q26&gt;0,p_phi*MAX(0,Q26-Z26)/Q26+(1-p_phi)*MAX(0,Q26-O26)/Q26,0)</f>
        <v>0</v>
      </c>
      <c r="AC26" s="45" t="n">
        <f aca="false">IF(L26="",0,L26*C26)</f>
        <v>4.58</v>
      </c>
      <c r="AD26" s="45" t="n">
        <f aca="false">IF(L26="",0,C26)</f>
        <v>4.58</v>
      </c>
    </row>
    <row r="27" customFormat="false" ht="15" hidden="false" customHeight="true" outlineLevel="0" collapsed="false">
      <c r="A27" s="10" t="s">
        <v>652</v>
      </c>
      <c r="B27" s="31" t="s">
        <v>633</v>
      </c>
      <c r="C27" s="40" t="n">
        <v>3.55</v>
      </c>
      <c r="D27" s="37" t="n">
        <v>0.212</v>
      </c>
      <c r="E27" s="40" t="n">
        <v>1.2</v>
      </c>
      <c r="F27" s="40" t="n">
        <v>0.655</v>
      </c>
      <c r="G27" s="37" t="n">
        <v>0.562</v>
      </c>
      <c r="H27" s="37" t="n">
        <v>0</v>
      </c>
      <c r="I27" s="44" t="n">
        <f aca="false">IF(B27="NT",1,0)</f>
        <v>0</v>
      </c>
      <c r="J27" s="43" t="n">
        <f aca="false">1/(1+E27)</f>
        <v>0.454545454545455</v>
      </c>
      <c r="K27" s="43" t="n">
        <f aca="false">E27/(1+E27)</f>
        <v>0.545454545454545</v>
      </c>
      <c r="L27" s="43" t="n">
        <f aca="false">IF(F27="","",MIN(1,1-(1-F27)*J27))</f>
        <v>0.843181818181818</v>
      </c>
      <c r="M27" s="43" t="n">
        <f aca="false">IF(L27="",$C$42,L27)</f>
        <v>0.843181818181818</v>
      </c>
      <c r="N27" s="43" t="n">
        <f aca="false">p_w_mkt*(1-M27)</f>
        <v>0.156818181818182</v>
      </c>
      <c r="O27" s="43" t="n">
        <f aca="false">1-((1-D27)*CE_Lg+D27*CE_Ls)-p_gap-N27</f>
        <v>0.417475249470568</v>
      </c>
      <c r="P27" s="43" t="n">
        <f aca="false">(1-D27)*CE_MTMg+D27*CE_MTMs</f>
        <v>0.0622050355700104</v>
      </c>
      <c r="Q27" s="43" t="n">
        <f aca="false">(1-G27)*K27</f>
        <v>0.238909090909091</v>
      </c>
      <c r="R27" s="45" t="n">
        <f aca="false">O27/K27</f>
        <v>0.765371290696042</v>
      </c>
      <c r="S27" s="43" t="n">
        <f aca="false">(O27-1)/J27</f>
        <v>-1.28155445116475</v>
      </c>
      <c r="T27" s="28" t="n">
        <v>0</v>
      </c>
      <c r="U27" s="44" t="n">
        <f aca="false">MAX(T27,IF(OR(R27&lt;1.75,S27&lt;-0.2),1,0))</f>
        <v>1</v>
      </c>
      <c r="V27" s="43" t="n">
        <f aca="false">MAX(0,1-O27*(1-CE_mig_hc)-p_bb_cush)*Q27</f>
        <v>0.144529331352948</v>
      </c>
      <c r="W27" s="43" t="n">
        <f aca="false">MAX(0,K27-O27/1.5)</f>
        <v>0.267137712474167</v>
      </c>
      <c r="X27" s="43" t="n">
        <f aca="false">I27*J27*MIN(H27,p_red_rate)*(1-0.3)</f>
        <v>0</v>
      </c>
      <c r="Y27" s="45" t="n">
        <f aca="false">C27*(p_theta_lev*MAX(V27,W27)+X27)</f>
        <v>0.853504991354962</v>
      </c>
      <c r="Z27" s="43" t="n">
        <f aca="false">O27-P27-p_c_liq</f>
        <v>0.305270213900558</v>
      </c>
      <c r="AA27" s="43" t="n">
        <f aca="false">p_phi*MAX(0,p_a_spv-Z27)/p_a_spv+(1-p_phi)*MAX(0,p_a_spv-O27)/p_a_spv</f>
        <v>0.531841112836343</v>
      </c>
      <c r="AB27" s="43" t="n">
        <f aca="false">IF(Q27&gt;0,p_phi*MAX(0,Q27-Z27)/Q27+(1-p_phi)*MAX(0,Q27-O27)/Q27,0)</f>
        <v>0</v>
      </c>
      <c r="AC27" s="45" t="n">
        <f aca="false">IF(L27="",0,L27*C27)</f>
        <v>2.99329545454546</v>
      </c>
      <c r="AD27" s="45" t="n">
        <f aca="false">IF(L27="",0,C27)</f>
        <v>3.55</v>
      </c>
    </row>
    <row r="28" customFormat="false" ht="15" hidden="false" customHeight="true" outlineLevel="0" collapsed="false">
      <c r="A28" s="10" t="s">
        <v>653</v>
      </c>
      <c r="B28" s="31" t="s">
        <v>633</v>
      </c>
      <c r="C28" s="40" t="n">
        <v>3.3</v>
      </c>
      <c r="D28" s="37" t="n">
        <v>0.19</v>
      </c>
      <c r="E28" s="40" t="n">
        <v>1.27</v>
      </c>
      <c r="F28" s="40" t="n">
        <v>1.029</v>
      </c>
      <c r="G28" s="37" t="n">
        <v>0.788</v>
      </c>
      <c r="H28" s="37" t="n">
        <v>0</v>
      </c>
      <c r="I28" s="44" t="n">
        <f aca="false">IF(B28="NT",1,0)</f>
        <v>0</v>
      </c>
      <c r="J28" s="43" t="n">
        <f aca="false">1/(1+E28)</f>
        <v>0.440528634361233</v>
      </c>
      <c r="K28" s="43" t="n">
        <f aca="false">E28/(1+E28)</f>
        <v>0.559471365638767</v>
      </c>
      <c r="L28" s="43" t="n">
        <f aca="false">IF(F28="","",MIN(1,1-(1-F28)*J28))</f>
        <v>1</v>
      </c>
      <c r="M28" s="43" t="n">
        <f aca="false">IF(L28="",$C$42,L28)</f>
        <v>1</v>
      </c>
      <c r="N28" s="43" t="n">
        <f aca="false">p_w_mkt*(1-M28)</f>
        <v>0</v>
      </c>
      <c r="O28" s="43" t="n">
        <f aca="false">1-((1-D28)*CE_Lg+D28*CE_Ls)-p_gap-N28</f>
        <v>0.579553766392231</v>
      </c>
      <c r="P28" s="43" t="n">
        <f aca="false">(1-D28)*CE_MTMg+D28*CE_MTMs</f>
        <v>0.0627988444982698</v>
      </c>
      <c r="Q28" s="43" t="n">
        <f aca="false">(1-G28)*K28</f>
        <v>0.118607929515418</v>
      </c>
      <c r="R28" s="45" t="n">
        <f aca="false">O28/K28</f>
        <v>1.03589531473257</v>
      </c>
      <c r="S28" s="43" t="n">
        <f aca="false">(O28-1)/J28</f>
        <v>-0.954412950289636</v>
      </c>
      <c r="T28" s="28" t="n">
        <v>0</v>
      </c>
      <c r="U28" s="44" t="n">
        <f aca="false">MAX(T28,IF(OR(R28&lt;1.75,S28&lt;-0.2),1,0))</f>
        <v>1</v>
      </c>
      <c r="V28" s="43" t="n">
        <f aca="false">MAX(0,1-O28*(1-CE_mig_hc)-p_bb_cush)*Q28</f>
        <v>0.0549430145787329</v>
      </c>
      <c r="W28" s="43" t="n">
        <f aca="false">MAX(0,K28-O28/1.5)</f>
        <v>0.173102188043946</v>
      </c>
      <c r="X28" s="43" t="n">
        <f aca="false">I28*J28*MIN(H28,p_red_rate)*(1-0.3)</f>
        <v>0</v>
      </c>
      <c r="Y28" s="45" t="n">
        <f aca="false">C28*(p_theta_lev*MAX(V28,W28)+X28)</f>
        <v>0.51411349849052</v>
      </c>
      <c r="Z28" s="43" t="n">
        <f aca="false">O28-P28-p_c_liq</f>
        <v>0.466754921893961</v>
      </c>
      <c r="AA28" s="43" t="n">
        <f aca="false">p_phi*MAX(0,p_a_spv-Z28)/p_a_spv+(1-p_phi)*MAX(0,p_a_spv-O28)/p_a_spv</f>
        <v>0.300979013151978</v>
      </c>
      <c r="AB28" s="43" t="n">
        <f aca="false">IF(Q28&gt;0,p_phi*MAX(0,Q28-Z28)/Q28+(1-p_phi)*MAX(0,Q28-O28)/Q28,0)</f>
        <v>0</v>
      </c>
      <c r="AC28" s="45" t="n">
        <f aca="false">IF(L28="",0,L28*C28)</f>
        <v>3.3</v>
      </c>
      <c r="AD28" s="45" t="n">
        <f aca="false">IF(L28="",0,C28)</f>
        <v>3.3</v>
      </c>
    </row>
    <row r="29" customFormat="false" ht="15" hidden="false" customHeight="true" outlineLevel="0" collapsed="false">
      <c r="A29" s="10" t="s">
        <v>654</v>
      </c>
      <c r="B29" s="31" t="s">
        <v>633</v>
      </c>
      <c r="C29" s="40" t="n">
        <v>3.2</v>
      </c>
      <c r="D29" s="37" t="n">
        <v>0.196</v>
      </c>
      <c r="E29" s="40" t="n">
        <v>1.36</v>
      </c>
      <c r="F29" s="40" t="n">
        <v>0.714</v>
      </c>
      <c r="G29" s="37" t="n">
        <v>0.633</v>
      </c>
      <c r="H29" s="37" t="n">
        <v>0</v>
      </c>
      <c r="I29" s="44" t="n">
        <f aca="false">IF(B29="NT",1,0)</f>
        <v>0</v>
      </c>
      <c r="J29" s="43" t="n">
        <f aca="false">1/(1+E29)</f>
        <v>0.423728813559322</v>
      </c>
      <c r="K29" s="43" t="n">
        <f aca="false">E29/(1+E29)</f>
        <v>0.576271186440678</v>
      </c>
      <c r="L29" s="43" t="n">
        <f aca="false">IF(F29="","",MIN(1,1-(1-F29)*J29))</f>
        <v>0.878813559322034</v>
      </c>
      <c r="M29" s="43" t="n">
        <f aca="false">IF(L29="",$C$42,L29)</f>
        <v>0.878813559322034</v>
      </c>
      <c r="N29" s="43" t="n">
        <f aca="false">p_w_mkt*(1-M29)</f>
        <v>0.121186440677966</v>
      </c>
      <c r="O29" s="43" t="n">
        <f aca="false">1-((1-D29)*CE_Lg+D29*CE_Ls)-p_gap-N29</f>
        <v>0.456932688867861</v>
      </c>
      <c r="P29" s="43" t="n">
        <f aca="false">(1-D29)*CE_MTMg+D29*CE_MTMs</f>
        <v>0.0626368966087445</v>
      </c>
      <c r="Q29" s="43" t="n">
        <f aca="false">(1-G29)*K29</f>
        <v>0.211491525423729</v>
      </c>
      <c r="R29" s="45" t="n">
        <f aca="false">O29/K29</f>
        <v>0.792912607153053</v>
      </c>
      <c r="S29" s="43" t="n">
        <f aca="false">(O29-1)/J29</f>
        <v>-1.28163885427185</v>
      </c>
      <c r="T29" s="28" t="n">
        <v>0</v>
      </c>
      <c r="U29" s="44" t="n">
        <f aca="false">MAX(T29,IF(OR(R29&lt;1.75,S29&lt;-0.2),1,0))</f>
        <v>1</v>
      </c>
      <c r="V29" s="43" t="n">
        <f aca="false">MAX(0,1-O29*(1-CE_mig_hc)-p_bb_cush)*Q29</f>
        <v>0.12064604983762</v>
      </c>
      <c r="W29" s="43" t="n">
        <f aca="false">MAX(0,K29-O29/1.5)</f>
        <v>0.271649393862104</v>
      </c>
      <c r="X29" s="43" t="n">
        <f aca="false">I29*J29*MIN(H29,p_red_rate)*(1-0.3)</f>
        <v>0</v>
      </c>
      <c r="Y29" s="45" t="n">
        <f aca="false">C29*(p_theta_lev*MAX(V29,W29)+X29)</f>
        <v>0.78235025432286</v>
      </c>
      <c r="Z29" s="43" t="n">
        <f aca="false">O29-P29-p_c_liq</f>
        <v>0.344295792259116</v>
      </c>
      <c r="AA29" s="43" t="n">
        <f aca="false">p_phi*MAX(0,p_a_spv-Z29)/p_a_spv+(1-p_phi)*MAX(0,p_a_spv-O29)/p_a_spv</f>
        <v>0.475966897741621</v>
      </c>
      <c r="AB29" s="43" t="n">
        <f aca="false">IF(Q29&gt;0,p_phi*MAX(0,Q29-Z29)/Q29+(1-p_phi)*MAX(0,Q29-O29)/Q29,0)</f>
        <v>0</v>
      </c>
      <c r="AC29" s="45" t="n">
        <f aca="false">IF(L29="",0,L29*C29)</f>
        <v>2.81220338983051</v>
      </c>
      <c r="AD29" s="45" t="n">
        <f aca="false">IF(L29="",0,C29)</f>
        <v>3.2</v>
      </c>
    </row>
    <row r="30" customFormat="false" ht="15" hidden="false" customHeight="true" outlineLevel="0" collapsed="false">
      <c r="A30" s="10" t="s">
        <v>655</v>
      </c>
      <c r="B30" s="31" t="s">
        <v>633</v>
      </c>
      <c r="C30" s="40" t="n">
        <v>2.74</v>
      </c>
      <c r="D30" s="37" t="n">
        <v>0.189</v>
      </c>
      <c r="E30" s="40" t="n">
        <v>1.04</v>
      </c>
      <c r="F30" s="40" t="n">
        <v>0.728</v>
      </c>
      <c r="G30" s="38" t="n">
        <v>0.5</v>
      </c>
      <c r="H30" s="37" t="n">
        <v>0</v>
      </c>
      <c r="I30" s="44" t="n">
        <f aca="false">IF(B30="NT",1,0)</f>
        <v>0</v>
      </c>
      <c r="J30" s="43" t="n">
        <f aca="false">1/(1+E30)</f>
        <v>0.490196078431373</v>
      </c>
      <c r="K30" s="43" t="n">
        <f aca="false">E30/(1+E30)</f>
        <v>0.509803921568627</v>
      </c>
      <c r="L30" s="43" t="n">
        <f aca="false">IF(F30="","",MIN(1,1-(1-F30)*J30))</f>
        <v>0.866666666666667</v>
      </c>
      <c r="M30" s="43" t="n">
        <f aca="false">IF(L30="",$C$42,L30)</f>
        <v>0.866666666666667</v>
      </c>
      <c r="N30" s="43" t="n">
        <f aca="false">p_w_mkt*(1-M30)</f>
        <v>0.133333333333333</v>
      </c>
      <c r="O30" s="43" t="n">
        <f aca="false">1-((1-D30)*CE_Lg+D30*CE_Ls)-p_gap-N30</f>
        <v>0.446459539199965</v>
      </c>
      <c r="P30" s="43" t="n">
        <f aca="false">(1-D30)*CE_MTMg+D30*CE_MTMs</f>
        <v>0.0628258358131907</v>
      </c>
      <c r="Q30" s="43" t="n">
        <f aca="false">(1-G30)*K30</f>
        <v>0.254901960784314</v>
      </c>
      <c r="R30" s="45" t="n">
        <f aca="false">O30/K30</f>
        <v>0.87574755766147</v>
      </c>
      <c r="S30" s="43" t="n">
        <f aca="false">(O30-1)/J30</f>
        <v>-1.12922254003207</v>
      </c>
      <c r="T30" s="28" t="n">
        <v>0</v>
      </c>
      <c r="U30" s="44" t="n">
        <f aca="false">MAX(T30,IF(OR(R30&lt;1.75,S30&lt;-0.2),1,0))</f>
        <v>1</v>
      </c>
      <c r="V30" s="43" t="n">
        <f aca="false">MAX(0,1-O30*(1-CE_mig_hc)-p_bb_cush)*Q30</f>
        <v>0.147744027043429</v>
      </c>
      <c r="W30" s="43" t="n">
        <f aca="false">MAX(0,K30-O30/1.5)</f>
        <v>0.212164228768651</v>
      </c>
      <c r="X30" s="43" t="n">
        <f aca="false">I30*J30*MIN(H30,p_red_rate)*(1-0.3)</f>
        <v>0</v>
      </c>
      <c r="Y30" s="45" t="n">
        <f aca="false">C30*(p_theta_lev*MAX(V30,W30)+X30)</f>
        <v>0.523196988143493</v>
      </c>
      <c r="Z30" s="43" t="n">
        <f aca="false">O30-P30-p_c_liq</f>
        <v>0.333633703386774</v>
      </c>
      <c r="AA30" s="43" t="n">
        <f aca="false">p_phi*MAX(0,p_a_spv-Z30)/p_a_spv+(1-p_phi)*MAX(0,p_a_spv-O30)/p_a_spv</f>
        <v>0.491144470643697</v>
      </c>
      <c r="AB30" s="43" t="n">
        <f aca="false">IF(Q30&gt;0,p_phi*MAX(0,Q30-Z30)/Q30+(1-p_phi)*MAX(0,Q30-O30)/Q30,0)</f>
        <v>0</v>
      </c>
      <c r="AC30" s="45" t="n">
        <f aca="false">IF(L30="",0,L30*C30)</f>
        <v>2.37466666666667</v>
      </c>
      <c r="AD30" s="45" t="n">
        <f aca="false">IF(L30="",0,C30)</f>
        <v>2.74</v>
      </c>
    </row>
    <row r="31" customFormat="false" ht="15" hidden="false" customHeight="true" outlineLevel="0" collapsed="false">
      <c r="A31" s="10" t="s">
        <v>656</v>
      </c>
      <c r="B31" s="31" t="s">
        <v>633</v>
      </c>
      <c r="C31" s="40" t="n">
        <v>2.46</v>
      </c>
      <c r="D31" s="37" t="n">
        <v>0.094</v>
      </c>
      <c r="E31" s="40" t="n">
        <v>1.23</v>
      </c>
      <c r="F31" s="40" t="n">
        <v>0.763</v>
      </c>
      <c r="G31" s="38" t="n">
        <v>0.5</v>
      </c>
      <c r="H31" s="37" t="n">
        <v>0</v>
      </c>
      <c r="I31" s="44" t="n">
        <f aca="false">IF(B31="NT",1,0)</f>
        <v>0</v>
      </c>
      <c r="J31" s="43" t="n">
        <f aca="false">1/(1+E31)</f>
        <v>0.448430493273543</v>
      </c>
      <c r="K31" s="43" t="n">
        <f aca="false">E31/(1+E31)</f>
        <v>0.551569506726457</v>
      </c>
      <c r="L31" s="43" t="n">
        <f aca="false">IF(F31="","",MIN(1,1-(1-F31)*J31))</f>
        <v>0.893721973094171</v>
      </c>
      <c r="M31" s="43" t="n">
        <f aca="false">IF(L31="",$C$42,L31)</f>
        <v>0.893721973094171</v>
      </c>
      <c r="N31" s="43" t="n">
        <f aca="false">p_w_mkt*(1-M31)</f>
        <v>0.10627802690583</v>
      </c>
      <c r="O31" s="43" t="n">
        <f aca="false">1-((1-D31)*CE_Lg+D31*CE_Ls)-p_gap-N31</f>
        <v>0.496229929028863</v>
      </c>
      <c r="P31" s="43" t="n">
        <f aca="false">(1-D31)*CE_MTMg+D31*CE_MTMs</f>
        <v>0.0653900107306744</v>
      </c>
      <c r="Q31" s="43" t="n">
        <f aca="false">(1-G31)*K31</f>
        <v>0.275784753363229</v>
      </c>
      <c r="R31" s="45" t="n">
        <f aca="false">O31/K31</f>
        <v>0.899668895718995</v>
      </c>
      <c r="S31" s="43" t="n">
        <f aca="false">(O31-1)/J31</f>
        <v>-1.12340725826564</v>
      </c>
      <c r="T31" s="28" t="n">
        <v>0</v>
      </c>
      <c r="U31" s="44" t="n">
        <f aca="false">MAX(T31,IF(OR(R31&lt;1.75,S31&lt;-0.2),1,0))</f>
        <v>1</v>
      </c>
      <c r="V31" s="43" t="n">
        <f aca="false">MAX(0,1-O31*(1-CE_mig_hc)-p_bb_cush)*Q31</f>
        <v>0.147845846059127</v>
      </c>
      <c r="W31" s="43" t="n">
        <f aca="false">MAX(0,K31-O31/1.5)</f>
        <v>0.220749554040549</v>
      </c>
      <c r="X31" s="43" t="n">
        <f aca="false">I31*J31*MIN(H31,p_red_rate)*(1-0.3)</f>
        <v>0</v>
      </c>
      <c r="Y31" s="45" t="n">
        <f aca="false">C31*(p_theta_lev*MAX(V31,W31)+X31)</f>
        <v>0.488739512645775</v>
      </c>
      <c r="Z31" s="43" t="n">
        <f aca="false">O31-P31-p_c_liq</f>
        <v>0.380839918298188</v>
      </c>
      <c r="AA31" s="43" t="n">
        <f aca="false">p_phi*MAX(0,p_a_spv-Z31)/p_a_spv+(1-p_phi)*MAX(0,p_a_spv-O31)/p_a_spv</f>
        <v>0.422974399365253</v>
      </c>
      <c r="AB31" s="43" t="n">
        <f aca="false">IF(Q31&gt;0,p_phi*MAX(0,Q31-Z31)/Q31+(1-p_phi)*MAX(0,Q31-O31)/Q31,0)</f>
        <v>0</v>
      </c>
      <c r="AC31" s="45" t="n">
        <f aca="false">IF(L31="",0,L31*C31)</f>
        <v>2.19855605381166</v>
      </c>
      <c r="AD31" s="45" t="n">
        <f aca="false">IF(L31="",0,C31)</f>
        <v>2.46</v>
      </c>
    </row>
    <row r="32" customFormat="false" ht="15" hidden="false" customHeight="true" outlineLevel="0" collapsed="false">
      <c r="A32" s="10" t="s">
        <v>657</v>
      </c>
      <c r="B32" s="31" t="s">
        <v>633</v>
      </c>
      <c r="C32" s="40" t="n">
        <v>2.36</v>
      </c>
      <c r="D32" s="37" t="n">
        <v>0.127</v>
      </c>
      <c r="E32" s="40" t="n">
        <v>1.19</v>
      </c>
      <c r="F32" s="40" t="n">
        <v>0.647</v>
      </c>
      <c r="G32" s="37" t="n">
        <v>0.457</v>
      </c>
      <c r="H32" s="37" t="n">
        <v>0</v>
      </c>
      <c r="I32" s="44" t="n">
        <f aca="false">IF(B32="NT",1,0)</f>
        <v>0</v>
      </c>
      <c r="J32" s="43" t="n">
        <f aca="false">1/(1+E32)</f>
        <v>0.45662100456621</v>
      </c>
      <c r="K32" s="43" t="n">
        <f aca="false">E32/(1+E32)</f>
        <v>0.54337899543379</v>
      </c>
      <c r="L32" s="43" t="n">
        <f aca="false">IF(F32="","",MIN(1,1-(1-F32)*J32))</f>
        <v>0.838812785388128</v>
      </c>
      <c r="M32" s="43" t="n">
        <f aca="false">IF(L32="",$C$42,L32)</f>
        <v>0.838812785388128</v>
      </c>
      <c r="N32" s="43" t="n">
        <f aca="false">p_w_mkt*(1-M32)</f>
        <v>0.161187214611872</v>
      </c>
      <c r="O32" s="43" t="n">
        <f aca="false">1-((1-D32)*CE_Lg+D32*CE_Ls)-p_gap-N32</f>
        <v>0.433430238667599</v>
      </c>
      <c r="P32" s="43" t="n">
        <f aca="false">(1-D32)*CE_MTMg+D32*CE_MTMs</f>
        <v>0.0644992973382853</v>
      </c>
      <c r="Q32" s="43" t="n">
        <f aca="false">(1-G32)*K32</f>
        <v>0.295054794520548</v>
      </c>
      <c r="R32" s="45" t="n">
        <f aca="false">O32/K32</f>
        <v>0.797657329984909</v>
      </c>
      <c r="S32" s="43" t="n">
        <f aca="false">(O32-1)/J32</f>
        <v>-1.24078777731796</v>
      </c>
      <c r="T32" s="28" t="n">
        <v>0</v>
      </c>
      <c r="U32" s="44" t="n">
        <f aca="false">MAX(T32,IF(OR(R32&lt;1.75,S32&lt;-0.2),1,0))</f>
        <v>1</v>
      </c>
      <c r="V32" s="43" t="n">
        <f aca="false">MAX(0,1-O32*(1-CE_mig_hc)-p_bb_cush)*Q32</f>
        <v>0.174378604358877</v>
      </c>
      <c r="W32" s="43" t="n">
        <f aca="false">MAX(0,K32-O32/1.5)</f>
        <v>0.254425502988724</v>
      </c>
      <c r="X32" s="43" t="n">
        <f aca="false">I32*J32*MIN(H32,p_red_rate)*(1-0.3)</f>
        <v>0</v>
      </c>
      <c r="Y32" s="45" t="n">
        <f aca="false">C32*(p_theta_lev*MAX(V32,W32)+X32)</f>
        <v>0.54039976834805</v>
      </c>
      <c r="Z32" s="43" t="n">
        <f aca="false">O32-P32-p_c_liq</f>
        <v>0.318930941329314</v>
      </c>
      <c r="AA32" s="43" t="n">
        <f aca="false">p_phi*MAX(0,p_a_spv-Z32)/p_a_spv+(1-p_phi)*MAX(0,p_a_spv-O32)/p_a_spv</f>
        <v>0.511670284575756</v>
      </c>
      <c r="AB32" s="43" t="n">
        <f aca="false">IF(Q32&gt;0,p_phi*MAX(0,Q32-Z32)/Q32+(1-p_phi)*MAX(0,Q32-O32)/Q32,0)</f>
        <v>0</v>
      </c>
      <c r="AC32" s="45" t="n">
        <f aca="false">IF(L32="",0,L32*C32)</f>
        <v>1.97959817351598</v>
      </c>
      <c r="AD32" s="45" t="n">
        <f aca="false">IF(L32="",0,C32)</f>
        <v>2.36</v>
      </c>
    </row>
    <row r="33" customFormat="false" ht="15" hidden="false" customHeight="true" outlineLevel="0" collapsed="false">
      <c r="A33" s="10" t="s">
        <v>658</v>
      </c>
      <c r="B33" s="31" t="s">
        <v>633</v>
      </c>
      <c r="C33" s="40" t="n">
        <v>2.29</v>
      </c>
      <c r="D33" s="37" t="n">
        <v>0.015</v>
      </c>
      <c r="E33" s="40" t="n">
        <v>1.17</v>
      </c>
      <c r="F33" s="40" t="n">
        <v>0.765</v>
      </c>
      <c r="G33" s="38" t="n">
        <v>0.5</v>
      </c>
      <c r="H33" s="37" t="n">
        <v>0</v>
      </c>
      <c r="I33" s="44" t="n">
        <f aca="false">IF(B33="NT",1,0)</f>
        <v>0</v>
      </c>
      <c r="J33" s="43" t="n">
        <f aca="false">1/(1+E33)</f>
        <v>0.460829493087558</v>
      </c>
      <c r="K33" s="43" t="n">
        <f aca="false">E33/(1+E33)</f>
        <v>0.539170506912442</v>
      </c>
      <c r="L33" s="43" t="n">
        <f aca="false">IF(F33="","",MIN(1,1-(1-F33)*J33))</f>
        <v>0.891705069124424</v>
      </c>
      <c r="M33" s="43" t="n">
        <f aca="false">IF(L33="",$C$42,L33)</f>
        <v>0.891705069124424</v>
      </c>
      <c r="N33" s="43" t="n">
        <f aca="false">p_w_mkt*(1-M33)</f>
        <v>0.108294930875576</v>
      </c>
      <c r="O33" s="43" t="n">
        <f aca="false">1-((1-D33)*CE_Lg+D33*CE_Ls)-p_gap-N33</f>
        <v>0.513102410203434</v>
      </c>
      <c r="P33" s="43" t="n">
        <f aca="false">(1-D33)*CE_MTMg+D33*CE_MTMs</f>
        <v>0.067522324609424</v>
      </c>
      <c r="Q33" s="43" t="n">
        <f aca="false">(1-G33)*K33</f>
        <v>0.269585253456221</v>
      </c>
      <c r="R33" s="45" t="n">
        <f aca="false">O33/K33</f>
        <v>0.951651478753377</v>
      </c>
      <c r="S33" s="43" t="n">
        <f aca="false">(O33-1)/J33</f>
        <v>-1.05656776985855</v>
      </c>
      <c r="T33" s="28" t="n">
        <v>0</v>
      </c>
      <c r="U33" s="44" t="n">
        <f aca="false">MAX(T33,IF(OR(R33&lt;1.75,S33&lt;-0.2),1,0))</f>
        <v>1</v>
      </c>
      <c r="V33" s="43" t="n">
        <f aca="false">MAX(0,1-O33*(1-CE_mig_hc)-p_bb_cush)*Q33</f>
        <v>0.140545028935577</v>
      </c>
      <c r="W33" s="43" t="n">
        <f aca="false">MAX(0,K33-O33/1.5)</f>
        <v>0.197102233443487</v>
      </c>
      <c r="X33" s="43" t="n">
        <f aca="false">I33*J33*MIN(H33,p_red_rate)*(1-0.3)</f>
        <v>0</v>
      </c>
      <c r="Y33" s="45" t="n">
        <f aca="false">C33*(p_theta_lev*MAX(V33,W33)+X33)</f>
        <v>0.406227703127026</v>
      </c>
      <c r="Z33" s="43" t="n">
        <f aca="false">O33-P33-p_c_liq</f>
        <v>0.39558008559401</v>
      </c>
      <c r="AA33" s="43" t="n">
        <f aca="false">p_phi*MAX(0,p_a_spv-Z33)/p_a_spv+(1-p_phi)*MAX(0,p_a_spv-O33)/p_a_spv</f>
        <v>0.401307784977294</v>
      </c>
      <c r="AB33" s="43" t="n">
        <f aca="false">IF(Q33&gt;0,p_phi*MAX(0,Q33-Z33)/Q33+(1-p_phi)*MAX(0,Q33-O33)/Q33,0)</f>
        <v>0</v>
      </c>
      <c r="AC33" s="45" t="n">
        <f aca="false">IF(L33="",0,L33*C33)</f>
        <v>2.04200460829493</v>
      </c>
      <c r="AD33" s="45" t="n">
        <f aca="false">IF(L33="",0,C33)</f>
        <v>2.29</v>
      </c>
    </row>
    <row r="34" customFormat="false" ht="15" hidden="false" customHeight="true" outlineLevel="0" collapsed="false">
      <c r="A34" s="10" t="s">
        <v>659</v>
      </c>
      <c r="B34" s="31" t="s">
        <v>633</v>
      </c>
      <c r="C34" s="40" t="n">
        <v>2.29</v>
      </c>
      <c r="D34" s="37" t="n">
        <v>0.165</v>
      </c>
      <c r="E34" s="40" t="n">
        <v>1.31</v>
      </c>
      <c r="F34" s="40" t="n">
        <v>0.608</v>
      </c>
      <c r="G34" s="37" t="n">
        <v>0.578</v>
      </c>
      <c r="H34" s="37" t="n">
        <v>0</v>
      </c>
      <c r="I34" s="44" t="n">
        <f aca="false">IF(B34="NT",1,0)</f>
        <v>0</v>
      </c>
      <c r="J34" s="43" t="n">
        <f aca="false">1/(1+E34)</f>
        <v>0.432900432900433</v>
      </c>
      <c r="K34" s="43" t="n">
        <f aca="false">E34/(1+E34)</f>
        <v>0.567099567099567</v>
      </c>
      <c r="L34" s="43" t="n">
        <f aca="false">IF(F34="","",MIN(1,1-(1-F34)*J34))</f>
        <v>0.83030303030303</v>
      </c>
      <c r="M34" s="43" t="n">
        <f aca="false">IF(L34="",$C$42,L34)</f>
        <v>0.83030303030303</v>
      </c>
      <c r="N34" s="43" t="n">
        <f aca="false">p_w_mkt*(1-M34)</f>
        <v>0.16969696969697</v>
      </c>
      <c r="O34" s="43" t="n">
        <f aca="false">1-((1-D34)*CE_Lg+D34*CE_Ls)-p_gap-N34</f>
        <v>0.415834450221944</v>
      </c>
      <c r="P34" s="43" t="n">
        <f aca="false">(1-D34)*CE_MTMg+D34*CE_MTMs</f>
        <v>0.0634736273712918</v>
      </c>
      <c r="Q34" s="43" t="n">
        <f aca="false">(1-G34)*K34</f>
        <v>0.239316017316017</v>
      </c>
      <c r="R34" s="45" t="n">
        <f aca="false">O34/K34</f>
        <v>0.733265328253962</v>
      </c>
      <c r="S34" s="43" t="n">
        <f aca="false">(O34-1)/J34</f>
        <v>-1.34942241998731</v>
      </c>
      <c r="T34" s="28" t="n">
        <v>0</v>
      </c>
      <c r="U34" s="44" t="n">
        <f aca="false">MAX(T34,IF(OR(R34&lt;1.75,S34&lt;-0.2),1,0))</f>
        <v>1</v>
      </c>
      <c r="V34" s="43" t="n">
        <f aca="false">MAX(0,1-O34*(1-CE_mig_hc)-p_bb_cush)*Q34</f>
        <v>0.145118857946747</v>
      </c>
      <c r="W34" s="43" t="n">
        <f aca="false">MAX(0,K34-O34/1.5)</f>
        <v>0.289876600284938</v>
      </c>
      <c r="X34" s="43" t="n">
        <f aca="false">I34*J34*MIN(H34,p_red_rate)*(1-0.3)</f>
        <v>0</v>
      </c>
      <c r="Y34" s="45" t="n">
        <f aca="false">C34*(p_theta_lev*MAX(V34,W34)+X34)</f>
        <v>0.597435673187257</v>
      </c>
      <c r="Z34" s="43" t="n">
        <f aca="false">O34-P34-p_c_liq</f>
        <v>0.302360822850652</v>
      </c>
      <c r="AA34" s="43" t="n">
        <f aca="false">p_phi*MAX(0,p_a_spv-Z34)/p_a_spv+(1-p_phi)*MAX(0,p_a_spv-O34)/p_a_spv</f>
        <v>0.535634930964414</v>
      </c>
      <c r="AB34" s="43" t="n">
        <f aca="false">IF(Q34&gt;0,p_phi*MAX(0,Q34-Z34)/Q34+(1-p_phi)*MAX(0,Q34-O34)/Q34,0)</f>
        <v>0</v>
      </c>
      <c r="AC34" s="45" t="n">
        <f aca="false">IF(L34="",0,L34*C34)</f>
        <v>1.90139393939394</v>
      </c>
      <c r="AD34" s="45" t="n">
        <f aca="false">IF(L34="",0,C34)</f>
        <v>2.29</v>
      </c>
    </row>
    <row r="35" customFormat="false" ht="15" hidden="false" customHeight="true" outlineLevel="0" collapsed="false">
      <c r="A35" s="10" t="s">
        <v>660</v>
      </c>
      <c r="B35" s="31" t="s">
        <v>630</v>
      </c>
      <c r="C35" s="40" t="n">
        <v>2.27</v>
      </c>
      <c r="D35" s="37" t="n">
        <v>0.104</v>
      </c>
      <c r="E35" s="40" t="n">
        <v>0.69</v>
      </c>
      <c r="F35" s="40"/>
      <c r="G35" s="38" t="n">
        <v>0.5</v>
      </c>
      <c r="H35" s="37" t="n">
        <v>0.046</v>
      </c>
      <c r="I35" s="44" t="n">
        <f aca="false">IF(B35="NT",1,0)</f>
        <v>1</v>
      </c>
      <c r="J35" s="43" t="n">
        <f aca="false">1/(1+E35)</f>
        <v>0.591715976331361</v>
      </c>
      <c r="K35" s="43" t="n">
        <f aca="false">E35/(1+E35)</f>
        <v>0.408284023668639</v>
      </c>
      <c r="L35" s="43" t="str">
        <f aca="false">IF(F35="","",MIN(1,1-(1-F35)*J35))</f>
        <v/>
      </c>
      <c r="M35" s="43" t="n">
        <f aca="false">IF(L35="",$C$42,L35)</f>
        <v>0.884331284067868</v>
      </c>
      <c r="N35" s="43" t="n">
        <f aca="false">p_w_mkt*(1-M35)</f>
        <v>0.115668715932132</v>
      </c>
      <c r="O35" s="43" t="n">
        <f aca="false">1-((1-D35)*CE_Lg+D35*CE_Ls)-p_gap-N35</f>
        <v>0.484448178591888</v>
      </c>
      <c r="P35" s="43" t="n">
        <f aca="false">(1-D35)*CE_MTMg+D35*CE_MTMs</f>
        <v>0.0651200975814656</v>
      </c>
      <c r="Q35" s="43" t="n">
        <f aca="false">(1-G35)*K35</f>
        <v>0.20414201183432</v>
      </c>
      <c r="R35" s="45" t="n">
        <f aca="false">O35/K35</f>
        <v>1.18654698814535</v>
      </c>
      <c r="S35" s="43" t="n">
        <f aca="false">(O35-1)/J35</f>
        <v>-0.87128257817971</v>
      </c>
      <c r="T35" s="28" t="n">
        <v>0</v>
      </c>
      <c r="U35" s="44" t="n">
        <f aca="false">MAX(T35,IF(OR(R35&lt;1.75,S35&lt;-0.2),1,0))</f>
        <v>1</v>
      </c>
      <c r="V35" s="43" t="n">
        <f aca="false">MAX(0,1-O35*(1-CE_mig_hc)-p_bb_cush)*Q35</f>
        <v>0.111541873584074</v>
      </c>
      <c r="W35" s="43" t="n">
        <f aca="false">MAX(0,K35-O35/1.5)</f>
        <v>0.0853185712740474</v>
      </c>
      <c r="X35" s="43" t="n">
        <f aca="false">I35*J35*MIN(H35,p_red_rate)*(1-0.3)</f>
        <v>0.0190532544378698</v>
      </c>
      <c r="Y35" s="45" t="n">
        <f aca="false">C35*(p_theta_lev*MAX(V35,W35)+X35)</f>
        <v>0.271130935306227</v>
      </c>
      <c r="Z35" s="43" t="n">
        <f aca="false">O35-P35-p_c_liq</f>
        <v>0.369328081010422</v>
      </c>
      <c r="AA35" s="43" t="n">
        <f aca="false">p_phi*MAX(0,p_a_spv-Z35)/p_a_spv+(1-p_phi)*MAX(0,p_a_spv-O35)/p_a_spv</f>
        <v>0.43949699924755</v>
      </c>
      <c r="AB35" s="43" t="n">
        <f aca="false">IF(Q35&gt;0,p_phi*MAX(0,Q35-Z35)/Q35+(1-p_phi)*MAX(0,Q35-O35)/Q35,0)</f>
        <v>0</v>
      </c>
      <c r="AC35" s="45" t="n">
        <f aca="false">IF(L35="",0,L35*C35)</f>
        <v>0</v>
      </c>
      <c r="AD35" s="45" t="n">
        <f aca="false">IF(L35="",0,C35)</f>
        <v>0</v>
      </c>
    </row>
    <row r="36" customFormat="false" ht="15" hidden="false" customHeight="true" outlineLevel="0" collapsed="false">
      <c r="A36" s="10" t="s">
        <v>661</v>
      </c>
      <c r="B36" s="31" t="s">
        <v>630</v>
      </c>
      <c r="C36" s="40" t="n">
        <v>1.73</v>
      </c>
      <c r="D36" s="37" t="n">
        <v>0.178</v>
      </c>
      <c r="E36" s="40" t="n">
        <v>1.15</v>
      </c>
      <c r="F36" s="40"/>
      <c r="G36" s="38" t="n">
        <v>0.5</v>
      </c>
      <c r="H36" s="37" t="n">
        <v>0.0045</v>
      </c>
      <c r="I36" s="44" t="n">
        <f aca="false">IF(B36="NT",1,0)</f>
        <v>1</v>
      </c>
      <c r="J36" s="43" t="n">
        <f aca="false">1/(1+E36)</f>
        <v>0.465116279069767</v>
      </c>
      <c r="K36" s="43" t="n">
        <f aca="false">E36/(1+E36)</f>
        <v>0.534883720930233</v>
      </c>
      <c r="L36" s="43" t="str">
        <f aca="false">IF(F36="","",MIN(1,1-(1-F36)*J36))</f>
        <v/>
      </c>
      <c r="M36" s="43" t="n">
        <f aca="false">IF(L36="",$C$42,L36)</f>
        <v>0.884331284067868</v>
      </c>
      <c r="N36" s="43" t="n">
        <f aca="false">p_w_mkt*(1-M36)</f>
        <v>0.115668715932132</v>
      </c>
      <c r="O36" s="43" t="n">
        <f aca="false">1-((1-D36)*CE_Lg+D36*CE_Ls)-p_gap-N36</f>
        <v>0.466754324152907</v>
      </c>
      <c r="P36" s="43" t="n">
        <f aca="false">(1-D36)*CE_MTMg+D36*CE_MTMs</f>
        <v>0.0631227402773204</v>
      </c>
      <c r="Q36" s="43" t="n">
        <f aca="false">(1-G36)*K36</f>
        <v>0.267441860465116</v>
      </c>
      <c r="R36" s="45" t="n">
        <f aca="false">O36/K36</f>
        <v>0.872627649503261</v>
      </c>
      <c r="S36" s="43" t="n">
        <f aca="false">(O36-1)/J36</f>
        <v>-1.14647820307125</v>
      </c>
      <c r="T36" s="28" t="n">
        <v>0</v>
      </c>
      <c r="U36" s="44" t="n">
        <f aca="false">MAX(T36,IF(OR(R36&lt;1.75,S36&lt;-0.2),1,0))</f>
        <v>1</v>
      </c>
      <c r="V36" s="43" t="n">
        <f aca="false">MAX(0,1-O36*(1-CE_mig_hc)-p_bb_cush)*Q36</f>
        <v>0.15026627819937</v>
      </c>
      <c r="W36" s="43" t="n">
        <f aca="false">MAX(0,K36-O36/1.5)</f>
        <v>0.223714171494961</v>
      </c>
      <c r="X36" s="43" t="n">
        <f aca="false">I36*J36*MIN(H36,p_red_rate)*(1-0.3)</f>
        <v>0.00146511627906977</v>
      </c>
      <c r="Y36" s="45" t="n">
        <f aca="false">C36*(p_theta_lev*MAX(V36,W36)+X36)</f>
        <v>0.350857616180446</v>
      </c>
      <c r="Z36" s="43" t="n">
        <f aca="false">O36-P36-p_c_liq</f>
        <v>0.353631583875586</v>
      </c>
      <c r="AA36" s="43" t="n">
        <f aca="false">p_phi*MAX(0,p_a_spv-Z36)/p_a_spv+(1-p_phi)*MAX(0,p_a_spv-O36)/p_a_spv</f>
        <v>0.462491240098499</v>
      </c>
      <c r="AB36" s="43" t="n">
        <f aca="false">IF(Q36&gt;0,p_phi*MAX(0,Q36-Z36)/Q36+(1-p_phi)*MAX(0,Q36-O36)/Q36,0)</f>
        <v>0</v>
      </c>
      <c r="AC36" s="45" t="n">
        <f aca="false">IF(L36="",0,L36*C36)</f>
        <v>0</v>
      </c>
      <c r="AD36" s="45" t="n">
        <f aca="false">IF(L36="",0,C36)</f>
        <v>0</v>
      </c>
    </row>
    <row r="37" customFormat="false" ht="15" hidden="false" customHeight="true" outlineLevel="0" collapsed="false">
      <c r="A37" s="10" t="s">
        <v>662</v>
      </c>
      <c r="B37" s="31" t="s">
        <v>633</v>
      </c>
      <c r="C37" s="40" t="n">
        <v>1.29</v>
      </c>
      <c r="D37" s="37" t="n">
        <v>0.263</v>
      </c>
      <c r="E37" s="40" t="n">
        <v>1.65</v>
      </c>
      <c r="F37" s="40" t="n">
        <v>0.628</v>
      </c>
      <c r="G37" s="38" t="n">
        <v>0.5</v>
      </c>
      <c r="H37" s="37" t="n">
        <v>0</v>
      </c>
      <c r="I37" s="44" t="n">
        <f aca="false">IF(B37="NT",1,0)</f>
        <v>0</v>
      </c>
      <c r="J37" s="43" t="n">
        <f aca="false">1/(1+E37)</f>
        <v>0.377358490566038</v>
      </c>
      <c r="K37" s="43" t="n">
        <f aca="false">E37/(1+E37)</f>
        <v>0.622641509433962</v>
      </c>
      <c r="L37" s="43" t="n">
        <f aca="false">IF(F37="","",MIN(1,1-(1-F37)*J37))</f>
        <v>0.859622641509434</v>
      </c>
      <c r="M37" s="43" t="n">
        <f aca="false">IF(L37="",$C$42,L37)</f>
        <v>0.859622641509434</v>
      </c>
      <c r="N37" s="43" t="n">
        <f aca="false">p_w_mkt*(1-M37)</f>
        <v>0.140377358490566</v>
      </c>
      <c r="O37" s="43" t="n">
        <f aca="false">1-((1-D37)*CE_Lg+D37*CE_Ls)-p_gap-N37</f>
        <v>0.421721659603751</v>
      </c>
      <c r="P37" s="43" t="n">
        <f aca="false">(1-D37)*CE_MTMg+D37*CE_MTMs</f>
        <v>0.0608284785090455</v>
      </c>
      <c r="Q37" s="43" t="n">
        <f aca="false">(1-G37)*K37</f>
        <v>0.311320754716981</v>
      </c>
      <c r="R37" s="45" t="n">
        <f aca="false">O37/K37</f>
        <v>0.677310544212086</v>
      </c>
      <c r="S37" s="43" t="n">
        <f aca="false">(O37-1)/J37</f>
        <v>-1.53243760205006</v>
      </c>
      <c r="T37" s="28" t="n">
        <v>1</v>
      </c>
      <c r="U37" s="44" t="n">
        <f aca="false">MAX(T37,IF(OR(R37&lt;1.75,S37&lt;-0.2),1,0))</f>
        <v>1</v>
      </c>
      <c r="V37" s="43" t="n">
        <f aca="false">MAX(0,1-O37*(1-CE_mig_hc)-p_bb_cush)*Q37</f>
        <v>0.187179187796918</v>
      </c>
      <c r="W37" s="43" t="n">
        <f aca="false">MAX(0,K37-O37/1.5)</f>
        <v>0.341493736364795</v>
      </c>
      <c r="X37" s="43" t="n">
        <f aca="false">I37*J37*MIN(H37,p_red_rate)*(1-0.3)</f>
        <v>0</v>
      </c>
      <c r="Y37" s="45" t="n">
        <f aca="false">C37*(p_theta_lev*MAX(V37,W37)+X37)</f>
        <v>0.396474227919527</v>
      </c>
      <c r="Z37" s="43" t="n">
        <f aca="false">O37-P37-p_c_liq</f>
        <v>0.310893181094706</v>
      </c>
      <c r="AA37" s="43" t="n">
        <f aca="false">p_phi*MAX(0,p_a_spv-Z37)/p_a_spv+(1-p_phi)*MAX(0,p_a_spv-O37)/p_a_spv</f>
        <v>0.524201604576407</v>
      </c>
      <c r="AB37" s="43" t="n">
        <f aca="false">IF(Q37&gt;0,p_phi*MAX(0,Q37-Z37)/Q37+(1-p_phi)*MAX(0,Q37-O37)/Q37,0)</f>
        <v>0.0010987346414832</v>
      </c>
      <c r="AC37" s="45" t="n">
        <f aca="false">IF(L37="",0,L37*C37)</f>
        <v>1.10891320754717</v>
      </c>
      <c r="AD37" s="45" t="n">
        <f aca="false">IF(L37="",0,C37)</f>
        <v>1.29</v>
      </c>
    </row>
    <row r="38" customFormat="false" ht="15" hidden="false" customHeight="true" outlineLevel="0" collapsed="false">
      <c r="A38" s="10" t="s">
        <v>663</v>
      </c>
      <c r="B38" s="31" t="s">
        <v>630</v>
      </c>
      <c r="C38" s="40" t="n">
        <v>0.69</v>
      </c>
      <c r="D38" s="37" t="n">
        <v>0.093</v>
      </c>
      <c r="E38" s="40" t="n">
        <v>0.27</v>
      </c>
      <c r="F38" s="40"/>
      <c r="G38" s="37" t="n">
        <v>0</v>
      </c>
      <c r="H38" s="37" t="n">
        <v>0</v>
      </c>
      <c r="I38" s="44" t="n">
        <f aca="false">IF(B38="NT",1,0)</f>
        <v>1</v>
      </c>
      <c r="J38" s="43" t="n">
        <f aca="false">1/(1+E38)</f>
        <v>0.78740157480315</v>
      </c>
      <c r="K38" s="43" t="n">
        <f aca="false">E38/(1+E38)</f>
        <v>0.21259842519685</v>
      </c>
      <c r="L38" s="43" t="str">
        <f aca="false">IF(F38="","",MIN(1,1-(1-F38)*J38))</f>
        <v/>
      </c>
      <c r="M38" s="43" t="n">
        <f aca="false">IF(L38="",$C$42,L38)</f>
        <v>0.884331284067868</v>
      </c>
      <c r="N38" s="43" t="n">
        <f aca="false">p_w_mkt*(1-M38)</f>
        <v>0.115668715932132</v>
      </c>
      <c r="O38" s="43" t="n">
        <f aca="false">1-((1-D38)*CE_Lg+D38*CE_Ls)-p_gap-N38</f>
        <v>0.487078346143628</v>
      </c>
      <c r="P38" s="43" t="n">
        <f aca="false">(1-D38)*CE_MTMg+D38*CE_MTMs</f>
        <v>0.0654170020455953</v>
      </c>
      <c r="Q38" s="43" t="n">
        <f aca="false">(1-G38)*K38</f>
        <v>0.21259842519685</v>
      </c>
      <c r="R38" s="45" t="n">
        <f aca="false">O38/K38</f>
        <v>2.29107222074966</v>
      </c>
      <c r="S38" s="43" t="n">
        <f aca="false">(O38-1)/J38</f>
        <v>-0.651410500397593</v>
      </c>
      <c r="T38" s="28" t="n">
        <v>0</v>
      </c>
      <c r="U38" s="44" t="n">
        <f aca="false">MAX(T38,IF(OR(R38&lt;1.75,S38&lt;-0.2),1,0))</f>
        <v>1</v>
      </c>
      <c r="V38" s="43" t="n">
        <f aca="false">MAX(0,1-O38*(1-CE_mig_hc)-p_bb_cush)*Q38</f>
        <v>0.115673459546738</v>
      </c>
      <c r="W38" s="43" t="n">
        <f aca="false">MAX(0,K38-O38/1.5)</f>
        <v>0</v>
      </c>
      <c r="X38" s="43" t="n">
        <f aca="false">I38*J38*MIN(H38,p_red_rate)*(1-0.3)</f>
        <v>0</v>
      </c>
      <c r="Y38" s="45" t="n">
        <f aca="false">C38*(p_theta_lev*MAX(V38,W38)+X38)</f>
        <v>0.0718332183785245</v>
      </c>
      <c r="Z38" s="43" t="n">
        <f aca="false">O38-P38-p_c_liq</f>
        <v>0.371661344098033</v>
      </c>
      <c r="AA38" s="43" t="n">
        <f aca="false">p_phi*MAX(0,p_a_spv-Z38)/p_a_spv+(1-p_phi)*MAX(0,p_a_spv-O38)/p_a_spv</f>
        <v>0.436078936418355</v>
      </c>
      <c r="AB38" s="43" t="n">
        <f aca="false">IF(Q38&gt;0,p_phi*MAX(0,Q38-Z38)/Q38+(1-p_phi)*MAX(0,Q38-O38)/Q38,0)</f>
        <v>0</v>
      </c>
      <c r="AC38" s="45" t="n">
        <f aca="false">IF(L38="",0,L38*C38)</f>
        <v>0</v>
      </c>
      <c r="AD38" s="45" t="n">
        <f aca="false">IF(L38="",0,C38)</f>
        <v>0</v>
      </c>
    </row>
    <row r="39" customFormat="false" ht="15" hidden="false" customHeight="true" outlineLevel="0" collapsed="false">
      <c r="A39" s="10" t="s">
        <v>664</v>
      </c>
      <c r="B39" s="31" t="s">
        <v>630</v>
      </c>
      <c r="C39" s="40" t="n">
        <v>0.6</v>
      </c>
      <c r="D39" s="37" t="n">
        <v>0.204</v>
      </c>
      <c r="E39" s="40" t="n">
        <v>1.03</v>
      </c>
      <c r="F39" s="40"/>
      <c r="G39" s="38" t="n">
        <v>0.5</v>
      </c>
      <c r="H39" s="37" t="n">
        <v>0.068</v>
      </c>
      <c r="I39" s="44" t="n">
        <f aca="false">IF(B39="NT",1,0)</f>
        <v>1</v>
      </c>
      <c r="J39" s="43" t="n">
        <f aca="false">1/(1+E39)</f>
        <v>0.492610837438424</v>
      </c>
      <c r="K39" s="43" t="n">
        <f aca="false">E39/(1+E39)</f>
        <v>0.507389162561576</v>
      </c>
      <c r="L39" s="43" t="str">
        <f aca="false">IF(F39="","",MIN(1,1-(1-F39)*J39))</f>
        <v/>
      </c>
      <c r="M39" s="43" t="n">
        <f aca="false">IF(L39="",$C$42,L39)</f>
        <v>0.884331284067868</v>
      </c>
      <c r="N39" s="43" t="n">
        <f aca="false">p_w_mkt*(1-M39)</f>
        <v>0.115668715932132</v>
      </c>
      <c r="O39" s="43" t="n">
        <f aca="false">1-((1-D39)*CE_Lg+D39*CE_Ls)-p_gap-N39</f>
        <v>0.460537564485157</v>
      </c>
      <c r="P39" s="43" t="n">
        <f aca="false">(1-D39)*CE_MTMg+D39*CE_MTMs</f>
        <v>0.0624209660893775</v>
      </c>
      <c r="Q39" s="43" t="n">
        <f aca="false">(1-G39)*K39</f>
        <v>0.253694581280788</v>
      </c>
      <c r="R39" s="45" t="n">
        <f aca="false">O39/K39</f>
        <v>0.907661413499872</v>
      </c>
      <c r="S39" s="43" t="n">
        <f aca="false">(O39-1)/J39</f>
        <v>-1.09510874409513</v>
      </c>
      <c r="T39" s="28" t="n">
        <v>0</v>
      </c>
      <c r="U39" s="44" t="n">
        <f aca="false">MAX(T39,IF(OR(R39&lt;1.75,S39&lt;-0.2),1,0))</f>
        <v>1</v>
      </c>
      <c r="V39" s="43" t="n">
        <f aca="false">MAX(0,1-O39*(1-CE_mig_hc)-p_bb_cush)*Q39</f>
        <v>0.143921243637906</v>
      </c>
      <c r="W39" s="43" t="n">
        <f aca="false">MAX(0,K39-O39/1.5)</f>
        <v>0.200364119571472</v>
      </c>
      <c r="X39" s="43" t="n">
        <f aca="false">I39*J39*MIN(H39,p_red_rate)*(1-0.3)</f>
        <v>0.023448275862069</v>
      </c>
      <c r="Y39" s="45" t="n">
        <f aca="false">C39*(p_theta_lev*MAX(V39,W39)+X39)</f>
        <v>0.122265590085836</v>
      </c>
      <c r="Z39" s="43" t="n">
        <f aca="false">O39-P39-p_c_liq</f>
        <v>0.348116598395779</v>
      </c>
      <c r="AA39" s="43" t="n">
        <f aca="false">p_phi*MAX(0,p_a_spv-Z39)/p_a_spv+(1-p_phi)*MAX(0,p_a_spv-O39)/p_a_spv</f>
        <v>0.470570297694779</v>
      </c>
      <c r="AB39" s="43" t="n">
        <f aca="false">IF(Q39&gt;0,p_phi*MAX(0,Q39-Z39)/Q39+(1-p_phi)*MAX(0,Q39-O39)/Q39,0)</f>
        <v>0</v>
      </c>
      <c r="AC39" s="45" t="n">
        <f aca="false">IF(L39="",0,L39*C39)</f>
        <v>0</v>
      </c>
      <c r="AD39" s="45" t="n">
        <f aca="false">IF(L39="",0,C39)</f>
        <v>0</v>
      </c>
    </row>
    <row r="42" customFormat="false" ht="15" hidden="false" customHeight="true" outlineLevel="0" collapsed="false">
      <c r="B42" s="7" t="s">
        <v>665</v>
      </c>
      <c r="C42" s="43" t="n">
        <f aca="false">SUM(AC6:AC39)/SUM(AD6:AD39)</f>
        <v>0.884331284067868</v>
      </c>
    </row>
    <row r="43" customFormat="false" ht="15" hidden="false" customHeight="true" outlineLevel="0" collapsed="false">
      <c r="B43" s="7" t="s">
        <v>666</v>
      </c>
      <c r="C43" s="35" t="n">
        <f aca="false">SUM(Y6:Y39)</f>
        <v>73.699587221309</v>
      </c>
    </row>
    <row r="44" customFormat="false" ht="15" hidden="false" customHeight="true" outlineLevel="0" collapsed="false">
      <c r="B44" s="7" t="s">
        <v>667</v>
      </c>
      <c r="C44" s="44" t="n">
        <f aca="false">SUM(U6:U39)</f>
        <v>34</v>
      </c>
    </row>
    <row r="45" customFormat="false" ht="15" hidden="false" customHeight="true" outlineLevel="0" collapsed="false">
      <c r="B45" s="7" t="s">
        <v>668</v>
      </c>
      <c r="C45" s="44" t="n">
        <f aca="false">COUNTIF(R6:R39,"&lt;1.5")</f>
        <v>33</v>
      </c>
    </row>
    <row r="46" customFormat="false" ht="15" hidden="false" customHeight="true" outlineLevel="0" collapsed="false">
      <c r="B46" s="7" t="s">
        <v>669</v>
      </c>
      <c r="C46" s="43" t="n">
        <f aca="false">SUMPRODUCT((R6:R39&lt;1.5)*C6:C39)/SUM(C6:C39)</f>
        <v>0.998189261533617</v>
      </c>
    </row>
    <row r="48" customFormat="false" ht="15" hidden="false" customHeight="true" outlineLevel="0" collapsed="false">
      <c r="A48" s="6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26" min="3" style="1" width="8"/>
    <col collapsed="false" customWidth="true" hidden="false" outlineLevel="0" max="29" min="28" style="1" width="12"/>
  </cols>
  <sheetData>
    <row r="1" customFormat="false" ht="17.25" hidden="false" customHeight="true" outlineLevel="0" collapsed="false">
      <c r="A1" s="5" t="s">
        <v>671</v>
      </c>
    </row>
    <row r="2" customFormat="false" ht="15" hidden="false" customHeight="true" outlineLevel="0" collapsed="false">
      <c r="A2" s="6" t="s">
        <v>672</v>
      </c>
    </row>
    <row r="5" customFormat="false" ht="15" hidden="false" customHeight="true" outlineLevel="0" collapsed="false">
      <c r="A5" s="9" t="s">
        <v>673</v>
      </c>
      <c r="C5" s="9" t="s">
        <v>496</v>
      </c>
      <c r="D5" s="9" t="s">
        <v>499</v>
      </c>
      <c r="E5" s="9" t="s">
        <v>501</v>
      </c>
      <c r="F5" s="9" t="s">
        <v>503</v>
      </c>
      <c r="G5" s="9" t="s">
        <v>505</v>
      </c>
      <c r="H5" s="9" t="s">
        <v>507</v>
      </c>
      <c r="I5" s="9" t="s">
        <v>509</v>
      </c>
      <c r="J5" s="9" t="s">
        <v>510</v>
      </c>
      <c r="K5" s="9" t="s">
        <v>512</v>
      </c>
      <c r="L5" s="9" t="s">
        <v>514</v>
      </c>
      <c r="M5" s="9" t="s">
        <v>516</v>
      </c>
      <c r="N5" s="9" t="s">
        <v>518</v>
      </c>
      <c r="O5" s="9" t="s">
        <v>520</v>
      </c>
      <c r="P5" s="9" t="s">
        <v>522</v>
      </c>
      <c r="Q5" s="9" t="s">
        <v>525</v>
      </c>
      <c r="R5" s="9" t="s">
        <v>527</v>
      </c>
      <c r="S5" s="9" t="s">
        <v>530</v>
      </c>
      <c r="T5" s="9" t="s">
        <v>532</v>
      </c>
      <c r="U5" s="9" t="s">
        <v>534</v>
      </c>
      <c r="V5" s="9" t="s">
        <v>535</v>
      </c>
      <c r="W5" s="9" t="s">
        <v>537</v>
      </c>
      <c r="X5" s="9" t="s">
        <v>538</v>
      </c>
      <c r="Y5" s="9" t="s">
        <v>540</v>
      </c>
      <c r="Z5" s="9" t="s">
        <v>543</v>
      </c>
    </row>
    <row r="6" customFormat="false" ht="15" hidden="false" customHeight="true" outlineLevel="0" collapsed="false">
      <c r="A6" s="10" t="s">
        <v>634</v>
      </c>
      <c r="B6" s="44" t="n">
        <f aca="false">MATCH(A6,BDC!$A$6:$A$39,0)</f>
        <v>4</v>
      </c>
      <c r="C6" s="34" t="n">
        <v>0</v>
      </c>
      <c r="D6" s="34" t="n">
        <v>0.5</v>
      </c>
      <c r="E6" s="34" t="n">
        <v>0.764815</v>
      </c>
      <c r="F6" s="34" t="n">
        <v>1</v>
      </c>
      <c r="G6" s="34" t="n">
        <v>0.5</v>
      </c>
      <c r="H6" s="34" t="n">
        <v>0.6</v>
      </c>
      <c r="I6" s="34" t="n">
        <v>0</v>
      </c>
      <c r="J6" s="34" t="n">
        <v>0</v>
      </c>
      <c r="K6" s="34" t="n">
        <v>0.6</v>
      </c>
      <c r="L6" s="34" t="n">
        <v>0</v>
      </c>
      <c r="M6" s="34" t="n">
        <v>0</v>
      </c>
      <c r="N6" s="34" t="n">
        <v>0</v>
      </c>
      <c r="O6" s="34" t="n">
        <v>0</v>
      </c>
      <c r="P6" s="34" t="n">
        <v>0</v>
      </c>
      <c r="Q6" s="34" t="n">
        <v>0</v>
      </c>
      <c r="R6" s="34" t="n">
        <v>0</v>
      </c>
      <c r="S6" s="34" t="n">
        <v>0</v>
      </c>
      <c r="T6" s="34" t="n">
        <v>0</v>
      </c>
      <c r="U6" s="34" t="n">
        <v>0</v>
      </c>
      <c r="V6" s="34" t="n">
        <v>0.3</v>
      </c>
      <c r="W6" s="34" t="n">
        <v>0</v>
      </c>
      <c r="X6" s="34" t="n">
        <v>0</v>
      </c>
      <c r="Y6" s="34" t="n">
        <v>0.435185</v>
      </c>
      <c r="Z6" s="34" t="n">
        <v>0</v>
      </c>
    </row>
    <row r="7" customFormat="false" ht="15" hidden="false" customHeight="true" outlineLevel="0" collapsed="false">
      <c r="A7" s="10" t="s">
        <v>632</v>
      </c>
      <c r="B7" s="44" t="n">
        <f aca="false">MATCH(A7,BDC!$A$6:$A$39,0)</f>
        <v>3</v>
      </c>
      <c r="C7" s="34" t="n">
        <v>0</v>
      </c>
      <c r="D7" s="34" t="n">
        <v>0.475</v>
      </c>
      <c r="E7" s="34" t="n">
        <v>0</v>
      </c>
      <c r="F7" s="34" t="n">
        <v>1.15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0.1</v>
      </c>
      <c r="N7" s="34" t="n">
        <v>0</v>
      </c>
      <c r="O7" s="34" t="n">
        <v>0</v>
      </c>
      <c r="P7" s="34" t="n">
        <v>0</v>
      </c>
      <c r="Q7" s="34" t="n">
        <v>0</v>
      </c>
      <c r="R7" s="34" t="n">
        <v>0</v>
      </c>
      <c r="S7" s="34" t="n">
        <v>1.465</v>
      </c>
      <c r="T7" s="34" t="n">
        <v>0</v>
      </c>
      <c r="U7" s="34" t="n">
        <v>0</v>
      </c>
      <c r="V7" s="34" t="n">
        <v>0</v>
      </c>
      <c r="W7" s="34" t="n">
        <v>1.6</v>
      </c>
      <c r="X7" s="34" t="n">
        <v>0</v>
      </c>
      <c r="Y7" s="34" t="n">
        <v>0</v>
      </c>
      <c r="Z7" s="34" t="n">
        <v>0</v>
      </c>
    </row>
    <row r="8" customFormat="false" ht="15" hidden="false" customHeight="true" outlineLevel="0" collapsed="false">
      <c r="A8" s="10" t="s">
        <v>636</v>
      </c>
      <c r="B8" s="44" t="n">
        <f aca="false">MATCH(A8,BDC!$A$6:$A$39,0)</f>
        <v>6</v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0.290625</v>
      </c>
      <c r="P8" s="34" t="n">
        <v>0</v>
      </c>
      <c r="Q8" s="34" t="n">
        <v>0</v>
      </c>
      <c r="R8" s="34" t="n">
        <v>0</v>
      </c>
      <c r="S8" s="34" t="n">
        <v>1</v>
      </c>
      <c r="T8" s="34" t="n">
        <v>0.290625</v>
      </c>
      <c r="U8" s="34" t="n">
        <v>0</v>
      </c>
      <c r="V8" s="34" t="n">
        <v>0.290625</v>
      </c>
      <c r="W8" s="34" t="n">
        <v>0</v>
      </c>
      <c r="X8" s="34" t="n">
        <v>0</v>
      </c>
      <c r="Y8" s="34" t="n">
        <v>0</v>
      </c>
      <c r="Z8" s="34" t="n">
        <v>0</v>
      </c>
    </row>
    <row r="9" customFormat="false" ht="15" hidden="false" customHeight="true" outlineLevel="0" collapsed="false">
      <c r="A9" s="10" t="s">
        <v>656</v>
      </c>
      <c r="B9" s="44" t="n">
        <f aca="false">MATCH(A9,BDC!$A$6:$A$39,0)</f>
        <v>26</v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34" t="n">
        <v>0</v>
      </c>
      <c r="O9" s="34" t="n">
        <v>0</v>
      </c>
      <c r="P9" s="34" t="n">
        <v>0</v>
      </c>
      <c r="Q9" s="34" t="n">
        <v>0</v>
      </c>
      <c r="R9" s="34" t="n">
        <v>0</v>
      </c>
      <c r="S9" s="34" t="n">
        <v>0</v>
      </c>
      <c r="T9" s="34" t="n">
        <v>0</v>
      </c>
      <c r="U9" s="34" t="n">
        <v>0</v>
      </c>
      <c r="V9" s="34" t="n">
        <v>0</v>
      </c>
      <c r="W9" s="34" t="n">
        <v>0</v>
      </c>
      <c r="X9" s="34" t="n">
        <v>0</v>
      </c>
      <c r="Y9" s="34" t="n">
        <v>0</v>
      </c>
      <c r="Z9" s="34" t="n">
        <v>0</v>
      </c>
    </row>
    <row r="10" customFormat="false" ht="15" hidden="false" customHeight="true" outlineLevel="0" collapsed="false">
      <c r="A10" s="10" t="s">
        <v>629</v>
      </c>
      <c r="B10" s="44" t="n">
        <f aca="false">MATCH(A10,BDC!$A$6:$A$39,0)</f>
        <v>1</v>
      </c>
      <c r="C10" s="34" t="n">
        <v>0</v>
      </c>
      <c r="D10" s="34" t="n">
        <v>3.1</v>
      </c>
      <c r="E10" s="34" t="n">
        <v>2.6</v>
      </c>
      <c r="F10" s="34" t="n">
        <v>2.3644</v>
      </c>
      <c r="G10" s="34" t="n">
        <v>1</v>
      </c>
      <c r="H10" s="34" t="n">
        <v>1.5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4" t="n">
        <v>1.1</v>
      </c>
      <c r="Q10" s="34" t="n">
        <v>0.715945</v>
      </c>
      <c r="R10" s="34" t="n">
        <v>1.425</v>
      </c>
      <c r="S10" s="34" t="n">
        <v>2.138</v>
      </c>
      <c r="T10" s="34" t="n">
        <v>2.475</v>
      </c>
      <c r="U10" s="34" t="n">
        <v>0</v>
      </c>
      <c r="V10" s="34" t="n">
        <v>2.5</v>
      </c>
      <c r="W10" s="34" t="n">
        <v>0</v>
      </c>
      <c r="X10" s="34" t="n">
        <v>0</v>
      </c>
      <c r="Y10" s="34" t="n">
        <v>1</v>
      </c>
      <c r="Z10" s="34" t="n">
        <v>0</v>
      </c>
    </row>
    <row r="11" customFormat="false" ht="15" hidden="false" customHeight="true" outlineLevel="0" collapsed="false">
      <c r="A11" s="10" t="s">
        <v>640</v>
      </c>
      <c r="B11" s="44" t="n">
        <f aca="false">MATCH(A11,BDC!$A$6:$A$39,0)</f>
        <v>10</v>
      </c>
      <c r="C11" s="34" t="n">
        <v>0</v>
      </c>
      <c r="D11" s="34" t="n">
        <v>0.8</v>
      </c>
      <c r="E11" s="34" t="n">
        <v>0</v>
      </c>
      <c r="F11" s="34" t="n">
        <v>0</v>
      </c>
      <c r="G11" s="34" t="n">
        <v>0</v>
      </c>
      <c r="H11" s="34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34" t="n">
        <v>0</v>
      </c>
      <c r="O11" s="34" t="n">
        <v>0</v>
      </c>
      <c r="P11" s="34" t="n">
        <v>0</v>
      </c>
      <c r="Q11" s="34" t="n">
        <v>0</v>
      </c>
      <c r="R11" s="34" t="n">
        <v>0</v>
      </c>
      <c r="S11" s="34" t="n">
        <v>1.575</v>
      </c>
      <c r="T11" s="34" t="n">
        <v>0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0</v>
      </c>
      <c r="Z11" s="34" t="n">
        <v>0</v>
      </c>
    </row>
    <row r="12" customFormat="false" ht="15" hidden="false" customHeight="true" outlineLevel="0" collapsed="false">
      <c r="A12" s="10" t="s">
        <v>657</v>
      </c>
      <c r="B12" s="44" t="n">
        <f aca="false">MATCH(A12,BDC!$A$6:$A$39,0)</f>
        <v>27</v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4" t="n">
        <v>0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</row>
    <row r="13" customFormat="false" ht="15" hidden="false" customHeight="true" outlineLevel="0" collapsed="false">
      <c r="A13" s="10" t="s">
        <v>641</v>
      </c>
      <c r="B13" s="44" t="n">
        <f aca="false">MATCH(A13,BDC!$A$6:$A$39,0)</f>
        <v>11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  <c r="P13" s="34" t="n">
        <v>0</v>
      </c>
      <c r="Q13" s="34" t="n">
        <v>0</v>
      </c>
      <c r="R13" s="34" t="n">
        <v>0</v>
      </c>
      <c r="S13" s="34" t="n">
        <v>0</v>
      </c>
      <c r="T13" s="34" t="n">
        <v>0</v>
      </c>
      <c r="U13" s="34" t="n">
        <v>0</v>
      </c>
      <c r="V13" s="34" t="n">
        <v>0</v>
      </c>
      <c r="W13" s="34" t="n">
        <v>0</v>
      </c>
      <c r="X13" s="34" t="n">
        <v>0</v>
      </c>
      <c r="Y13" s="34" t="n">
        <v>0</v>
      </c>
      <c r="Z13" s="34" t="n">
        <v>0</v>
      </c>
    </row>
    <row r="14" customFormat="false" ht="15" hidden="false" customHeight="true" outlineLevel="0" collapsed="false">
      <c r="A14" s="10" t="s">
        <v>644</v>
      </c>
      <c r="B14" s="44" t="n">
        <f aca="false">MATCH(A14,BDC!$A$6:$A$39,0)</f>
        <v>14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4" t="n">
        <v>0</v>
      </c>
      <c r="Q14" s="34" t="n">
        <v>0</v>
      </c>
      <c r="R14" s="34" t="n">
        <v>0</v>
      </c>
      <c r="S14" s="34" t="n">
        <v>0</v>
      </c>
      <c r="T14" s="34" t="n">
        <v>0</v>
      </c>
      <c r="U14" s="34" t="n">
        <v>0</v>
      </c>
      <c r="V14" s="34" t="n">
        <v>0</v>
      </c>
      <c r="W14" s="34" t="n">
        <v>0</v>
      </c>
      <c r="X14" s="34" t="n">
        <v>0</v>
      </c>
      <c r="Y14" s="34" t="n">
        <v>0</v>
      </c>
      <c r="Z14" s="34" t="n">
        <v>0</v>
      </c>
    </row>
    <row r="15" customFormat="false" ht="15" hidden="false" customHeight="true" outlineLevel="0" collapsed="false">
      <c r="A15" s="10" t="s">
        <v>654</v>
      </c>
      <c r="B15" s="44" t="n">
        <f aca="false">MATCH(A15,BDC!$A$6:$A$39,0)</f>
        <v>24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  <c r="P15" s="34" t="n">
        <v>0</v>
      </c>
      <c r="Q15" s="34" t="n">
        <v>0</v>
      </c>
      <c r="R15" s="34" t="n">
        <v>0</v>
      </c>
      <c r="S15" s="34" t="n">
        <v>0</v>
      </c>
      <c r="T15" s="34" t="n">
        <v>0</v>
      </c>
      <c r="U15" s="34" t="n">
        <v>0</v>
      </c>
      <c r="V15" s="34" t="n">
        <v>0</v>
      </c>
      <c r="W15" s="34" t="n">
        <v>0</v>
      </c>
      <c r="X15" s="34" t="n">
        <v>0</v>
      </c>
      <c r="Y15" s="34" t="n">
        <v>0</v>
      </c>
      <c r="Z15" s="34" t="n">
        <v>0</v>
      </c>
    </row>
    <row r="16" customFormat="false" ht="15" hidden="false" customHeight="true" outlineLevel="0" collapsed="false">
      <c r="A16" s="10" t="s">
        <v>635</v>
      </c>
      <c r="B16" s="44" t="n">
        <f aca="false">MATCH(A16,BDC!$A$6:$A$39,0)</f>
        <v>5</v>
      </c>
      <c r="C16" s="34" t="n">
        <v>0</v>
      </c>
      <c r="D16" s="34" t="n">
        <v>1.5</v>
      </c>
      <c r="E16" s="34" t="n">
        <v>0</v>
      </c>
      <c r="F16" s="34" t="n">
        <v>1</v>
      </c>
      <c r="G16" s="34" t="n">
        <v>0</v>
      </c>
      <c r="H16" s="34" t="n">
        <v>1.6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4" t="n">
        <v>0</v>
      </c>
      <c r="P16" s="34" t="n">
        <v>0</v>
      </c>
      <c r="Q16" s="34" t="n">
        <v>0</v>
      </c>
      <c r="R16" s="34" t="n">
        <v>0</v>
      </c>
      <c r="S16" s="34" t="n">
        <v>1</v>
      </c>
      <c r="T16" s="34" t="n">
        <v>0</v>
      </c>
      <c r="U16" s="34" t="n">
        <v>0</v>
      </c>
      <c r="V16" s="34" t="n">
        <v>0</v>
      </c>
      <c r="W16" s="34" t="n">
        <v>0</v>
      </c>
      <c r="X16" s="34" t="n">
        <v>0</v>
      </c>
      <c r="Y16" s="34" t="n">
        <v>0</v>
      </c>
      <c r="Z16" s="34" t="n">
        <v>0</v>
      </c>
    </row>
    <row r="17" customFormat="false" ht="15" hidden="false" customHeight="true" outlineLevel="0" collapsed="false">
      <c r="A17" s="10" t="s">
        <v>651</v>
      </c>
      <c r="B17" s="44" t="n">
        <f aca="false">MATCH(A17,BDC!$A$6:$A$39,0)</f>
        <v>21</v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0.075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4" t="n">
        <v>0.025</v>
      </c>
      <c r="P17" s="34" t="n">
        <v>0</v>
      </c>
      <c r="Q17" s="34" t="n">
        <v>0</v>
      </c>
      <c r="R17" s="34" t="n">
        <v>0</v>
      </c>
      <c r="S17" s="34" t="n">
        <v>0</v>
      </c>
      <c r="T17" s="34" t="n">
        <v>0</v>
      </c>
      <c r="U17" s="34" t="n">
        <v>0</v>
      </c>
      <c r="V17" s="34" t="n">
        <v>0.15</v>
      </c>
      <c r="W17" s="34" t="n">
        <v>0</v>
      </c>
      <c r="X17" s="34" t="n">
        <v>0</v>
      </c>
      <c r="Y17" s="34" t="n">
        <v>0.04</v>
      </c>
      <c r="Z17" s="34" t="n">
        <v>0</v>
      </c>
    </row>
    <row r="18" customFormat="false" ht="15" hidden="false" customHeight="true" outlineLevel="0" collapsed="false">
      <c r="A18" s="10" t="s">
        <v>648</v>
      </c>
      <c r="B18" s="44" t="n">
        <f aca="false">MATCH(A18,BDC!$A$6:$A$39,0)</f>
        <v>18</v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4" t="n">
        <v>0</v>
      </c>
      <c r="P18" s="34" t="n">
        <v>0</v>
      </c>
      <c r="Q18" s="34" t="n">
        <v>0</v>
      </c>
      <c r="R18" s="34" t="n">
        <v>0</v>
      </c>
      <c r="S18" s="34" t="n">
        <v>0</v>
      </c>
      <c r="T18" s="34" t="n">
        <v>0</v>
      </c>
      <c r="U18" s="34" t="n">
        <v>0</v>
      </c>
      <c r="V18" s="34" t="n">
        <v>0</v>
      </c>
      <c r="W18" s="34" t="n">
        <v>0</v>
      </c>
      <c r="X18" s="34" t="n">
        <v>0</v>
      </c>
      <c r="Y18" s="34" t="n">
        <v>0</v>
      </c>
      <c r="Z18" s="34" t="n">
        <v>0</v>
      </c>
    </row>
    <row r="19" customFormat="false" ht="15" hidden="false" customHeight="true" outlineLevel="0" collapsed="false">
      <c r="A19" s="10" t="s">
        <v>652</v>
      </c>
      <c r="B19" s="44" t="n">
        <f aca="false">MATCH(A19,BDC!$A$6:$A$39,0)</f>
        <v>22</v>
      </c>
      <c r="C19" s="34" t="n">
        <v>0</v>
      </c>
      <c r="D19" s="34" t="n">
        <v>0</v>
      </c>
      <c r="E19" s="34" t="n">
        <v>0</v>
      </c>
      <c r="F19" s="34" t="n">
        <v>0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  <c r="M19" s="34" t="n">
        <v>0</v>
      </c>
      <c r="N19" s="34" t="n">
        <v>0</v>
      </c>
      <c r="O19" s="34" t="n">
        <v>0</v>
      </c>
      <c r="P19" s="34" t="n">
        <v>0</v>
      </c>
      <c r="Q19" s="34" t="n">
        <v>0</v>
      </c>
      <c r="R19" s="34" t="n">
        <v>0</v>
      </c>
      <c r="S19" s="34" t="n">
        <v>0.3006</v>
      </c>
      <c r="T19" s="34" t="n">
        <v>0</v>
      </c>
      <c r="U19" s="34" t="n">
        <v>0</v>
      </c>
      <c r="V19" s="34" t="n">
        <v>0</v>
      </c>
      <c r="W19" s="34" t="n">
        <v>0</v>
      </c>
      <c r="X19" s="34" t="n">
        <v>0</v>
      </c>
      <c r="Y19" s="34" t="n">
        <v>0</v>
      </c>
      <c r="Z19" s="34" t="n">
        <v>0</v>
      </c>
    </row>
    <row r="20" customFormat="false" ht="15" hidden="false" customHeight="true" outlineLevel="0" collapsed="false">
      <c r="A20" s="10" t="s">
        <v>647</v>
      </c>
      <c r="B20" s="44" t="n">
        <f aca="false">MATCH(A20,BDC!$A$6:$A$39,0)</f>
        <v>17</v>
      </c>
      <c r="C20" s="34" t="n">
        <v>1.2</v>
      </c>
      <c r="D20" s="34" t="n">
        <v>0</v>
      </c>
      <c r="E20" s="34" t="n">
        <v>0</v>
      </c>
      <c r="F20" s="34" t="n">
        <v>0.9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0.075</v>
      </c>
      <c r="M20" s="34" t="n">
        <v>0</v>
      </c>
      <c r="N20" s="34" t="n">
        <v>0</v>
      </c>
      <c r="O20" s="34" t="n">
        <v>0.18</v>
      </c>
      <c r="P20" s="34" t="n">
        <v>0</v>
      </c>
      <c r="Q20" s="34" t="n">
        <v>0</v>
      </c>
      <c r="R20" s="34" t="n">
        <v>0</v>
      </c>
      <c r="S20" s="34" t="n">
        <v>0</v>
      </c>
      <c r="T20" s="34" t="n">
        <v>0</v>
      </c>
      <c r="U20" s="34" t="n">
        <v>0</v>
      </c>
      <c r="V20" s="34" t="n">
        <v>0</v>
      </c>
      <c r="W20" s="34" t="n">
        <v>0</v>
      </c>
      <c r="X20" s="34" t="n">
        <v>0</v>
      </c>
      <c r="Y20" s="34" t="n">
        <v>0</v>
      </c>
      <c r="Z20" s="34" t="n">
        <v>0</v>
      </c>
    </row>
    <row r="21" customFormat="false" ht="15" hidden="false" customHeight="true" outlineLevel="0" collapsed="false">
      <c r="A21" s="10" t="s">
        <v>659</v>
      </c>
      <c r="B21" s="44" t="n">
        <f aca="false">MATCH(A21,BDC!$A$6:$A$39,0)</f>
        <v>29</v>
      </c>
      <c r="C21" s="34" t="n">
        <v>0</v>
      </c>
      <c r="D21" s="34" t="n">
        <v>0</v>
      </c>
      <c r="E21" s="34" t="n">
        <v>0</v>
      </c>
      <c r="F21" s="34" t="n">
        <v>0.45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v>0</v>
      </c>
      <c r="O21" s="34" t="n">
        <v>0</v>
      </c>
      <c r="P21" s="34" t="n">
        <v>0</v>
      </c>
      <c r="Q21" s="34" t="n">
        <v>0</v>
      </c>
      <c r="R21" s="34" t="n">
        <v>0</v>
      </c>
      <c r="S21" s="34" t="n">
        <v>0</v>
      </c>
      <c r="T21" s="34" t="n">
        <v>0</v>
      </c>
      <c r="U21" s="34" t="n">
        <v>0</v>
      </c>
      <c r="V21" s="34" t="n">
        <v>0</v>
      </c>
      <c r="W21" s="34" t="n">
        <v>0</v>
      </c>
      <c r="X21" s="34" t="n">
        <v>0</v>
      </c>
      <c r="Y21" s="34" t="n">
        <v>0</v>
      </c>
      <c r="Z21" s="34" t="n">
        <v>0</v>
      </c>
    </row>
    <row r="22" customFormat="false" ht="15" hidden="false" customHeight="true" outlineLevel="0" collapsed="false">
      <c r="A22" s="10" t="s">
        <v>638</v>
      </c>
      <c r="B22" s="44" t="n">
        <f aca="false">MATCH(A22,BDC!$A$6:$A$39,0)</f>
        <v>8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4" t="n">
        <v>0</v>
      </c>
      <c r="P22" s="34" t="n">
        <v>0</v>
      </c>
      <c r="Q22" s="34" t="n">
        <v>0</v>
      </c>
      <c r="R22" s="34" t="n">
        <v>0.5</v>
      </c>
      <c r="S22" s="34" t="n">
        <v>0</v>
      </c>
      <c r="T22" s="34" t="n">
        <v>0.525</v>
      </c>
      <c r="U22" s="34" t="n">
        <v>0</v>
      </c>
      <c r="V22" s="34" t="n">
        <v>0</v>
      </c>
      <c r="W22" s="34" t="n">
        <v>0</v>
      </c>
      <c r="X22" s="34" t="n">
        <v>0</v>
      </c>
      <c r="Y22" s="34" t="n">
        <v>0</v>
      </c>
      <c r="Z22" s="34" t="n">
        <v>0</v>
      </c>
    </row>
    <row r="23" customFormat="false" ht="15" hidden="false" customHeight="true" outlineLevel="0" collapsed="false">
      <c r="A23" s="10" t="s">
        <v>631</v>
      </c>
      <c r="B23" s="44" t="n">
        <f aca="false">MATCH(A23,BDC!$A$6:$A$39,0)</f>
        <v>2</v>
      </c>
      <c r="C23" s="34" t="n">
        <v>0</v>
      </c>
      <c r="D23" s="34" t="n">
        <v>0.5</v>
      </c>
      <c r="E23" s="34" t="n">
        <v>0.5</v>
      </c>
      <c r="F23" s="34" t="n">
        <v>0.75</v>
      </c>
      <c r="G23" s="34" t="n">
        <v>0</v>
      </c>
      <c r="H23" s="34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34" t="n">
        <v>0.202702</v>
      </c>
      <c r="O23" s="34" t="n">
        <v>0.486486</v>
      </c>
      <c r="P23" s="34" t="n">
        <v>0</v>
      </c>
      <c r="Q23" s="34" t="n">
        <v>0</v>
      </c>
      <c r="R23" s="34" t="n">
        <v>1.972972</v>
      </c>
      <c r="S23" s="34" t="n">
        <v>0.3</v>
      </c>
      <c r="T23" s="34" t="n">
        <v>0.75</v>
      </c>
      <c r="U23" s="34" t="n">
        <v>0</v>
      </c>
      <c r="V23" s="34" t="n">
        <v>0</v>
      </c>
      <c r="W23" s="34" t="n">
        <v>0.5</v>
      </c>
      <c r="X23" s="34" t="n">
        <v>0</v>
      </c>
      <c r="Y23" s="34" t="n">
        <v>0</v>
      </c>
      <c r="Z23" s="34" t="n">
        <v>0</v>
      </c>
    </row>
    <row r="24" customFormat="false" ht="15" hidden="false" customHeight="true" outlineLevel="0" collapsed="false">
      <c r="A24" s="10" t="s">
        <v>655</v>
      </c>
      <c r="B24" s="44" t="n">
        <f aca="false">MATCH(A24,BDC!$A$6:$A$39,0)</f>
        <v>25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34" t="n">
        <v>0</v>
      </c>
      <c r="O24" s="34" t="n">
        <v>0</v>
      </c>
      <c r="P24" s="34" t="n">
        <v>0</v>
      </c>
      <c r="Q24" s="34" t="n">
        <v>0</v>
      </c>
      <c r="R24" s="34" t="n">
        <v>0</v>
      </c>
      <c r="S24" s="34" t="n">
        <v>0</v>
      </c>
      <c r="T24" s="34" t="n">
        <v>0</v>
      </c>
      <c r="U24" s="34" t="n">
        <v>0</v>
      </c>
      <c r="V24" s="34" t="n">
        <v>0</v>
      </c>
      <c r="W24" s="34" t="n">
        <v>0</v>
      </c>
      <c r="X24" s="34" t="n">
        <v>0</v>
      </c>
      <c r="Y24" s="34" t="n">
        <v>0</v>
      </c>
      <c r="Z24" s="34" t="n">
        <v>0</v>
      </c>
    </row>
    <row r="25" customFormat="false" ht="15" hidden="false" customHeight="true" outlineLevel="0" collapsed="false">
      <c r="A25" s="10" t="s">
        <v>645</v>
      </c>
      <c r="B25" s="44" t="n">
        <f aca="false">MATCH(A25,BDC!$A$6:$A$39,0)</f>
        <v>15</v>
      </c>
      <c r="C25" s="34" t="n">
        <v>0.7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0.4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0</v>
      </c>
      <c r="O25" s="34" t="n">
        <v>0</v>
      </c>
      <c r="P25" s="34" t="n">
        <v>0</v>
      </c>
      <c r="Q25" s="34" t="n">
        <v>0</v>
      </c>
      <c r="R25" s="34" t="n">
        <v>0.4</v>
      </c>
      <c r="S25" s="34" t="n">
        <v>0</v>
      </c>
      <c r="T25" s="34" t="n">
        <v>0</v>
      </c>
      <c r="U25" s="34" t="n">
        <v>0</v>
      </c>
      <c r="V25" s="34" t="n">
        <v>0</v>
      </c>
      <c r="W25" s="34" t="n">
        <v>0</v>
      </c>
      <c r="X25" s="34" t="n">
        <v>0</v>
      </c>
      <c r="Y25" s="34" t="n">
        <v>0</v>
      </c>
      <c r="Z25" s="34" t="n">
        <v>0</v>
      </c>
    </row>
    <row r="26" customFormat="false" ht="15" hidden="false" customHeight="true" outlineLevel="0" collapsed="false">
      <c r="A26" s="10" t="s">
        <v>639</v>
      </c>
      <c r="B26" s="44" t="n">
        <f aca="false">MATCH(A26,BDC!$A$6:$A$39,0)</f>
        <v>9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0.4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0</v>
      </c>
      <c r="O26" s="34" t="n">
        <v>0</v>
      </c>
      <c r="P26" s="34" t="n">
        <v>0</v>
      </c>
      <c r="Q26" s="34" t="n">
        <v>0</v>
      </c>
      <c r="R26" s="34" t="n">
        <v>0.15</v>
      </c>
      <c r="S26" s="34" t="n">
        <v>0</v>
      </c>
      <c r="T26" s="34" t="n">
        <v>1.1</v>
      </c>
      <c r="U26" s="34" t="n">
        <v>0</v>
      </c>
      <c r="V26" s="34" t="n">
        <v>0.5</v>
      </c>
      <c r="W26" s="34" t="n">
        <v>0</v>
      </c>
      <c r="X26" s="34" t="n">
        <v>0</v>
      </c>
      <c r="Y26" s="34" t="n">
        <v>0</v>
      </c>
      <c r="Z26" s="34" t="n">
        <v>0</v>
      </c>
    </row>
    <row r="27" customFormat="false" ht="15" hidden="false" customHeight="true" outlineLevel="0" collapsed="false">
      <c r="A27" s="10" t="s">
        <v>653</v>
      </c>
      <c r="B27" s="44" t="n">
        <f aca="false">MATCH(A27,BDC!$A$6:$A$39,0)</f>
        <v>23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34" t="n">
        <v>0</v>
      </c>
      <c r="O27" s="34" t="n">
        <v>0</v>
      </c>
      <c r="P27" s="34" t="n">
        <v>0</v>
      </c>
      <c r="Q27" s="34" t="n">
        <v>0</v>
      </c>
      <c r="R27" s="34" t="n">
        <v>0</v>
      </c>
      <c r="S27" s="34" t="n">
        <v>0</v>
      </c>
      <c r="T27" s="34" t="n">
        <v>0</v>
      </c>
      <c r="U27" s="34" t="n">
        <v>0</v>
      </c>
      <c r="V27" s="34" t="n">
        <v>0</v>
      </c>
      <c r="W27" s="34" t="n">
        <v>0</v>
      </c>
      <c r="X27" s="34" t="n">
        <v>0</v>
      </c>
      <c r="Y27" s="34" t="n">
        <v>0</v>
      </c>
      <c r="Z27" s="34" t="n">
        <v>0</v>
      </c>
    </row>
    <row r="30" customFormat="false" ht="15" hidden="false" customHeight="true" outlineLevel="0" collapsed="false">
      <c r="A30" s="9" t="s">
        <v>674</v>
      </c>
      <c r="C30" s="9" t="s">
        <v>496</v>
      </c>
      <c r="D30" s="9" t="s">
        <v>499</v>
      </c>
      <c r="E30" s="9" t="s">
        <v>501</v>
      </c>
      <c r="F30" s="9" t="s">
        <v>503</v>
      </c>
      <c r="G30" s="9" t="s">
        <v>505</v>
      </c>
      <c r="H30" s="9" t="s">
        <v>507</v>
      </c>
      <c r="I30" s="9" t="s">
        <v>509</v>
      </c>
      <c r="J30" s="9" t="s">
        <v>510</v>
      </c>
      <c r="K30" s="9" t="s">
        <v>512</v>
      </c>
      <c r="L30" s="9" t="s">
        <v>514</v>
      </c>
      <c r="M30" s="9" t="s">
        <v>516</v>
      </c>
      <c r="N30" s="9" t="s">
        <v>518</v>
      </c>
      <c r="O30" s="9" t="s">
        <v>520</v>
      </c>
      <c r="P30" s="9" t="s">
        <v>522</v>
      </c>
      <c r="Q30" s="9" t="s">
        <v>525</v>
      </c>
      <c r="R30" s="9" t="s">
        <v>527</v>
      </c>
      <c r="S30" s="9" t="s">
        <v>530</v>
      </c>
      <c r="T30" s="9" t="s">
        <v>532</v>
      </c>
      <c r="U30" s="9" t="s">
        <v>534</v>
      </c>
      <c r="V30" s="9" t="s">
        <v>535</v>
      </c>
      <c r="W30" s="9" t="s">
        <v>537</v>
      </c>
      <c r="X30" s="9" t="s">
        <v>538</v>
      </c>
      <c r="Y30" s="9" t="s">
        <v>540</v>
      </c>
      <c r="Z30" s="9" t="s">
        <v>543</v>
      </c>
    </row>
    <row r="31" customFormat="false" ht="15" hidden="false" customHeight="true" outlineLevel="0" collapsed="false">
      <c r="A31" s="10" t="s">
        <v>634</v>
      </c>
      <c r="B31" s="44" t="n">
        <f aca="false">MATCH(A31,BDC!$A$6:$A$39,0)</f>
        <v>4</v>
      </c>
      <c r="C31" s="34" t="n">
        <v>0</v>
      </c>
      <c r="D31" s="34" t="n">
        <v>0.5</v>
      </c>
      <c r="E31" s="34" t="n">
        <v>0.688333</v>
      </c>
      <c r="F31" s="34" t="n">
        <v>0.9</v>
      </c>
      <c r="G31" s="34" t="n">
        <v>0.5</v>
      </c>
      <c r="H31" s="34" t="n">
        <v>0.45</v>
      </c>
      <c r="I31" s="34" t="n">
        <v>0</v>
      </c>
      <c r="J31" s="34" t="n">
        <v>0</v>
      </c>
      <c r="K31" s="34" t="n">
        <v>0.6</v>
      </c>
      <c r="L31" s="34" t="n">
        <v>0</v>
      </c>
      <c r="M31" s="34" t="n">
        <v>0</v>
      </c>
      <c r="N31" s="34" t="n">
        <v>0</v>
      </c>
      <c r="O31" s="34" t="n">
        <v>0</v>
      </c>
      <c r="P31" s="34" t="n">
        <v>0</v>
      </c>
      <c r="Q31" s="34" t="n">
        <v>0</v>
      </c>
      <c r="R31" s="34" t="n">
        <v>0</v>
      </c>
      <c r="S31" s="34" t="n">
        <v>0</v>
      </c>
      <c r="T31" s="34" t="n">
        <v>0</v>
      </c>
      <c r="U31" s="34" t="n">
        <v>0</v>
      </c>
      <c r="V31" s="34" t="n">
        <v>0.225</v>
      </c>
      <c r="W31" s="34" t="n">
        <v>0</v>
      </c>
      <c r="X31" s="34" t="n">
        <v>0</v>
      </c>
      <c r="Y31" s="34" t="n">
        <v>0.391667</v>
      </c>
      <c r="Z31" s="34" t="n">
        <v>0</v>
      </c>
    </row>
    <row r="32" customFormat="false" ht="15" hidden="false" customHeight="true" outlineLevel="0" collapsed="false">
      <c r="A32" s="10" t="s">
        <v>632</v>
      </c>
      <c r="B32" s="44" t="n">
        <f aca="false">MATCH(A32,BDC!$A$6:$A$39,0)</f>
        <v>3</v>
      </c>
      <c r="C32" s="34" t="n">
        <v>0</v>
      </c>
      <c r="D32" s="34" t="n">
        <v>0.229267</v>
      </c>
      <c r="E32" s="34" t="n">
        <v>0</v>
      </c>
      <c r="F32" s="34" t="n">
        <v>0.555067</v>
      </c>
      <c r="G32" s="34" t="n">
        <v>0</v>
      </c>
      <c r="H32" s="34" t="n">
        <v>0</v>
      </c>
      <c r="I32" s="34" t="n">
        <v>0</v>
      </c>
      <c r="J32" s="34" t="n">
        <v>0</v>
      </c>
      <c r="K32" s="34" t="n">
        <v>0</v>
      </c>
      <c r="L32" s="34" t="n">
        <v>0</v>
      </c>
      <c r="M32" s="34" t="n">
        <v>0.048267</v>
      </c>
      <c r="N32" s="34" t="n">
        <v>0</v>
      </c>
      <c r="O32" s="34" t="n">
        <v>0</v>
      </c>
      <c r="P32" s="34" t="n">
        <v>0</v>
      </c>
      <c r="Q32" s="34" t="n">
        <v>0</v>
      </c>
      <c r="R32" s="34" t="n">
        <v>0</v>
      </c>
      <c r="S32" s="34" t="n">
        <v>0.674</v>
      </c>
      <c r="T32" s="34" t="n">
        <v>0</v>
      </c>
      <c r="U32" s="34" t="n">
        <v>0</v>
      </c>
      <c r="V32" s="34" t="n">
        <v>0</v>
      </c>
      <c r="W32" s="34" t="n">
        <v>0.728</v>
      </c>
      <c r="X32" s="34" t="n">
        <v>0</v>
      </c>
      <c r="Y32" s="34" t="n">
        <v>0</v>
      </c>
      <c r="Z32" s="34" t="n">
        <v>0</v>
      </c>
    </row>
    <row r="33" customFormat="false" ht="15" hidden="false" customHeight="true" outlineLevel="0" collapsed="false">
      <c r="A33" s="10" t="s">
        <v>636</v>
      </c>
      <c r="B33" s="44" t="n">
        <f aca="false">MATCH(A33,BDC!$A$6:$A$39,0)</f>
        <v>6</v>
      </c>
      <c r="C33" s="34" t="n">
        <v>0</v>
      </c>
      <c r="D33" s="34" t="n">
        <v>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0</v>
      </c>
      <c r="L33" s="34" t="n">
        <v>0</v>
      </c>
      <c r="M33" s="34" t="n">
        <v>0</v>
      </c>
      <c r="N33" s="34" t="n">
        <v>0</v>
      </c>
      <c r="O33" s="34" t="n">
        <v>0.183851</v>
      </c>
      <c r="P33" s="34" t="n">
        <v>0</v>
      </c>
      <c r="Q33" s="34" t="n">
        <v>0</v>
      </c>
      <c r="R33" s="34" t="n">
        <v>0</v>
      </c>
      <c r="S33" s="34" t="n">
        <v>0.583</v>
      </c>
      <c r="T33" s="34" t="n">
        <v>0.183851</v>
      </c>
      <c r="U33" s="34" t="n">
        <v>0</v>
      </c>
      <c r="V33" s="34" t="n">
        <v>0.183851</v>
      </c>
      <c r="W33" s="34" t="n">
        <v>0</v>
      </c>
      <c r="X33" s="34" t="n">
        <v>0</v>
      </c>
      <c r="Y33" s="34" t="n">
        <v>0</v>
      </c>
      <c r="Z33" s="34" t="n">
        <v>0</v>
      </c>
    </row>
    <row r="34" customFormat="false" ht="15" hidden="false" customHeight="true" outlineLevel="0" collapsed="false">
      <c r="A34" s="10" t="s">
        <v>656</v>
      </c>
      <c r="B34" s="44" t="n">
        <f aca="false">MATCH(A34,BDC!$A$6:$A$39,0)</f>
        <v>26</v>
      </c>
      <c r="C34" s="34" t="n">
        <v>0</v>
      </c>
      <c r="D34" s="34" t="n">
        <v>0</v>
      </c>
      <c r="E34" s="34" t="n">
        <v>0</v>
      </c>
      <c r="F34" s="34" t="n">
        <v>0</v>
      </c>
      <c r="G34" s="34" t="n">
        <v>0</v>
      </c>
      <c r="H34" s="34" t="n">
        <v>0</v>
      </c>
      <c r="I34" s="34" t="n">
        <v>0</v>
      </c>
      <c r="J34" s="34" t="n">
        <v>0</v>
      </c>
      <c r="K34" s="34" t="n">
        <v>0</v>
      </c>
      <c r="L34" s="34" t="n">
        <v>0</v>
      </c>
      <c r="M34" s="34" t="n">
        <v>0</v>
      </c>
      <c r="N34" s="34" t="n">
        <v>0</v>
      </c>
      <c r="O34" s="34" t="n">
        <v>0</v>
      </c>
      <c r="P34" s="34" t="n">
        <v>0</v>
      </c>
      <c r="Q34" s="34" t="n">
        <v>0</v>
      </c>
      <c r="R34" s="34" t="n">
        <v>0</v>
      </c>
      <c r="S34" s="34" t="n">
        <v>0</v>
      </c>
      <c r="T34" s="34" t="n">
        <v>0</v>
      </c>
      <c r="U34" s="34" t="n">
        <v>0</v>
      </c>
      <c r="V34" s="34" t="n">
        <v>0</v>
      </c>
      <c r="W34" s="34" t="n">
        <v>0</v>
      </c>
      <c r="X34" s="34" t="n">
        <v>0</v>
      </c>
      <c r="Y34" s="34" t="n">
        <v>0</v>
      </c>
      <c r="Z34" s="34" t="n">
        <v>0</v>
      </c>
    </row>
    <row r="35" customFormat="false" ht="15" hidden="false" customHeight="true" outlineLevel="0" collapsed="false">
      <c r="A35" s="10" t="s">
        <v>629</v>
      </c>
      <c r="B35" s="44" t="n">
        <f aca="false">MATCH(A35,BDC!$A$6:$A$39,0)</f>
        <v>1</v>
      </c>
      <c r="C35" s="34" t="n">
        <v>0</v>
      </c>
      <c r="D35" s="34" t="n">
        <v>1.2805</v>
      </c>
      <c r="E35" s="34" t="n">
        <v>0.866931</v>
      </c>
      <c r="F35" s="34" t="n">
        <v>0.957919</v>
      </c>
      <c r="G35" s="34" t="n">
        <v>0.75</v>
      </c>
      <c r="H35" s="34" t="n">
        <v>0.73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v>0</v>
      </c>
      <c r="N35" s="34" t="n">
        <v>0</v>
      </c>
      <c r="O35" s="34" t="n">
        <v>0</v>
      </c>
      <c r="P35" s="34" t="n">
        <v>0.825</v>
      </c>
      <c r="Q35" s="34" t="n">
        <v>0.329945</v>
      </c>
      <c r="R35" s="34" t="n">
        <v>0.714593</v>
      </c>
      <c r="S35" s="34" t="n">
        <v>0.72583</v>
      </c>
      <c r="T35" s="34" t="n">
        <v>0.928644</v>
      </c>
      <c r="U35" s="34" t="n">
        <v>0</v>
      </c>
      <c r="V35" s="34" t="n">
        <v>1.353</v>
      </c>
      <c r="W35" s="34" t="n">
        <v>0</v>
      </c>
      <c r="X35" s="34" t="n">
        <v>0</v>
      </c>
      <c r="Y35" s="34" t="n">
        <v>0.2</v>
      </c>
      <c r="Z35" s="34" t="n">
        <v>0</v>
      </c>
    </row>
    <row r="36" customFormat="false" ht="15" hidden="false" customHeight="true" outlineLevel="0" collapsed="false">
      <c r="A36" s="10" t="s">
        <v>640</v>
      </c>
      <c r="B36" s="44" t="n">
        <f aca="false">MATCH(A36,BDC!$A$6:$A$39,0)</f>
        <v>10</v>
      </c>
      <c r="C36" s="34" t="n">
        <v>0</v>
      </c>
      <c r="D36" s="34" t="n">
        <v>0.3574</v>
      </c>
      <c r="E36" s="34" t="n">
        <v>0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s="34" t="n">
        <v>0</v>
      </c>
      <c r="N36" s="34" t="n">
        <v>0</v>
      </c>
      <c r="O36" s="34" t="n">
        <v>0</v>
      </c>
      <c r="P36" s="34" t="n">
        <v>0</v>
      </c>
      <c r="Q36" s="34" t="n">
        <v>0</v>
      </c>
      <c r="R36" s="34" t="n">
        <v>0</v>
      </c>
      <c r="S36" s="34" t="n">
        <v>0.32155</v>
      </c>
      <c r="T36" s="34" t="n">
        <v>0</v>
      </c>
      <c r="U36" s="34" t="n">
        <v>0</v>
      </c>
      <c r="V36" s="34" t="n">
        <v>0</v>
      </c>
      <c r="W36" s="34" t="n">
        <v>0</v>
      </c>
      <c r="X36" s="34" t="n">
        <v>0</v>
      </c>
      <c r="Y36" s="34" t="n">
        <v>0</v>
      </c>
      <c r="Z36" s="34" t="n">
        <v>0</v>
      </c>
    </row>
    <row r="37" customFormat="false" ht="15" hidden="false" customHeight="true" outlineLevel="0" collapsed="false">
      <c r="A37" s="10" t="s">
        <v>657</v>
      </c>
      <c r="B37" s="44" t="n">
        <f aca="false">MATCH(A37,BDC!$A$6:$A$39,0)</f>
        <v>27</v>
      </c>
      <c r="C37" s="34" t="n">
        <v>0</v>
      </c>
      <c r="D37" s="34" t="n">
        <v>0</v>
      </c>
      <c r="E37" s="34" t="n">
        <v>0</v>
      </c>
      <c r="F37" s="34" t="n">
        <v>0</v>
      </c>
      <c r="G37" s="34" t="n">
        <v>0</v>
      </c>
      <c r="H37" s="34" t="n">
        <v>0</v>
      </c>
      <c r="I37" s="34" t="n">
        <v>0</v>
      </c>
      <c r="J37" s="34" t="n">
        <v>0</v>
      </c>
      <c r="K37" s="34" t="n">
        <v>0</v>
      </c>
      <c r="L37" s="34" t="n">
        <v>0</v>
      </c>
      <c r="M37" s="34" t="n">
        <v>0</v>
      </c>
      <c r="N37" s="34" t="n">
        <v>0</v>
      </c>
      <c r="O37" s="34" t="n">
        <v>0</v>
      </c>
      <c r="P37" s="34" t="n">
        <v>0</v>
      </c>
      <c r="Q37" s="34" t="n">
        <v>0</v>
      </c>
      <c r="R37" s="34" t="n">
        <v>0</v>
      </c>
      <c r="S37" s="34" t="n">
        <v>0</v>
      </c>
      <c r="T37" s="34" t="n">
        <v>0</v>
      </c>
      <c r="U37" s="34" t="n">
        <v>0</v>
      </c>
      <c r="V37" s="34" t="n">
        <v>0</v>
      </c>
      <c r="W37" s="34" t="n">
        <v>0</v>
      </c>
      <c r="X37" s="34" t="n">
        <v>0</v>
      </c>
      <c r="Y37" s="34" t="n">
        <v>0</v>
      </c>
      <c r="Z37" s="34" t="n">
        <v>0</v>
      </c>
    </row>
    <row r="38" customFormat="false" ht="15" hidden="false" customHeight="true" outlineLevel="0" collapsed="false">
      <c r="A38" s="10" t="s">
        <v>641</v>
      </c>
      <c r="B38" s="44" t="n">
        <f aca="false">MATCH(A38,BDC!$A$6:$A$39,0)</f>
        <v>11</v>
      </c>
      <c r="C38" s="34" t="n">
        <v>0</v>
      </c>
      <c r="D38" s="34" t="n">
        <v>0</v>
      </c>
      <c r="E38" s="34" t="n">
        <v>0</v>
      </c>
      <c r="F38" s="34" t="n">
        <v>0</v>
      </c>
      <c r="G38" s="34" t="n">
        <v>0</v>
      </c>
      <c r="H38" s="34" t="n">
        <v>0</v>
      </c>
      <c r="I38" s="34" t="n">
        <v>0</v>
      </c>
      <c r="J38" s="34" t="n">
        <v>0</v>
      </c>
      <c r="K38" s="34" t="n">
        <v>0</v>
      </c>
      <c r="L38" s="34" t="n">
        <v>0</v>
      </c>
      <c r="M38" s="34" t="n">
        <v>0</v>
      </c>
      <c r="N38" s="34" t="n">
        <v>0</v>
      </c>
      <c r="O38" s="34" t="n">
        <v>0</v>
      </c>
      <c r="P38" s="34" t="n">
        <v>0</v>
      </c>
      <c r="Q38" s="34" t="n">
        <v>0</v>
      </c>
      <c r="R38" s="34" t="n">
        <v>0</v>
      </c>
      <c r="S38" s="34" t="n">
        <v>0</v>
      </c>
      <c r="T38" s="34" t="n">
        <v>0</v>
      </c>
      <c r="U38" s="34" t="n">
        <v>0</v>
      </c>
      <c r="V38" s="34" t="n">
        <v>0</v>
      </c>
      <c r="W38" s="34" t="n">
        <v>0</v>
      </c>
      <c r="X38" s="34" t="n">
        <v>0</v>
      </c>
      <c r="Y38" s="34" t="n">
        <v>0</v>
      </c>
      <c r="Z38" s="34" t="n">
        <v>0</v>
      </c>
    </row>
    <row r="39" customFormat="false" ht="15" hidden="false" customHeight="true" outlineLevel="0" collapsed="false">
      <c r="A39" s="10" t="s">
        <v>644</v>
      </c>
      <c r="B39" s="44" t="n">
        <f aca="false">MATCH(A39,BDC!$A$6:$A$39,0)</f>
        <v>14</v>
      </c>
      <c r="C39" s="34" t="n">
        <v>0</v>
      </c>
      <c r="D39" s="34" t="n">
        <v>0</v>
      </c>
      <c r="E39" s="34" t="n">
        <v>0</v>
      </c>
      <c r="F39" s="34" t="n">
        <v>0</v>
      </c>
      <c r="G39" s="34" t="n">
        <v>0</v>
      </c>
      <c r="H39" s="34" t="n">
        <v>0</v>
      </c>
      <c r="I39" s="34" t="n">
        <v>0</v>
      </c>
      <c r="J39" s="34" t="n">
        <v>0</v>
      </c>
      <c r="K39" s="34" t="n">
        <v>0</v>
      </c>
      <c r="L39" s="34" t="n">
        <v>0</v>
      </c>
      <c r="M39" s="34" t="n">
        <v>0</v>
      </c>
      <c r="N39" s="34" t="n">
        <v>0</v>
      </c>
      <c r="O39" s="34" t="n">
        <v>0</v>
      </c>
      <c r="P39" s="34" t="n">
        <v>0</v>
      </c>
      <c r="Q39" s="34" t="n">
        <v>0</v>
      </c>
      <c r="R39" s="34" t="n">
        <v>0</v>
      </c>
      <c r="S39" s="34" t="n">
        <v>0</v>
      </c>
      <c r="T39" s="34" t="n">
        <v>0</v>
      </c>
      <c r="U39" s="34" t="n">
        <v>0</v>
      </c>
      <c r="V39" s="34" t="n">
        <v>0</v>
      </c>
      <c r="W39" s="34" t="n">
        <v>0</v>
      </c>
      <c r="X39" s="34" t="n">
        <v>0</v>
      </c>
      <c r="Y39" s="34" t="n">
        <v>0</v>
      </c>
      <c r="Z39" s="34" t="n">
        <v>0</v>
      </c>
    </row>
    <row r="40" customFormat="false" ht="15" hidden="false" customHeight="true" outlineLevel="0" collapsed="false">
      <c r="A40" s="10" t="s">
        <v>654</v>
      </c>
      <c r="B40" s="44" t="n">
        <f aca="false">MATCH(A40,BDC!$A$6:$A$39,0)</f>
        <v>24</v>
      </c>
      <c r="C40" s="34" t="n">
        <v>0</v>
      </c>
      <c r="D40" s="34" t="n">
        <v>0</v>
      </c>
      <c r="E40" s="34" t="n">
        <v>0</v>
      </c>
      <c r="F40" s="34" t="n">
        <v>0</v>
      </c>
      <c r="G40" s="34" t="n">
        <v>0</v>
      </c>
      <c r="H40" s="34" t="n">
        <v>0</v>
      </c>
      <c r="I40" s="34" t="n">
        <v>0</v>
      </c>
      <c r="J40" s="34" t="n">
        <v>0</v>
      </c>
      <c r="K40" s="34" t="n">
        <v>0</v>
      </c>
      <c r="L40" s="34" t="n">
        <v>0</v>
      </c>
      <c r="M40" s="34" t="n">
        <v>0</v>
      </c>
      <c r="N40" s="34" t="n">
        <v>0</v>
      </c>
      <c r="O40" s="34" t="n">
        <v>0</v>
      </c>
      <c r="P40" s="34" t="n">
        <v>0</v>
      </c>
      <c r="Q40" s="34" t="n">
        <v>0</v>
      </c>
      <c r="R40" s="34" t="n">
        <v>0</v>
      </c>
      <c r="S40" s="34" t="n">
        <v>0</v>
      </c>
      <c r="T40" s="34" t="n">
        <v>0</v>
      </c>
      <c r="U40" s="34" t="n">
        <v>0</v>
      </c>
      <c r="V40" s="34" t="n">
        <v>0</v>
      </c>
      <c r="W40" s="34" t="n">
        <v>0</v>
      </c>
      <c r="X40" s="34" t="n">
        <v>0</v>
      </c>
      <c r="Y40" s="34" t="n">
        <v>0</v>
      </c>
      <c r="Z40" s="34" t="n">
        <v>0</v>
      </c>
    </row>
    <row r="41" customFormat="false" ht="15" hidden="false" customHeight="true" outlineLevel="0" collapsed="false">
      <c r="A41" s="10" t="s">
        <v>635</v>
      </c>
      <c r="B41" s="44" t="n">
        <f aca="false">MATCH(A41,BDC!$A$6:$A$39,0)</f>
        <v>5</v>
      </c>
      <c r="C41" s="34" t="n">
        <v>0</v>
      </c>
      <c r="D41" s="34" t="n">
        <v>0.568143</v>
      </c>
      <c r="E41" s="34" t="n">
        <v>0</v>
      </c>
      <c r="F41" s="34" t="n">
        <v>0.096539</v>
      </c>
      <c r="G41" s="34" t="n">
        <v>0</v>
      </c>
      <c r="H41" s="34" t="n">
        <v>0.725788</v>
      </c>
      <c r="I41" s="34" t="n">
        <v>0</v>
      </c>
      <c r="J41" s="34" t="n">
        <v>0</v>
      </c>
      <c r="K41" s="34" t="n">
        <v>0</v>
      </c>
      <c r="L41" s="34" t="n">
        <v>0</v>
      </c>
      <c r="M41" s="34" t="n">
        <v>0</v>
      </c>
      <c r="N41" s="34" t="n">
        <v>0</v>
      </c>
      <c r="O41" s="34" t="n">
        <v>0</v>
      </c>
      <c r="P41" s="34" t="n">
        <v>0</v>
      </c>
      <c r="Q41" s="34" t="n">
        <v>0</v>
      </c>
      <c r="R41" s="34" t="n">
        <v>0</v>
      </c>
      <c r="S41" s="34" t="n">
        <v>0.5032</v>
      </c>
      <c r="T41" s="34" t="n">
        <v>0</v>
      </c>
      <c r="U41" s="34" t="n">
        <v>0</v>
      </c>
      <c r="V41" s="34" t="n">
        <v>0</v>
      </c>
      <c r="W41" s="34" t="n">
        <v>0</v>
      </c>
      <c r="X41" s="34" t="n">
        <v>0</v>
      </c>
      <c r="Y41" s="34" t="n">
        <v>0</v>
      </c>
      <c r="Z41" s="34" t="n">
        <v>0</v>
      </c>
    </row>
    <row r="42" customFormat="false" ht="15" hidden="false" customHeight="true" outlineLevel="0" collapsed="false">
      <c r="A42" s="10" t="s">
        <v>651</v>
      </c>
      <c r="B42" s="44" t="n">
        <f aca="false">MATCH(A42,BDC!$A$6:$A$39,0)</f>
        <v>21</v>
      </c>
      <c r="C42" s="34" t="n">
        <v>0</v>
      </c>
      <c r="D42" s="34" t="n">
        <v>0</v>
      </c>
      <c r="E42" s="34" t="n">
        <v>0</v>
      </c>
      <c r="F42" s="34" t="n">
        <v>0</v>
      </c>
      <c r="G42" s="34" t="n">
        <v>0.015</v>
      </c>
      <c r="H42" s="34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4" t="n">
        <v>0</v>
      </c>
      <c r="O42" s="34" t="n">
        <v>0.005</v>
      </c>
      <c r="P42" s="34" t="n">
        <v>0</v>
      </c>
      <c r="Q42" s="34" t="n">
        <v>0</v>
      </c>
      <c r="R42" s="34" t="n">
        <v>0</v>
      </c>
      <c r="S42" s="34" t="n">
        <v>0</v>
      </c>
      <c r="T42" s="34" t="n">
        <v>0</v>
      </c>
      <c r="U42" s="34" t="n">
        <v>0</v>
      </c>
      <c r="V42" s="34" t="n">
        <v>0.03</v>
      </c>
      <c r="W42" s="34" t="n">
        <v>0</v>
      </c>
      <c r="X42" s="34" t="n">
        <v>0</v>
      </c>
      <c r="Y42" s="34" t="n">
        <v>0.008</v>
      </c>
      <c r="Z42" s="34" t="n">
        <v>0</v>
      </c>
    </row>
    <row r="43" customFormat="false" ht="15" hidden="false" customHeight="true" outlineLevel="0" collapsed="false">
      <c r="A43" s="10" t="s">
        <v>648</v>
      </c>
      <c r="B43" s="44" t="n">
        <f aca="false">MATCH(A43,BDC!$A$6:$A$39,0)</f>
        <v>18</v>
      </c>
      <c r="C43" s="34" t="n">
        <v>0</v>
      </c>
      <c r="D43" s="34" t="n">
        <v>0</v>
      </c>
      <c r="E43" s="34" t="n">
        <v>0</v>
      </c>
      <c r="F43" s="34" t="n">
        <v>0</v>
      </c>
      <c r="G43" s="34" t="n">
        <v>0</v>
      </c>
      <c r="H43" s="34" t="n">
        <v>0</v>
      </c>
      <c r="I43" s="34" t="n">
        <v>0</v>
      </c>
      <c r="J43" s="34" t="n">
        <v>0</v>
      </c>
      <c r="K43" s="34" t="n">
        <v>0</v>
      </c>
      <c r="L43" s="34" t="n">
        <v>0</v>
      </c>
      <c r="M43" s="34" t="n">
        <v>0</v>
      </c>
      <c r="N43" s="34" t="n">
        <v>0</v>
      </c>
      <c r="O43" s="34" t="n">
        <v>0</v>
      </c>
      <c r="P43" s="34" t="n">
        <v>0</v>
      </c>
      <c r="Q43" s="34" t="n">
        <v>0</v>
      </c>
      <c r="R43" s="34" t="n">
        <v>0</v>
      </c>
      <c r="S43" s="34" t="n">
        <v>0</v>
      </c>
      <c r="T43" s="34" t="n">
        <v>0</v>
      </c>
      <c r="U43" s="34" t="n">
        <v>0</v>
      </c>
      <c r="V43" s="34" t="n">
        <v>0</v>
      </c>
      <c r="W43" s="34" t="n">
        <v>0</v>
      </c>
      <c r="X43" s="34" t="n">
        <v>0</v>
      </c>
      <c r="Y43" s="34" t="n">
        <v>0</v>
      </c>
      <c r="Z43" s="34" t="n">
        <v>0</v>
      </c>
    </row>
    <row r="44" customFormat="false" ht="15" hidden="false" customHeight="true" outlineLevel="0" collapsed="false">
      <c r="A44" s="10" t="s">
        <v>652</v>
      </c>
      <c r="B44" s="44" t="n">
        <f aca="false">MATCH(A44,BDC!$A$6:$A$39,0)</f>
        <v>22</v>
      </c>
      <c r="C44" s="34" t="n">
        <v>0</v>
      </c>
      <c r="D44" s="34" t="n">
        <v>0</v>
      </c>
      <c r="E44" s="34" t="n">
        <v>0</v>
      </c>
      <c r="F44" s="34" t="n">
        <v>0</v>
      </c>
      <c r="G44" s="34" t="n">
        <v>0</v>
      </c>
      <c r="H44" s="34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34" t="n">
        <v>0</v>
      </c>
      <c r="O44" s="34" t="n">
        <v>0</v>
      </c>
      <c r="P44" s="34" t="n">
        <v>0</v>
      </c>
      <c r="Q44" s="34" t="n">
        <v>0</v>
      </c>
      <c r="R44" s="34" t="n">
        <v>0</v>
      </c>
      <c r="S44" s="34" t="n">
        <v>0.175851</v>
      </c>
      <c r="T44" s="34" t="n">
        <v>0</v>
      </c>
      <c r="U44" s="34" t="n">
        <v>0</v>
      </c>
      <c r="V44" s="34" t="n">
        <v>0</v>
      </c>
      <c r="W44" s="34" t="n">
        <v>0</v>
      </c>
      <c r="X44" s="34" t="n">
        <v>0</v>
      </c>
      <c r="Y44" s="34" t="n">
        <v>0</v>
      </c>
      <c r="Z44" s="34" t="n">
        <v>0</v>
      </c>
    </row>
    <row r="45" customFormat="false" ht="15" hidden="false" customHeight="true" outlineLevel="0" collapsed="false">
      <c r="A45" s="10" t="s">
        <v>647</v>
      </c>
      <c r="B45" s="44" t="n">
        <f aca="false">MATCH(A45,BDC!$A$6:$A$39,0)</f>
        <v>17</v>
      </c>
      <c r="C45" s="34" t="n">
        <v>0.838072</v>
      </c>
      <c r="D45" s="34" t="n">
        <v>0</v>
      </c>
      <c r="E45" s="34" t="n">
        <v>0</v>
      </c>
      <c r="F45" s="34" t="n">
        <v>0.43125</v>
      </c>
      <c r="G45" s="34" t="n">
        <v>0</v>
      </c>
      <c r="H45" s="34" t="n">
        <v>0</v>
      </c>
      <c r="I45" s="34" t="n">
        <v>0</v>
      </c>
      <c r="J45" s="34" t="n">
        <v>0</v>
      </c>
      <c r="K45" s="34" t="n">
        <v>0</v>
      </c>
      <c r="L45" s="34" t="n">
        <v>0.045</v>
      </c>
      <c r="M45" s="34" t="n">
        <v>0</v>
      </c>
      <c r="N45" s="34" t="n">
        <v>0</v>
      </c>
      <c r="O45" s="34" t="n">
        <v>0.108</v>
      </c>
      <c r="P45" s="34" t="n">
        <v>0</v>
      </c>
      <c r="Q45" s="34" t="n">
        <v>0</v>
      </c>
      <c r="R45" s="34" t="n">
        <v>0</v>
      </c>
      <c r="S45" s="34" t="n">
        <v>0</v>
      </c>
      <c r="T45" s="34" t="n">
        <v>0</v>
      </c>
      <c r="U45" s="34" t="n">
        <v>0</v>
      </c>
      <c r="V45" s="34" t="n">
        <v>0</v>
      </c>
      <c r="W45" s="34" t="n">
        <v>0</v>
      </c>
      <c r="X45" s="34" t="n">
        <v>0</v>
      </c>
      <c r="Y45" s="34" t="n">
        <v>0</v>
      </c>
      <c r="Z45" s="34" t="n">
        <v>0</v>
      </c>
    </row>
    <row r="46" customFormat="false" ht="15" hidden="false" customHeight="true" outlineLevel="0" collapsed="false">
      <c r="A46" s="10" t="s">
        <v>659</v>
      </c>
      <c r="B46" s="44" t="n">
        <f aca="false">MATCH(A46,BDC!$A$6:$A$39,0)</f>
        <v>29</v>
      </c>
      <c r="C46" s="34" t="n">
        <v>0</v>
      </c>
      <c r="D46" s="34" t="n">
        <v>0</v>
      </c>
      <c r="E46" s="34" t="n">
        <v>0</v>
      </c>
      <c r="F46" s="34" t="n">
        <v>0.378146</v>
      </c>
      <c r="G46" s="34" t="n">
        <v>0</v>
      </c>
      <c r="H46" s="34" t="n">
        <v>0</v>
      </c>
      <c r="I46" s="34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4" t="n">
        <v>0</v>
      </c>
      <c r="P46" s="34" t="n">
        <v>0</v>
      </c>
      <c r="Q46" s="34" t="n">
        <v>0</v>
      </c>
      <c r="R46" s="34" t="n">
        <v>0</v>
      </c>
      <c r="S46" s="34" t="n">
        <v>0</v>
      </c>
      <c r="T46" s="34" t="n">
        <v>0</v>
      </c>
      <c r="U46" s="34" t="n">
        <v>0</v>
      </c>
      <c r="V46" s="34" t="n">
        <v>0</v>
      </c>
      <c r="W46" s="34" t="n">
        <v>0</v>
      </c>
      <c r="X46" s="34" t="n">
        <v>0</v>
      </c>
      <c r="Y46" s="34" t="n">
        <v>0</v>
      </c>
      <c r="Z46" s="34" t="n">
        <v>0</v>
      </c>
    </row>
    <row r="47" customFormat="false" ht="15" hidden="false" customHeight="true" outlineLevel="0" collapsed="false">
      <c r="A47" s="10" t="s">
        <v>638</v>
      </c>
      <c r="B47" s="44" t="n">
        <f aca="false">MATCH(A47,BDC!$A$6:$A$39,0)</f>
        <v>8</v>
      </c>
      <c r="C47" s="34" t="n">
        <v>0</v>
      </c>
      <c r="D47" s="34" t="n">
        <v>0</v>
      </c>
      <c r="E47" s="34" t="n">
        <v>0</v>
      </c>
      <c r="F47" s="34" t="n">
        <v>0</v>
      </c>
      <c r="G47" s="34" t="n">
        <v>0</v>
      </c>
      <c r="H47" s="34" t="n">
        <v>0</v>
      </c>
      <c r="I47" s="34" t="n">
        <v>0</v>
      </c>
      <c r="J47" s="34" t="n">
        <v>0</v>
      </c>
      <c r="K47" s="34" t="n">
        <v>0</v>
      </c>
      <c r="L47" s="34" t="n">
        <v>0</v>
      </c>
      <c r="M47" s="34" t="n">
        <v>0</v>
      </c>
      <c r="N47" s="34" t="n">
        <v>0</v>
      </c>
      <c r="O47" s="34" t="n">
        <v>0</v>
      </c>
      <c r="P47" s="34" t="n">
        <v>0</v>
      </c>
      <c r="Q47" s="34" t="n">
        <v>0</v>
      </c>
      <c r="R47" s="34" t="n">
        <v>0.31</v>
      </c>
      <c r="S47" s="34" t="n">
        <v>0</v>
      </c>
      <c r="T47" s="34" t="n">
        <v>0.4305</v>
      </c>
      <c r="U47" s="34" t="n">
        <v>0</v>
      </c>
      <c r="V47" s="34" t="n">
        <v>0</v>
      </c>
      <c r="W47" s="34" t="n">
        <v>0</v>
      </c>
      <c r="X47" s="34" t="n">
        <v>0</v>
      </c>
      <c r="Y47" s="34" t="n">
        <v>0</v>
      </c>
      <c r="Z47" s="34" t="n">
        <v>0</v>
      </c>
    </row>
    <row r="48" customFormat="false" ht="15" hidden="false" customHeight="true" outlineLevel="0" collapsed="false">
      <c r="A48" s="10" t="s">
        <v>631</v>
      </c>
      <c r="B48" s="44" t="n">
        <f aca="false">MATCH(A48,BDC!$A$6:$A$39,0)</f>
        <v>2</v>
      </c>
      <c r="C48" s="34" t="n">
        <v>0</v>
      </c>
      <c r="D48" s="34" t="n">
        <v>0.25</v>
      </c>
      <c r="E48" s="34" t="n">
        <v>0.397</v>
      </c>
      <c r="F48" s="34" t="n">
        <v>0.60625</v>
      </c>
      <c r="G48" s="34" t="n">
        <v>0</v>
      </c>
      <c r="H48" s="34" t="n">
        <v>0</v>
      </c>
      <c r="I48" s="34" t="n">
        <v>0</v>
      </c>
      <c r="J48" s="34" t="n">
        <v>0</v>
      </c>
      <c r="K48" s="34" t="n">
        <v>0</v>
      </c>
      <c r="L48" s="34" t="n">
        <v>0</v>
      </c>
      <c r="M48" s="34" t="n">
        <v>0</v>
      </c>
      <c r="N48" s="34" t="n">
        <v>0.113285</v>
      </c>
      <c r="O48" s="34" t="n">
        <v>0.271885</v>
      </c>
      <c r="P48" s="34" t="n">
        <v>0</v>
      </c>
      <c r="Q48" s="34" t="n">
        <v>0</v>
      </c>
      <c r="R48" s="34" t="n">
        <v>1.102644</v>
      </c>
      <c r="S48" s="34" t="n">
        <v>0.23</v>
      </c>
      <c r="T48" s="34" t="n">
        <v>0.25</v>
      </c>
      <c r="U48" s="34" t="n">
        <v>0</v>
      </c>
      <c r="V48" s="34" t="n">
        <v>0</v>
      </c>
      <c r="W48" s="34" t="n">
        <v>0.1601</v>
      </c>
      <c r="X48" s="34" t="n">
        <v>0</v>
      </c>
      <c r="Y48" s="34" t="n">
        <v>0</v>
      </c>
      <c r="Z48" s="34" t="n">
        <v>0</v>
      </c>
    </row>
    <row r="49" customFormat="false" ht="15" hidden="false" customHeight="true" outlineLevel="0" collapsed="false">
      <c r="A49" s="10" t="s">
        <v>655</v>
      </c>
      <c r="B49" s="44" t="n">
        <f aca="false">MATCH(A49,BDC!$A$6:$A$39,0)</f>
        <v>25</v>
      </c>
      <c r="C49" s="34" t="n">
        <v>0</v>
      </c>
      <c r="D49" s="34" t="n">
        <v>0</v>
      </c>
      <c r="E49" s="34" t="n">
        <v>0</v>
      </c>
      <c r="F49" s="34" t="n">
        <v>0</v>
      </c>
      <c r="G49" s="34" t="n">
        <v>0</v>
      </c>
      <c r="H49" s="34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34" t="n">
        <v>0</v>
      </c>
      <c r="O49" s="34" t="n">
        <v>0</v>
      </c>
      <c r="P49" s="34" t="n">
        <v>0</v>
      </c>
      <c r="Q49" s="34" t="n">
        <v>0</v>
      </c>
      <c r="R49" s="34" t="n">
        <v>0</v>
      </c>
      <c r="S49" s="34" t="n">
        <v>0</v>
      </c>
      <c r="T49" s="34" t="n">
        <v>0</v>
      </c>
      <c r="U49" s="34" t="n">
        <v>0</v>
      </c>
      <c r="V49" s="34" t="n">
        <v>0</v>
      </c>
      <c r="W49" s="34" t="n">
        <v>0</v>
      </c>
      <c r="X49" s="34" t="n">
        <v>0</v>
      </c>
      <c r="Y49" s="34" t="n">
        <v>0</v>
      </c>
      <c r="Z49" s="34" t="n">
        <v>0</v>
      </c>
    </row>
    <row r="50" customFormat="false" ht="15" hidden="false" customHeight="true" outlineLevel="0" collapsed="false">
      <c r="A50" s="10" t="s">
        <v>645</v>
      </c>
      <c r="B50" s="44" t="n">
        <f aca="false">MATCH(A50,BDC!$A$6:$A$39,0)</f>
        <v>15</v>
      </c>
      <c r="C50" s="34" t="n">
        <v>0.525</v>
      </c>
      <c r="D50" s="34" t="n">
        <v>0</v>
      </c>
      <c r="E50" s="34" t="n">
        <v>0</v>
      </c>
      <c r="F50" s="34" t="n">
        <v>0</v>
      </c>
      <c r="G50" s="34" t="n">
        <v>0</v>
      </c>
      <c r="H50" s="34" t="n">
        <v>0.3176</v>
      </c>
      <c r="I50" s="34" t="n">
        <v>0</v>
      </c>
      <c r="J50" s="34" t="n">
        <v>0</v>
      </c>
      <c r="K50" s="34" t="n">
        <v>0</v>
      </c>
      <c r="L50" s="34" t="n">
        <v>0</v>
      </c>
      <c r="M50" s="34" t="n">
        <v>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0.3179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>
        <v>0</v>
      </c>
      <c r="Y50" s="34" t="n">
        <v>0</v>
      </c>
      <c r="Z50" s="34" t="n">
        <v>0</v>
      </c>
    </row>
    <row r="51" customFormat="false" ht="15" hidden="false" customHeight="true" outlineLevel="0" collapsed="false">
      <c r="A51" s="10" t="s">
        <v>639</v>
      </c>
      <c r="B51" s="44" t="n">
        <f aca="false">MATCH(A51,BDC!$A$6:$A$39,0)</f>
        <v>9</v>
      </c>
      <c r="C51" s="34" t="n">
        <v>0</v>
      </c>
      <c r="D51" s="34" t="n">
        <v>0</v>
      </c>
      <c r="E51" s="34" t="n">
        <v>0</v>
      </c>
      <c r="F51" s="34" t="n">
        <v>0</v>
      </c>
      <c r="G51" s="34" t="n">
        <v>0.325</v>
      </c>
      <c r="H51" s="34" t="n">
        <v>0</v>
      </c>
      <c r="I51" s="34" t="n">
        <v>0</v>
      </c>
      <c r="J51" s="34" t="n">
        <v>0</v>
      </c>
      <c r="K51" s="34" t="n">
        <v>0</v>
      </c>
      <c r="L51" s="34" t="n">
        <v>0</v>
      </c>
      <c r="M51" s="34" t="n">
        <v>0</v>
      </c>
      <c r="N51" s="34" t="n">
        <v>0</v>
      </c>
      <c r="O51" s="34" t="n">
        <v>0</v>
      </c>
      <c r="P51" s="34" t="n">
        <v>0</v>
      </c>
      <c r="Q51" s="34" t="n">
        <v>0</v>
      </c>
      <c r="R51" s="34" t="n">
        <v>0.075</v>
      </c>
      <c r="S51" s="34" t="n">
        <v>0</v>
      </c>
      <c r="T51" s="34" t="n">
        <v>0.6245</v>
      </c>
      <c r="U51" s="34" t="n">
        <v>0</v>
      </c>
      <c r="V51" s="34" t="n">
        <v>0.37</v>
      </c>
      <c r="W51" s="34" t="n">
        <v>0</v>
      </c>
      <c r="X51" s="34" t="n">
        <v>0</v>
      </c>
      <c r="Y51" s="34" t="n">
        <v>0</v>
      </c>
      <c r="Z51" s="34" t="n">
        <v>0</v>
      </c>
    </row>
    <row r="52" customFormat="false" ht="15" hidden="false" customHeight="true" outlineLevel="0" collapsed="false">
      <c r="A52" s="10" t="s">
        <v>653</v>
      </c>
      <c r="B52" s="44" t="n">
        <f aca="false">MATCH(A52,BDC!$A$6:$A$39,0)</f>
        <v>23</v>
      </c>
      <c r="C52" s="34" t="n">
        <v>0</v>
      </c>
      <c r="D52" s="34" t="n">
        <v>0</v>
      </c>
      <c r="E52" s="34" t="n">
        <v>0</v>
      </c>
      <c r="F52" s="34" t="n">
        <v>0</v>
      </c>
      <c r="G52" s="34" t="n">
        <v>0</v>
      </c>
      <c r="H52" s="34" t="n"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s="34" t="n">
        <v>0</v>
      </c>
      <c r="N52" s="34" t="n">
        <v>0</v>
      </c>
      <c r="O52" s="34" t="n">
        <v>0</v>
      </c>
      <c r="P52" s="34" t="n">
        <v>0</v>
      </c>
      <c r="Q52" s="34" t="n">
        <v>0</v>
      </c>
      <c r="R52" s="34" t="n">
        <v>0</v>
      </c>
      <c r="S52" s="34" t="n">
        <v>0</v>
      </c>
      <c r="T52" s="34" t="n">
        <v>0</v>
      </c>
      <c r="U52" s="34" t="n">
        <v>0</v>
      </c>
      <c r="V52" s="34" t="n">
        <v>0</v>
      </c>
      <c r="W52" s="34" t="n">
        <v>0</v>
      </c>
      <c r="X52" s="34" t="n">
        <v>0</v>
      </c>
      <c r="Y52" s="34" t="n">
        <v>0</v>
      </c>
      <c r="Z52" s="34" t="n">
        <v>0</v>
      </c>
    </row>
    <row r="55" customFormat="false" ht="15" hidden="false" customHeight="true" outlineLevel="0" collapsed="false">
      <c r="A55" s="9" t="s">
        <v>675</v>
      </c>
      <c r="C55" s="9" t="s">
        <v>496</v>
      </c>
      <c r="D55" s="9" t="s">
        <v>499</v>
      </c>
      <c r="E55" s="9" t="s">
        <v>501</v>
      </c>
      <c r="F55" s="9" t="s">
        <v>503</v>
      </c>
      <c r="G55" s="9" t="s">
        <v>505</v>
      </c>
      <c r="H55" s="9" t="s">
        <v>507</v>
      </c>
      <c r="I55" s="9" t="s">
        <v>509</v>
      </c>
      <c r="J55" s="9" t="s">
        <v>510</v>
      </c>
      <c r="K55" s="9" t="s">
        <v>512</v>
      </c>
      <c r="L55" s="9" t="s">
        <v>514</v>
      </c>
      <c r="M55" s="9" t="s">
        <v>516</v>
      </c>
      <c r="N55" s="9" t="s">
        <v>518</v>
      </c>
      <c r="O55" s="9" t="s">
        <v>520</v>
      </c>
      <c r="P55" s="9" t="s">
        <v>522</v>
      </c>
      <c r="Q55" s="9" t="s">
        <v>525</v>
      </c>
      <c r="R55" s="9" t="s">
        <v>527</v>
      </c>
      <c r="S55" s="9" t="s">
        <v>530</v>
      </c>
      <c r="T55" s="9" t="s">
        <v>532</v>
      </c>
      <c r="U55" s="9" t="s">
        <v>534</v>
      </c>
      <c r="V55" s="9" t="s">
        <v>535</v>
      </c>
      <c r="W55" s="9" t="s">
        <v>537</v>
      </c>
      <c r="X55" s="9" t="s">
        <v>538</v>
      </c>
      <c r="Y55" s="9" t="s">
        <v>540</v>
      </c>
      <c r="Z55" s="9" t="s">
        <v>543</v>
      </c>
    </row>
    <row r="56" customFormat="false" ht="15" hidden="false" customHeight="true" outlineLevel="0" collapsed="false">
      <c r="A56" s="10" t="s">
        <v>634</v>
      </c>
      <c r="B56" s="44" t="n">
        <f aca="false">MATCH(A56,BDC!$A$6:$A$39,0)</f>
        <v>4</v>
      </c>
      <c r="C56" s="34" t="n">
        <v>0.15312</v>
      </c>
      <c r="D56" s="34" t="n">
        <v>0.15312</v>
      </c>
      <c r="E56" s="34" t="n">
        <v>0.15312</v>
      </c>
      <c r="F56" s="34" t="n">
        <v>0.15312</v>
      </c>
      <c r="G56" s="34" t="n">
        <v>0.15312</v>
      </c>
      <c r="H56" s="34" t="n">
        <v>0.15312</v>
      </c>
      <c r="I56" s="34" t="n">
        <v>0.15312</v>
      </c>
      <c r="J56" s="34" t="n">
        <v>0.15312</v>
      </c>
      <c r="K56" s="34" t="n">
        <v>0.15312</v>
      </c>
      <c r="L56" s="34" t="n">
        <v>0.15312</v>
      </c>
      <c r="M56" s="34" t="n">
        <v>0</v>
      </c>
      <c r="N56" s="34" t="n">
        <v>0</v>
      </c>
      <c r="O56" s="34" t="n">
        <v>0</v>
      </c>
      <c r="P56" s="34" t="n">
        <v>0.15312</v>
      </c>
      <c r="Q56" s="34" t="n">
        <v>0.15312</v>
      </c>
      <c r="R56" s="34" t="n">
        <v>0</v>
      </c>
      <c r="S56" s="34" t="n">
        <v>0.15312</v>
      </c>
      <c r="T56" s="34" t="n">
        <v>0.15312</v>
      </c>
      <c r="U56" s="34" t="n">
        <v>0</v>
      </c>
      <c r="V56" s="34" t="n">
        <v>0.15312</v>
      </c>
      <c r="W56" s="34" t="n">
        <v>0.15312</v>
      </c>
      <c r="X56" s="34" t="n">
        <v>0.15312</v>
      </c>
      <c r="Y56" s="34" t="n">
        <v>0.15312</v>
      </c>
      <c r="Z56" s="34" t="n">
        <v>0</v>
      </c>
    </row>
    <row r="57" customFormat="false" ht="15" hidden="false" customHeight="true" outlineLevel="0" collapsed="false">
      <c r="A57" s="10" t="s">
        <v>632</v>
      </c>
      <c r="B57" s="44" t="n">
        <f aca="false">MATCH(A57,BDC!$A$6:$A$39,0)</f>
        <v>3</v>
      </c>
      <c r="C57" s="34" t="n">
        <v>0.137025</v>
      </c>
      <c r="D57" s="34" t="n">
        <v>0.137025</v>
      </c>
      <c r="E57" s="34" t="n">
        <v>0.137025</v>
      </c>
      <c r="F57" s="34" t="n">
        <v>0.137025</v>
      </c>
      <c r="G57" s="34" t="n">
        <v>0.137025</v>
      </c>
      <c r="H57" s="34" t="n">
        <v>0.137025</v>
      </c>
      <c r="I57" s="34" t="n">
        <v>0</v>
      </c>
      <c r="J57" s="34" t="n">
        <v>0.137025</v>
      </c>
      <c r="K57" s="34" t="n">
        <v>0.137025</v>
      </c>
      <c r="L57" s="34" t="n">
        <v>0.137025</v>
      </c>
      <c r="M57" s="34" t="n">
        <v>0.137025</v>
      </c>
      <c r="N57" s="34" t="n">
        <v>0</v>
      </c>
      <c r="O57" s="34" t="n">
        <v>0</v>
      </c>
      <c r="P57" s="34" t="n">
        <v>0.137025</v>
      </c>
      <c r="Q57" s="34" t="n">
        <v>0.137025</v>
      </c>
      <c r="R57" s="34" t="n">
        <v>0.137025</v>
      </c>
      <c r="S57" s="34" t="n">
        <v>0.137025</v>
      </c>
      <c r="T57" s="34" t="n">
        <v>0.137025</v>
      </c>
      <c r="U57" s="34" t="n">
        <v>0</v>
      </c>
      <c r="V57" s="34" t="n">
        <v>0.137025</v>
      </c>
      <c r="W57" s="34" t="n">
        <v>0.137025</v>
      </c>
      <c r="X57" s="34" t="n">
        <v>0.137025</v>
      </c>
      <c r="Y57" s="34" t="n">
        <v>0.137025</v>
      </c>
      <c r="Z57" s="34" t="n">
        <v>0</v>
      </c>
    </row>
    <row r="58" customFormat="false" ht="15" hidden="false" customHeight="true" outlineLevel="0" collapsed="false">
      <c r="A58" s="10" t="s">
        <v>636</v>
      </c>
      <c r="B58" s="44" t="n">
        <f aca="false">MATCH(A58,BDC!$A$6:$A$39,0)</f>
        <v>6</v>
      </c>
      <c r="C58" s="34" t="n">
        <v>0.172417</v>
      </c>
      <c r="D58" s="34" t="n">
        <v>0.172417</v>
      </c>
      <c r="E58" s="34" t="n">
        <v>0.172417</v>
      </c>
      <c r="F58" s="34" t="n">
        <v>0.172417</v>
      </c>
      <c r="G58" s="34" t="n">
        <v>0.172417</v>
      </c>
      <c r="H58" s="34" t="n">
        <v>0.172417</v>
      </c>
      <c r="I58" s="34" t="n">
        <v>0</v>
      </c>
      <c r="J58" s="34" t="n">
        <v>0.172417</v>
      </c>
      <c r="K58" s="34" t="n">
        <v>0.172417</v>
      </c>
      <c r="L58" s="34" t="n">
        <v>0</v>
      </c>
      <c r="M58" s="34" t="n">
        <v>0.172417</v>
      </c>
      <c r="N58" s="34" t="n">
        <v>0</v>
      </c>
      <c r="O58" s="34" t="n">
        <v>0</v>
      </c>
      <c r="P58" s="34" t="n">
        <v>0.172417</v>
      </c>
      <c r="Q58" s="34" t="n">
        <v>0.172417</v>
      </c>
      <c r="R58" s="34" t="n">
        <v>0.172417</v>
      </c>
      <c r="S58" s="34" t="n">
        <v>0.172417</v>
      </c>
      <c r="T58" s="34" t="n">
        <v>0.172417</v>
      </c>
      <c r="U58" s="34" t="n">
        <v>0</v>
      </c>
      <c r="V58" s="34" t="n">
        <v>0.172417</v>
      </c>
      <c r="W58" s="34" t="n">
        <v>0.172417</v>
      </c>
      <c r="X58" s="34" t="n">
        <v>0.172417</v>
      </c>
      <c r="Y58" s="34" t="n">
        <v>0.172417</v>
      </c>
      <c r="Z58" s="34" t="n">
        <v>0</v>
      </c>
    </row>
    <row r="59" customFormat="false" ht="15" hidden="false" customHeight="true" outlineLevel="0" collapsed="false">
      <c r="A59" s="10" t="s">
        <v>656</v>
      </c>
      <c r="B59" s="44" t="n">
        <f aca="false">MATCH(A59,BDC!$A$6:$A$39,0)</f>
        <v>26</v>
      </c>
      <c r="C59" s="34" t="n">
        <v>0.051388</v>
      </c>
      <c r="D59" s="34" t="n">
        <v>0.051388</v>
      </c>
      <c r="E59" s="34" t="n">
        <v>0.051388</v>
      </c>
      <c r="F59" s="34" t="n">
        <v>0.051388</v>
      </c>
      <c r="G59" s="34" t="n">
        <v>0</v>
      </c>
      <c r="H59" s="34" t="n">
        <v>0</v>
      </c>
      <c r="I59" s="34" t="n">
        <v>0</v>
      </c>
      <c r="J59" s="34" t="n">
        <v>0</v>
      </c>
      <c r="K59" s="34" t="n">
        <v>0</v>
      </c>
      <c r="L59" s="34" t="n">
        <v>0.051388</v>
      </c>
      <c r="M59" s="34" t="n">
        <v>0</v>
      </c>
      <c r="N59" s="34" t="n">
        <v>0.051388</v>
      </c>
      <c r="O59" s="34" t="n">
        <v>0</v>
      </c>
      <c r="P59" s="34" t="n">
        <v>0</v>
      </c>
      <c r="Q59" s="34" t="n">
        <v>0</v>
      </c>
      <c r="R59" s="34" t="n">
        <v>0</v>
      </c>
      <c r="S59" s="34" t="n">
        <v>0.051388</v>
      </c>
      <c r="T59" s="34" t="n">
        <v>0.051388</v>
      </c>
      <c r="U59" s="34" t="n">
        <v>0</v>
      </c>
      <c r="V59" s="34" t="n">
        <v>0.051388</v>
      </c>
      <c r="W59" s="34" t="n">
        <v>0.051388</v>
      </c>
      <c r="X59" s="34" t="n">
        <v>0</v>
      </c>
      <c r="Y59" s="34" t="n">
        <v>0</v>
      </c>
      <c r="Z59" s="34" t="n">
        <v>0</v>
      </c>
    </row>
    <row r="60" customFormat="false" ht="15" hidden="false" customHeight="true" outlineLevel="0" collapsed="false">
      <c r="A60" s="10" t="s">
        <v>629</v>
      </c>
      <c r="B60" s="44" t="n">
        <f aca="false">MATCH(A60,BDC!$A$6:$A$39,0)</f>
        <v>1</v>
      </c>
      <c r="C60" s="34" t="n">
        <v>0.2125</v>
      </c>
      <c r="D60" s="34" t="n">
        <v>0.2125</v>
      </c>
      <c r="E60" s="34" t="n">
        <v>0.2125</v>
      </c>
      <c r="F60" s="34" t="n">
        <v>0.2125</v>
      </c>
      <c r="G60" s="34" t="n">
        <v>0.2125</v>
      </c>
      <c r="H60" s="34" t="n">
        <v>0.2125</v>
      </c>
      <c r="I60" s="34" t="n">
        <v>0.2125</v>
      </c>
      <c r="J60" s="34" t="n">
        <v>0.2125</v>
      </c>
      <c r="K60" s="34" t="n">
        <v>0.2125</v>
      </c>
      <c r="L60" s="34" t="n">
        <v>0.2125</v>
      </c>
      <c r="M60" s="34" t="n">
        <v>0.2125</v>
      </c>
      <c r="N60" s="34" t="n">
        <v>0</v>
      </c>
      <c r="O60" s="34" t="n">
        <v>0</v>
      </c>
      <c r="P60" s="34" t="n">
        <v>0.2125</v>
      </c>
      <c r="Q60" s="34" t="n">
        <v>0.2125</v>
      </c>
      <c r="R60" s="34" t="n">
        <v>0.2125</v>
      </c>
      <c r="S60" s="34" t="n">
        <v>0.2125</v>
      </c>
      <c r="T60" s="34" t="n">
        <v>0.2125</v>
      </c>
      <c r="U60" s="34" t="n">
        <v>0</v>
      </c>
      <c r="V60" s="34" t="n">
        <v>0.2125</v>
      </c>
      <c r="W60" s="34" t="n">
        <v>0.2125</v>
      </c>
      <c r="X60" s="34" t="n">
        <v>0.2125</v>
      </c>
      <c r="Y60" s="34" t="n">
        <v>0.2125</v>
      </c>
      <c r="Z60" s="34" t="n">
        <v>0</v>
      </c>
    </row>
    <row r="61" customFormat="false" ht="15" hidden="false" customHeight="true" outlineLevel="0" collapsed="false">
      <c r="A61" s="10" t="s">
        <v>640</v>
      </c>
      <c r="B61" s="44" t="n">
        <f aca="false">MATCH(A61,BDC!$A$6:$A$39,0)</f>
        <v>10</v>
      </c>
      <c r="C61" s="34" t="n">
        <v>0.115649</v>
      </c>
      <c r="D61" s="34" t="n">
        <v>0.115649</v>
      </c>
      <c r="E61" s="34" t="n">
        <v>0.115649</v>
      </c>
      <c r="F61" s="34" t="n">
        <v>0.115649</v>
      </c>
      <c r="G61" s="34" t="n">
        <v>0.115649</v>
      </c>
      <c r="H61" s="34" t="n">
        <v>0</v>
      </c>
      <c r="I61" s="34" t="n">
        <v>0</v>
      </c>
      <c r="J61" s="34" t="n">
        <v>0.115649</v>
      </c>
      <c r="K61" s="34" t="n">
        <v>0.115649</v>
      </c>
      <c r="L61" s="34" t="n">
        <v>0.115649</v>
      </c>
      <c r="M61" s="34" t="n">
        <v>0.115649</v>
      </c>
      <c r="N61" s="34" t="n">
        <v>0</v>
      </c>
      <c r="O61" s="34" t="n">
        <v>0</v>
      </c>
      <c r="P61" s="34" t="n">
        <v>0.115649</v>
      </c>
      <c r="Q61" s="34" t="n">
        <v>0</v>
      </c>
      <c r="R61" s="34" t="n">
        <v>0</v>
      </c>
      <c r="S61" s="34" t="n">
        <v>0</v>
      </c>
      <c r="T61" s="34" t="n">
        <v>0.115649</v>
      </c>
      <c r="U61" s="34" t="n">
        <v>0</v>
      </c>
      <c r="V61" s="34" t="n">
        <v>0.115649</v>
      </c>
      <c r="W61" s="34" t="n">
        <v>0.115649</v>
      </c>
      <c r="X61" s="34" t="n">
        <v>0</v>
      </c>
      <c r="Y61" s="34" t="n">
        <v>0.115649</v>
      </c>
      <c r="Z61" s="34" t="n">
        <v>0</v>
      </c>
    </row>
    <row r="62" customFormat="false" ht="15" hidden="false" customHeight="true" outlineLevel="0" collapsed="false">
      <c r="A62" s="10" t="s">
        <v>657</v>
      </c>
      <c r="B62" s="44" t="n">
        <f aca="false">MATCH(A62,BDC!$A$6:$A$39,0)</f>
        <v>27</v>
      </c>
      <c r="C62" s="34" t="n">
        <v>0.125</v>
      </c>
      <c r="D62" s="34" t="n">
        <v>0.075</v>
      </c>
      <c r="E62" s="34" t="n">
        <v>0.075</v>
      </c>
      <c r="F62" s="34" t="n">
        <v>0</v>
      </c>
      <c r="G62" s="34" t="n">
        <v>0.05</v>
      </c>
      <c r="H62" s="34" t="n">
        <v>0.075</v>
      </c>
      <c r="I62" s="34" t="n">
        <v>0</v>
      </c>
      <c r="J62" s="34" t="n">
        <v>0</v>
      </c>
      <c r="K62" s="34" t="n">
        <v>0</v>
      </c>
      <c r="L62" s="34" t="n">
        <v>0.125</v>
      </c>
      <c r="M62" s="34" t="n">
        <v>0</v>
      </c>
      <c r="N62" s="34" t="n">
        <v>0</v>
      </c>
      <c r="O62" s="34" t="n">
        <v>0</v>
      </c>
      <c r="P62" s="34" t="n">
        <v>0.075</v>
      </c>
      <c r="Q62" s="34" t="n">
        <v>0.075</v>
      </c>
      <c r="R62" s="34" t="n">
        <v>0.075</v>
      </c>
      <c r="S62" s="34" t="n">
        <v>0</v>
      </c>
      <c r="T62" s="34" t="n">
        <v>0</v>
      </c>
      <c r="U62" s="34" t="n">
        <v>0</v>
      </c>
      <c r="V62" s="34" t="n">
        <v>0.037376</v>
      </c>
      <c r="W62" s="34" t="n">
        <v>0</v>
      </c>
      <c r="X62" s="34" t="n">
        <v>0</v>
      </c>
      <c r="Y62" s="34" t="n">
        <v>0</v>
      </c>
      <c r="Z62" s="34" t="n">
        <v>0</v>
      </c>
    </row>
    <row r="63" customFormat="false" ht="15" hidden="false" customHeight="true" outlineLevel="0" collapsed="false">
      <c r="A63" s="10" t="s">
        <v>641</v>
      </c>
      <c r="B63" s="44" t="n">
        <f aca="false">MATCH(A63,BDC!$A$6:$A$39,0)</f>
        <v>11</v>
      </c>
      <c r="C63" s="34" t="n">
        <v>0.275862</v>
      </c>
      <c r="D63" s="34" t="n">
        <v>0.301724</v>
      </c>
      <c r="E63" s="34" t="n">
        <v>0.12931</v>
      </c>
      <c r="F63" s="34" t="n">
        <v>0</v>
      </c>
      <c r="G63" s="34" t="n">
        <v>0.107759</v>
      </c>
      <c r="H63" s="34" t="n">
        <v>0.086207</v>
      </c>
      <c r="I63" s="34" t="n">
        <v>0</v>
      </c>
      <c r="J63" s="34" t="n">
        <v>0.043103</v>
      </c>
      <c r="K63" s="34" t="n">
        <v>0.258621</v>
      </c>
      <c r="L63" s="34" t="n">
        <v>0.12931</v>
      </c>
      <c r="M63" s="34" t="n">
        <v>0</v>
      </c>
      <c r="N63" s="34" t="n">
        <v>0</v>
      </c>
      <c r="O63" s="34" t="n">
        <v>0</v>
      </c>
      <c r="P63" s="34" t="n">
        <v>0.086207</v>
      </c>
      <c r="Q63" s="34" t="n">
        <v>0.172414</v>
      </c>
      <c r="R63" s="34" t="n">
        <v>0</v>
      </c>
      <c r="S63" s="34" t="n">
        <v>0.086207</v>
      </c>
      <c r="T63" s="34" t="n">
        <v>0.086207</v>
      </c>
      <c r="U63" s="34" t="n">
        <v>0.12931</v>
      </c>
      <c r="V63" s="34" t="n">
        <v>0.258621</v>
      </c>
      <c r="W63" s="34" t="n">
        <v>0.293103</v>
      </c>
      <c r="X63" s="34" t="n">
        <v>0.193966</v>
      </c>
      <c r="Y63" s="34" t="n">
        <v>0.172414</v>
      </c>
      <c r="Z63" s="34" t="n">
        <v>0</v>
      </c>
    </row>
    <row r="64" customFormat="false" ht="15" hidden="false" customHeight="true" outlineLevel="0" collapsed="false">
      <c r="A64" s="10" t="s">
        <v>644</v>
      </c>
      <c r="B64" s="44" t="n">
        <f aca="false">MATCH(A64,BDC!$A$6:$A$39,0)</f>
        <v>14</v>
      </c>
      <c r="C64" s="34" t="n">
        <v>0.110972</v>
      </c>
      <c r="D64" s="34" t="n">
        <v>0</v>
      </c>
      <c r="E64" s="34" t="n">
        <v>0</v>
      </c>
      <c r="F64" s="34" t="n">
        <v>0.110972</v>
      </c>
      <c r="G64" s="34" t="n">
        <v>0.110972</v>
      </c>
      <c r="H64" s="34" t="n">
        <v>0.110972</v>
      </c>
      <c r="I64" s="34" t="n">
        <v>0</v>
      </c>
      <c r="J64" s="34" t="n">
        <v>0.110972</v>
      </c>
      <c r="K64" s="34" t="n">
        <v>0.110972</v>
      </c>
      <c r="L64" s="34" t="n">
        <v>0</v>
      </c>
      <c r="M64" s="34" t="n">
        <v>0</v>
      </c>
      <c r="N64" s="34" t="n">
        <v>0</v>
      </c>
      <c r="O64" s="34" t="n">
        <v>0</v>
      </c>
      <c r="P64" s="34" t="n">
        <v>0</v>
      </c>
      <c r="Q64" s="34" t="n">
        <v>0</v>
      </c>
      <c r="R64" s="34" t="n">
        <v>0</v>
      </c>
      <c r="S64" s="34" t="n">
        <v>0.110972</v>
      </c>
      <c r="T64" s="34" t="n">
        <v>0.110972</v>
      </c>
      <c r="U64" s="34" t="n">
        <v>0</v>
      </c>
      <c r="V64" s="34" t="n">
        <v>0.110972</v>
      </c>
      <c r="W64" s="34" t="n">
        <v>0.110972</v>
      </c>
      <c r="X64" s="34" t="n">
        <v>0</v>
      </c>
      <c r="Y64" s="34" t="n">
        <v>0.110972</v>
      </c>
      <c r="Z64" s="34" t="n">
        <v>0</v>
      </c>
    </row>
    <row r="65" customFormat="false" ht="15" hidden="false" customHeight="true" outlineLevel="0" collapsed="false">
      <c r="A65" s="10" t="s">
        <v>654</v>
      </c>
      <c r="B65" s="44" t="n">
        <f aca="false">MATCH(A65,BDC!$A$6:$A$39,0)</f>
        <v>24</v>
      </c>
      <c r="C65" s="34" t="n">
        <v>0</v>
      </c>
      <c r="D65" s="34" t="n">
        <v>0.122917</v>
      </c>
      <c r="E65" s="34" t="n">
        <v>0</v>
      </c>
      <c r="F65" s="34" t="n">
        <v>0</v>
      </c>
      <c r="G65" s="34" t="n">
        <v>0</v>
      </c>
      <c r="H65" s="34" t="n">
        <v>0.122917</v>
      </c>
      <c r="I65" s="34" t="n">
        <v>0</v>
      </c>
      <c r="J65" s="34" t="n">
        <v>0</v>
      </c>
      <c r="K65" s="34" t="n">
        <v>0.122917</v>
      </c>
      <c r="L65" s="34" t="n">
        <v>0.122917</v>
      </c>
      <c r="M65" s="34" t="n">
        <v>0</v>
      </c>
      <c r="N65" s="34" t="n">
        <v>0</v>
      </c>
      <c r="O65" s="34" t="n">
        <v>0</v>
      </c>
      <c r="P65" s="34" t="n">
        <v>0.122917</v>
      </c>
      <c r="Q65" s="34" t="n">
        <v>0.122917</v>
      </c>
      <c r="R65" s="34" t="n">
        <v>0</v>
      </c>
      <c r="S65" s="34" t="n">
        <v>0.122917</v>
      </c>
      <c r="T65" s="34" t="n">
        <v>0</v>
      </c>
      <c r="U65" s="34" t="n">
        <v>0</v>
      </c>
      <c r="V65" s="34" t="n">
        <v>0.122917</v>
      </c>
      <c r="W65" s="34" t="n">
        <v>0.122917</v>
      </c>
      <c r="X65" s="34" t="n">
        <v>0</v>
      </c>
      <c r="Y65" s="34" t="n">
        <v>0</v>
      </c>
      <c r="Z65" s="34" t="n">
        <v>0</v>
      </c>
    </row>
    <row r="66" customFormat="false" ht="15" hidden="false" customHeight="true" outlineLevel="0" collapsed="false">
      <c r="A66" s="10" t="s">
        <v>635</v>
      </c>
      <c r="B66" s="44" t="n">
        <f aca="false">MATCH(A66,BDC!$A$6:$A$39,0)</f>
        <v>5</v>
      </c>
      <c r="C66" s="34" t="n">
        <v>0.12619</v>
      </c>
      <c r="D66" s="34" t="n">
        <v>0.12619</v>
      </c>
      <c r="E66" s="34" t="n">
        <v>0.12619</v>
      </c>
      <c r="F66" s="34" t="n">
        <v>0.12619</v>
      </c>
      <c r="G66" s="34" t="n">
        <v>0.12619</v>
      </c>
      <c r="H66" s="34" t="n">
        <v>0.12619</v>
      </c>
      <c r="I66" s="34" t="n">
        <v>0</v>
      </c>
      <c r="J66" s="34" t="n">
        <v>0.12619</v>
      </c>
      <c r="K66" s="34" t="n">
        <v>0.12619</v>
      </c>
      <c r="L66" s="34" t="n">
        <v>0</v>
      </c>
      <c r="M66" s="34" t="n">
        <v>0.12619</v>
      </c>
      <c r="N66" s="34" t="n">
        <v>0</v>
      </c>
      <c r="O66" s="34" t="n">
        <v>0</v>
      </c>
      <c r="P66" s="34" t="n">
        <v>0.12619</v>
      </c>
      <c r="Q66" s="34" t="n">
        <v>0</v>
      </c>
      <c r="R66" s="34" t="n">
        <v>0.12619</v>
      </c>
      <c r="S66" s="34" t="n">
        <v>0.12619</v>
      </c>
      <c r="T66" s="34" t="n">
        <v>0.12619</v>
      </c>
      <c r="U66" s="34" t="n">
        <v>0</v>
      </c>
      <c r="V66" s="34" t="n">
        <v>0.12619</v>
      </c>
      <c r="W66" s="34" t="n">
        <v>0.12619</v>
      </c>
      <c r="X66" s="34" t="n">
        <v>0</v>
      </c>
      <c r="Y66" s="34" t="n">
        <v>0.12619</v>
      </c>
      <c r="Z66" s="34" t="n">
        <v>0</v>
      </c>
    </row>
    <row r="67" customFormat="false" ht="15" hidden="false" customHeight="true" outlineLevel="0" collapsed="false">
      <c r="A67" s="10" t="s">
        <v>651</v>
      </c>
      <c r="B67" s="44" t="n">
        <f aca="false">MATCH(A67,BDC!$A$6:$A$39,0)</f>
        <v>21</v>
      </c>
      <c r="C67" s="34" t="n">
        <v>0</v>
      </c>
      <c r="D67" s="34" t="n">
        <v>0</v>
      </c>
      <c r="E67" s="34" t="n">
        <v>0</v>
      </c>
      <c r="F67" s="34" t="n">
        <v>0</v>
      </c>
      <c r="G67" s="34" t="n">
        <v>0</v>
      </c>
      <c r="H67" s="34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s="34" t="n">
        <v>0</v>
      </c>
      <c r="N67" s="34" t="n">
        <v>0</v>
      </c>
      <c r="O67" s="34" t="n">
        <v>0</v>
      </c>
      <c r="P67" s="34" t="n">
        <v>0</v>
      </c>
      <c r="Q67" s="34" t="n">
        <v>0</v>
      </c>
      <c r="R67" s="34" t="n">
        <v>0</v>
      </c>
      <c r="S67" s="34" t="n">
        <v>0</v>
      </c>
      <c r="T67" s="34" t="n">
        <v>0</v>
      </c>
      <c r="U67" s="34" t="n">
        <v>0</v>
      </c>
      <c r="V67" s="34" t="n">
        <v>0</v>
      </c>
      <c r="W67" s="34" t="n">
        <v>0</v>
      </c>
      <c r="X67" s="34" t="n">
        <v>0</v>
      </c>
      <c r="Y67" s="34" t="n">
        <v>0</v>
      </c>
      <c r="Z67" s="34" t="n">
        <v>0</v>
      </c>
    </row>
    <row r="68" customFormat="false" ht="15" hidden="false" customHeight="true" outlineLevel="0" collapsed="false">
      <c r="A68" s="10" t="s">
        <v>648</v>
      </c>
      <c r="B68" s="44" t="n">
        <f aca="false">MATCH(A68,BDC!$A$6:$A$39,0)</f>
        <v>18</v>
      </c>
      <c r="C68" s="34" t="n">
        <v>0</v>
      </c>
      <c r="D68" s="34" t="n">
        <v>0</v>
      </c>
      <c r="E68" s="34" t="n">
        <v>0</v>
      </c>
      <c r="F68" s="34" t="n">
        <v>0</v>
      </c>
      <c r="G68" s="34" t="n">
        <v>0</v>
      </c>
      <c r="H68" s="34" t="n">
        <v>0</v>
      </c>
      <c r="I68" s="34" t="n">
        <v>0</v>
      </c>
      <c r="J68" s="34" t="n">
        <v>0</v>
      </c>
      <c r="K68" s="34" t="n">
        <v>0.1625</v>
      </c>
      <c r="L68" s="34" t="n">
        <v>0</v>
      </c>
      <c r="M68" s="34" t="n">
        <v>0</v>
      </c>
      <c r="N68" s="34" t="n">
        <v>0.05</v>
      </c>
      <c r="O68" s="34" t="n">
        <v>0</v>
      </c>
      <c r="P68" s="34" t="n">
        <v>0</v>
      </c>
      <c r="Q68" s="34" t="n">
        <v>0</v>
      </c>
      <c r="R68" s="34" t="n">
        <v>0</v>
      </c>
      <c r="S68" s="34" t="n">
        <v>0</v>
      </c>
      <c r="T68" s="34" t="n">
        <v>0</v>
      </c>
      <c r="U68" s="34" t="n">
        <v>0</v>
      </c>
      <c r="V68" s="34" t="n">
        <v>0</v>
      </c>
      <c r="W68" s="34" t="n">
        <v>0.1</v>
      </c>
      <c r="X68" s="34" t="n">
        <v>0</v>
      </c>
      <c r="Y68" s="34" t="n">
        <v>0.13</v>
      </c>
      <c r="Z68" s="34" t="n">
        <v>0</v>
      </c>
    </row>
    <row r="69" customFormat="false" ht="15" hidden="false" customHeight="true" outlineLevel="0" collapsed="false">
      <c r="A69" s="10" t="s">
        <v>652</v>
      </c>
      <c r="B69" s="44" t="n">
        <f aca="false">MATCH(A69,BDC!$A$6:$A$39,0)</f>
        <v>22</v>
      </c>
      <c r="C69" s="34" t="n">
        <v>0.111538</v>
      </c>
      <c r="D69" s="34" t="n">
        <v>0</v>
      </c>
      <c r="E69" s="34" t="n">
        <v>0</v>
      </c>
      <c r="F69" s="34" t="n">
        <v>0.111538</v>
      </c>
      <c r="G69" s="34" t="n">
        <v>0</v>
      </c>
      <c r="H69" s="34" t="n">
        <v>0</v>
      </c>
      <c r="I69" s="34" t="n">
        <v>0</v>
      </c>
      <c r="J69" s="34" t="n">
        <v>0</v>
      </c>
      <c r="K69" s="34" t="n">
        <v>0.111538</v>
      </c>
      <c r="L69" s="34" t="n">
        <v>0.111538</v>
      </c>
      <c r="M69" s="34" t="n">
        <v>0</v>
      </c>
      <c r="N69" s="34" t="n">
        <v>0</v>
      </c>
      <c r="O69" s="34" t="n">
        <v>0</v>
      </c>
      <c r="P69" s="34" t="n">
        <v>0</v>
      </c>
      <c r="Q69" s="34" t="n">
        <v>0</v>
      </c>
      <c r="R69" s="34" t="n">
        <v>0</v>
      </c>
      <c r="S69" s="34" t="n">
        <v>0.111538</v>
      </c>
      <c r="T69" s="34" t="n">
        <v>0</v>
      </c>
      <c r="U69" s="34" t="n">
        <v>0</v>
      </c>
      <c r="V69" s="34" t="n">
        <v>0.111538</v>
      </c>
      <c r="W69" s="34" t="n">
        <v>0.111538</v>
      </c>
      <c r="X69" s="34" t="n">
        <v>0</v>
      </c>
      <c r="Y69" s="34" t="n">
        <v>0.111538</v>
      </c>
      <c r="Z69" s="34" t="n">
        <v>0</v>
      </c>
    </row>
    <row r="70" customFormat="false" ht="15" hidden="false" customHeight="true" outlineLevel="0" collapsed="false">
      <c r="A70" s="10" t="s">
        <v>647</v>
      </c>
      <c r="B70" s="44" t="n">
        <f aca="false">MATCH(A70,BDC!$A$6:$A$39,0)</f>
        <v>17</v>
      </c>
      <c r="C70" s="34" t="n">
        <v>0.05</v>
      </c>
      <c r="D70" s="34" t="n">
        <v>0</v>
      </c>
      <c r="E70" s="34" t="n">
        <v>0</v>
      </c>
      <c r="F70" s="34" t="n">
        <v>0.1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0.2</v>
      </c>
      <c r="L70" s="34" t="n">
        <v>0.1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0.125</v>
      </c>
      <c r="T70" s="34" t="n">
        <v>0</v>
      </c>
      <c r="U70" s="34" t="n">
        <v>0</v>
      </c>
      <c r="V70" s="34" t="n">
        <v>0.2</v>
      </c>
      <c r="W70" s="34" t="n">
        <v>0.2</v>
      </c>
      <c r="X70" s="34" t="n">
        <v>0</v>
      </c>
      <c r="Y70" s="34" t="n">
        <v>0.1</v>
      </c>
      <c r="Z70" s="34" t="n">
        <v>0</v>
      </c>
    </row>
    <row r="71" customFormat="false" ht="15" hidden="false" customHeight="true" outlineLevel="0" collapsed="false">
      <c r="A71" s="10" t="s">
        <v>659</v>
      </c>
      <c r="B71" s="44" t="n">
        <f aca="false">MATCH(A71,BDC!$A$6:$A$39,0)</f>
        <v>29</v>
      </c>
      <c r="C71" s="34" t="n">
        <v>0</v>
      </c>
      <c r="D71" s="34" t="n">
        <v>0</v>
      </c>
      <c r="E71" s="34" t="n">
        <v>0</v>
      </c>
      <c r="F71" s="34" t="n">
        <v>0</v>
      </c>
      <c r="G71" s="34" t="n">
        <v>0</v>
      </c>
      <c r="H71" s="34" t="n">
        <v>0</v>
      </c>
      <c r="I71" s="34" t="n">
        <v>0</v>
      </c>
      <c r="J71" s="34" t="n">
        <v>0</v>
      </c>
      <c r="K71" s="34" t="n">
        <v>0</v>
      </c>
      <c r="L71" s="34" t="n">
        <v>0</v>
      </c>
      <c r="M71" s="34" t="n">
        <v>0</v>
      </c>
      <c r="N71" s="34" t="n">
        <v>0</v>
      </c>
      <c r="O71" s="34" t="n">
        <v>0</v>
      </c>
      <c r="P71" s="34" t="n">
        <v>0</v>
      </c>
      <c r="Q71" s="34" t="n">
        <v>0</v>
      </c>
      <c r="R71" s="34" t="n">
        <v>0</v>
      </c>
      <c r="S71" s="34" t="n">
        <v>0</v>
      </c>
      <c r="T71" s="34" t="n">
        <v>0</v>
      </c>
      <c r="U71" s="34" t="n">
        <v>0</v>
      </c>
      <c r="V71" s="34" t="n">
        <v>0</v>
      </c>
      <c r="W71" s="34" t="n">
        <v>0</v>
      </c>
      <c r="X71" s="34" t="n">
        <v>0</v>
      </c>
      <c r="Y71" s="34" t="n">
        <v>0</v>
      </c>
      <c r="Z71" s="34" t="n">
        <v>0</v>
      </c>
    </row>
    <row r="72" customFormat="false" ht="15" hidden="false" customHeight="true" outlineLevel="0" collapsed="false">
      <c r="A72" s="10" t="s">
        <v>638</v>
      </c>
      <c r="B72" s="44" t="n">
        <f aca="false">MATCH(A72,BDC!$A$6:$A$39,0)</f>
        <v>8</v>
      </c>
      <c r="C72" s="34" t="n">
        <v>0.16</v>
      </c>
      <c r="D72" s="34" t="n">
        <v>0.16</v>
      </c>
      <c r="E72" s="34" t="n">
        <v>0</v>
      </c>
      <c r="F72" s="34" t="n">
        <v>0.16</v>
      </c>
      <c r="G72" s="34" t="n">
        <v>0.16</v>
      </c>
      <c r="H72" s="34" t="n">
        <v>0.16</v>
      </c>
      <c r="I72" s="34" t="n">
        <v>0</v>
      </c>
      <c r="J72" s="34" t="n">
        <v>0.16</v>
      </c>
      <c r="K72" s="34" t="n">
        <v>0.16</v>
      </c>
      <c r="L72" s="34" t="n">
        <v>0.16</v>
      </c>
      <c r="M72" s="34" t="n">
        <v>0</v>
      </c>
      <c r="N72" s="34" t="n">
        <v>0</v>
      </c>
      <c r="O72" s="34" t="n">
        <v>0</v>
      </c>
      <c r="P72" s="34" t="n">
        <v>0</v>
      </c>
      <c r="Q72" s="34" t="n">
        <v>0</v>
      </c>
      <c r="R72" s="34" t="n">
        <v>0.16</v>
      </c>
      <c r="S72" s="34" t="n">
        <v>0</v>
      </c>
      <c r="T72" s="34" t="n">
        <v>0.16</v>
      </c>
      <c r="U72" s="34" t="n">
        <v>0</v>
      </c>
      <c r="V72" s="34" t="n">
        <v>0.16</v>
      </c>
      <c r="W72" s="34" t="n">
        <v>0.16</v>
      </c>
      <c r="X72" s="34" t="n">
        <v>0.16</v>
      </c>
      <c r="Y72" s="34" t="n">
        <v>0.32</v>
      </c>
      <c r="Z72" s="34" t="n">
        <v>0</v>
      </c>
    </row>
    <row r="73" customFormat="false" ht="15" hidden="false" customHeight="true" outlineLevel="0" collapsed="false">
      <c r="A73" s="10" t="s">
        <v>631</v>
      </c>
      <c r="B73" s="44" t="n">
        <f aca="false">MATCH(A73,BDC!$A$6:$A$39,0)</f>
        <v>2</v>
      </c>
      <c r="C73" s="34" t="n">
        <v>0.169565</v>
      </c>
      <c r="D73" s="34" t="n">
        <v>0.169565</v>
      </c>
      <c r="E73" s="34" t="n">
        <v>0.169565</v>
      </c>
      <c r="F73" s="34" t="n">
        <v>0.169565</v>
      </c>
      <c r="G73" s="34" t="n">
        <v>0.169565</v>
      </c>
      <c r="H73" s="34" t="n">
        <v>0.169565</v>
      </c>
      <c r="I73" s="34" t="n">
        <v>0</v>
      </c>
      <c r="J73" s="34" t="n">
        <v>0.169565</v>
      </c>
      <c r="K73" s="34" t="n">
        <v>0</v>
      </c>
      <c r="L73" s="34" t="n">
        <v>0.169565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0.169565</v>
      </c>
      <c r="R73" s="34" t="n">
        <v>0.169565</v>
      </c>
      <c r="S73" s="34" t="n">
        <v>0.169565</v>
      </c>
      <c r="T73" s="34" t="n">
        <v>0</v>
      </c>
      <c r="U73" s="34" t="n">
        <v>0</v>
      </c>
      <c r="V73" s="34" t="n">
        <v>0.169565</v>
      </c>
      <c r="W73" s="34" t="n">
        <v>0.169565</v>
      </c>
      <c r="X73" s="34" t="n">
        <v>0.169565</v>
      </c>
      <c r="Y73" s="34" t="n">
        <v>0.169565</v>
      </c>
      <c r="Z73" s="34" t="n">
        <v>0</v>
      </c>
    </row>
    <row r="74" customFormat="false" ht="15" hidden="false" customHeight="true" outlineLevel="0" collapsed="false">
      <c r="A74" s="10" t="s">
        <v>655</v>
      </c>
      <c r="B74" s="44" t="n">
        <f aca="false">MATCH(A74,BDC!$A$6:$A$39,0)</f>
        <v>25</v>
      </c>
      <c r="C74" s="34" t="n">
        <v>0.061053</v>
      </c>
      <c r="D74" s="34" t="n">
        <v>0.061053</v>
      </c>
      <c r="E74" s="34" t="n">
        <v>0.061053</v>
      </c>
      <c r="F74" s="34" t="n">
        <v>0.061053</v>
      </c>
      <c r="G74" s="34" t="n">
        <v>0.061053</v>
      </c>
      <c r="H74" s="34" t="n">
        <v>0.061053</v>
      </c>
      <c r="I74" s="34" t="n">
        <v>0</v>
      </c>
      <c r="J74" s="34" t="n">
        <v>0</v>
      </c>
      <c r="K74" s="34" t="n">
        <v>0</v>
      </c>
      <c r="L74" s="34" t="n">
        <v>0.061053</v>
      </c>
      <c r="M74" s="34" t="n">
        <v>0</v>
      </c>
      <c r="N74" s="34" t="n">
        <v>0.061053</v>
      </c>
      <c r="O74" s="34" t="n">
        <v>0</v>
      </c>
      <c r="P74" s="34" t="n">
        <v>0.061053</v>
      </c>
      <c r="Q74" s="34" t="n">
        <v>0</v>
      </c>
      <c r="R74" s="34" t="n">
        <v>0.061053</v>
      </c>
      <c r="S74" s="34" t="n">
        <v>0.061053</v>
      </c>
      <c r="T74" s="34" t="n">
        <v>0</v>
      </c>
      <c r="U74" s="34" t="n">
        <v>0</v>
      </c>
      <c r="V74" s="34" t="n">
        <v>0.061053</v>
      </c>
      <c r="W74" s="34" t="n">
        <v>0.061053</v>
      </c>
      <c r="X74" s="34" t="n">
        <v>0</v>
      </c>
      <c r="Y74" s="34" t="n">
        <v>0.122106</v>
      </c>
      <c r="Z74" s="34" t="n">
        <v>0</v>
      </c>
    </row>
    <row r="75" customFormat="false" ht="15" hidden="false" customHeight="true" outlineLevel="0" collapsed="false">
      <c r="A75" s="10" t="s">
        <v>645</v>
      </c>
      <c r="B75" s="44" t="n">
        <f aca="false">MATCH(A75,BDC!$A$6:$A$39,0)</f>
        <v>15</v>
      </c>
      <c r="C75" s="34" t="n">
        <v>0.1</v>
      </c>
      <c r="D75" s="34" t="n">
        <v>0</v>
      </c>
      <c r="E75" s="34" t="n">
        <v>0</v>
      </c>
      <c r="F75" s="34" t="n">
        <v>0</v>
      </c>
      <c r="G75" s="34" t="n">
        <v>0</v>
      </c>
      <c r="H75" s="34" t="n">
        <v>0.025</v>
      </c>
      <c r="I75" s="34" t="n">
        <v>0.15</v>
      </c>
      <c r="J75" s="34" t="n">
        <v>0.075</v>
      </c>
      <c r="K75" s="34" t="n">
        <v>0</v>
      </c>
      <c r="L75" s="34" t="n">
        <v>0</v>
      </c>
      <c r="M75" s="34" t="n">
        <v>0</v>
      </c>
      <c r="N75" s="34" t="n">
        <v>0</v>
      </c>
      <c r="O75" s="34" t="n">
        <v>0</v>
      </c>
      <c r="P75" s="34" t="n">
        <v>0.025</v>
      </c>
      <c r="Q75" s="34" t="n">
        <v>0</v>
      </c>
      <c r="R75" s="34" t="n">
        <v>0</v>
      </c>
      <c r="S75" s="34" t="n">
        <v>0.05</v>
      </c>
      <c r="T75" s="34" t="n">
        <v>0</v>
      </c>
      <c r="U75" s="34" t="n">
        <v>0</v>
      </c>
      <c r="V75" s="34" t="n">
        <v>0</v>
      </c>
      <c r="W75" s="34" t="n">
        <v>0</v>
      </c>
      <c r="X75" s="34" t="n">
        <v>0</v>
      </c>
      <c r="Y75" s="34" t="n">
        <v>0.05</v>
      </c>
      <c r="Z75" s="34" t="n">
        <v>0</v>
      </c>
    </row>
    <row r="76" customFormat="false" ht="15" hidden="false" customHeight="true" outlineLevel="0" collapsed="false">
      <c r="A76" s="10" t="s">
        <v>639</v>
      </c>
      <c r="B76" s="44" t="n">
        <f aca="false">MATCH(A76,BDC!$A$6:$A$39,0)</f>
        <v>9</v>
      </c>
      <c r="C76" s="34" t="n">
        <v>0.191071</v>
      </c>
      <c r="D76" s="34" t="n">
        <v>0.191071</v>
      </c>
      <c r="E76" s="34" t="n">
        <v>0</v>
      </c>
      <c r="F76" s="34" t="n">
        <v>0</v>
      </c>
      <c r="G76" s="34" t="n">
        <v>0.191071</v>
      </c>
      <c r="H76" s="34" t="n">
        <v>0</v>
      </c>
      <c r="I76" s="34" t="n">
        <v>0</v>
      </c>
      <c r="J76" s="34" t="n">
        <v>0</v>
      </c>
      <c r="K76" s="34" t="n">
        <v>0.191071</v>
      </c>
      <c r="L76" s="34" t="n">
        <v>0.191071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</v>
      </c>
      <c r="R76" s="34" t="n">
        <v>0</v>
      </c>
      <c r="S76" s="34" t="n">
        <v>0</v>
      </c>
      <c r="T76" s="34" t="n">
        <v>0.191071</v>
      </c>
      <c r="U76" s="34" t="n">
        <v>0</v>
      </c>
      <c r="V76" s="34" t="n">
        <v>0.191071</v>
      </c>
      <c r="W76" s="34" t="n">
        <v>0.191071</v>
      </c>
      <c r="X76" s="34" t="n">
        <v>0.191071</v>
      </c>
      <c r="Y76" s="34" t="n">
        <v>0.191071</v>
      </c>
      <c r="Z76" s="34" t="n">
        <v>0</v>
      </c>
    </row>
    <row r="77" customFormat="false" ht="15" hidden="false" customHeight="true" outlineLevel="0" collapsed="false">
      <c r="A77" s="10" t="s">
        <v>653</v>
      </c>
      <c r="B77" s="44" t="n">
        <f aca="false">MATCH(A77,BDC!$A$6:$A$39,0)</f>
        <v>23</v>
      </c>
      <c r="C77" s="34" t="n">
        <v>0.080263</v>
      </c>
      <c r="D77" s="34" t="n">
        <v>0.080263</v>
      </c>
      <c r="E77" s="34" t="n">
        <v>0.080263</v>
      </c>
      <c r="F77" s="34" t="n">
        <v>0.080263</v>
      </c>
      <c r="G77" s="34" t="n">
        <v>0.080263</v>
      </c>
      <c r="H77" s="34" t="n">
        <v>0.080263</v>
      </c>
      <c r="I77" s="34" t="n">
        <v>0</v>
      </c>
      <c r="J77" s="34" t="n">
        <v>0</v>
      </c>
      <c r="K77" s="34" t="n">
        <v>0.080263</v>
      </c>
      <c r="L77" s="34" t="n">
        <v>0.080263</v>
      </c>
      <c r="M77" s="34" t="n">
        <v>0</v>
      </c>
      <c r="N77" s="34" t="n">
        <v>0.080263</v>
      </c>
      <c r="O77" s="34" t="n">
        <v>0.080263</v>
      </c>
      <c r="P77" s="34" t="n">
        <v>0</v>
      </c>
      <c r="Q77" s="34" t="n">
        <v>0.080263</v>
      </c>
      <c r="R77" s="34" t="n">
        <v>0</v>
      </c>
      <c r="S77" s="34" t="n">
        <v>0</v>
      </c>
      <c r="T77" s="34" t="n">
        <v>0</v>
      </c>
      <c r="U77" s="34" t="n">
        <v>0</v>
      </c>
      <c r="V77" s="34" t="n">
        <v>0.080263</v>
      </c>
      <c r="W77" s="34" t="n">
        <v>0.080263</v>
      </c>
      <c r="X77" s="34" t="n">
        <v>0.080263</v>
      </c>
      <c r="Y77" s="34" t="n">
        <v>0.080263</v>
      </c>
      <c r="Z77" s="34" t="n">
        <v>0</v>
      </c>
    </row>
    <row r="80" customFormat="false" ht="15" hidden="false" customHeight="true" outlineLevel="0" collapsed="false">
      <c r="A80" s="9" t="s">
        <v>676</v>
      </c>
      <c r="C80" s="9" t="s">
        <v>496</v>
      </c>
      <c r="D80" s="9" t="s">
        <v>499</v>
      </c>
      <c r="E80" s="9" t="s">
        <v>501</v>
      </c>
      <c r="F80" s="9" t="s">
        <v>503</v>
      </c>
      <c r="G80" s="9" t="s">
        <v>505</v>
      </c>
      <c r="H80" s="9" t="s">
        <v>507</v>
      </c>
      <c r="I80" s="9" t="s">
        <v>509</v>
      </c>
      <c r="J80" s="9" t="s">
        <v>510</v>
      </c>
      <c r="K80" s="9" t="s">
        <v>512</v>
      </c>
      <c r="L80" s="9" t="s">
        <v>514</v>
      </c>
      <c r="M80" s="9" t="s">
        <v>516</v>
      </c>
      <c r="N80" s="9" t="s">
        <v>518</v>
      </c>
      <c r="O80" s="9" t="s">
        <v>520</v>
      </c>
      <c r="P80" s="9" t="s">
        <v>522</v>
      </c>
      <c r="Q80" s="9" t="s">
        <v>525</v>
      </c>
      <c r="R80" s="9" t="s">
        <v>527</v>
      </c>
      <c r="S80" s="9" t="s">
        <v>530</v>
      </c>
      <c r="T80" s="9" t="s">
        <v>532</v>
      </c>
      <c r="U80" s="9" t="s">
        <v>534</v>
      </c>
      <c r="V80" s="9" t="s">
        <v>535</v>
      </c>
      <c r="W80" s="9" t="s">
        <v>537</v>
      </c>
      <c r="X80" s="9" t="s">
        <v>538</v>
      </c>
      <c r="Y80" s="9" t="s">
        <v>540</v>
      </c>
      <c r="Z80" s="9" t="s">
        <v>543</v>
      </c>
    </row>
    <row r="81" customFormat="false" ht="15" hidden="false" customHeight="true" outlineLevel="0" collapsed="false">
      <c r="A81" s="10" t="s">
        <v>634</v>
      </c>
      <c r="B81" s="44" t="n">
        <f aca="false">MATCH(A81,BDC!$A$6:$A$39,0)</f>
        <v>4</v>
      </c>
      <c r="C81" s="34" t="n">
        <v>0</v>
      </c>
      <c r="D81" s="34" t="n">
        <v>0</v>
      </c>
      <c r="E81" s="34" t="n">
        <v>0</v>
      </c>
      <c r="F81" s="34" t="n">
        <v>0</v>
      </c>
      <c r="G81" s="34" t="n">
        <v>0</v>
      </c>
      <c r="H81" s="34" t="n">
        <v>0</v>
      </c>
      <c r="I81" s="34" t="n">
        <v>0</v>
      </c>
      <c r="J81" s="34" t="n">
        <v>0</v>
      </c>
      <c r="K81" s="34" t="n">
        <v>0</v>
      </c>
      <c r="L81" s="34" t="n">
        <v>0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</v>
      </c>
      <c r="R81" s="34" t="n">
        <v>0</v>
      </c>
      <c r="S81" s="34" t="n">
        <v>0</v>
      </c>
      <c r="T81" s="34" t="n">
        <v>0</v>
      </c>
      <c r="U81" s="34" t="n">
        <v>0</v>
      </c>
      <c r="V81" s="34" t="n">
        <v>0</v>
      </c>
      <c r="W81" s="34" t="n">
        <v>0</v>
      </c>
      <c r="X81" s="34" t="n">
        <v>0</v>
      </c>
      <c r="Y81" s="34" t="n">
        <v>0</v>
      </c>
      <c r="Z81" s="34" t="n">
        <v>0</v>
      </c>
    </row>
    <row r="82" customFormat="false" ht="15" hidden="false" customHeight="true" outlineLevel="0" collapsed="false">
      <c r="A82" s="10" t="s">
        <v>632</v>
      </c>
      <c r="B82" s="44" t="n">
        <f aca="false">MATCH(A82,BDC!$A$6:$A$39,0)</f>
        <v>3</v>
      </c>
      <c r="C82" s="34" t="n">
        <v>0.03915</v>
      </c>
      <c r="D82" s="34" t="n">
        <v>0.03915</v>
      </c>
      <c r="E82" s="34" t="n">
        <v>0.03915</v>
      </c>
      <c r="F82" s="34" t="n">
        <v>0.03915</v>
      </c>
      <c r="G82" s="34" t="n">
        <v>0.03915</v>
      </c>
      <c r="H82" s="34" t="n">
        <v>0.03915</v>
      </c>
      <c r="I82" s="34" t="n">
        <v>0</v>
      </c>
      <c r="J82" s="34" t="n">
        <v>0.03915</v>
      </c>
      <c r="K82" s="34" t="n">
        <v>0.03915</v>
      </c>
      <c r="L82" s="34" t="n">
        <v>0.03915</v>
      </c>
      <c r="M82" s="34" t="n">
        <v>0.03915</v>
      </c>
      <c r="N82" s="34" t="n">
        <v>0</v>
      </c>
      <c r="O82" s="34" t="n">
        <v>0</v>
      </c>
      <c r="P82" s="34" t="n">
        <v>0.03915</v>
      </c>
      <c r="Q82" s="34" t="n">
        <v>0.03915</v>
      </c>
      <c r="R82" s="34" t="n">
        <v>0.03915</v>
      </c>
      <c r="S82" s="34" t="n">
        <v>0.03915</v>
      </c>
      <c r="T82" s="34" t="n">
        <v>0.03915</v>
      </c>
      <c r="U82" s="34" t="n">
        <v>0</v>
      </c>
      <c r="V82" s="34" t="n">
        <v>0.03915</v>
      </c>
      <c r="W82" s="34" t="n">
        <v>0.03915</v>
      </c>
      <c r="X82" s="34" t="n">
        <v>0.03915</v>
      </c>
      <c r="Y82" s="34" t="n">
        <v>0.03915</v>
      </c>
      <c r="Z82" s="34" t="n">
        <v>0</v>
      </c>
    </row>
    <row r="83" customFormat="false" ht="15" hidden="false" customHeight="true" outlineLevel="0" collapsed="false">
      <c r="A83" s="10" t="s">
        <v>636</v>
      </c>
      <c r="B83" s="44" t="n">
        <f aca="false">MATCH(A83,BDC!$A$6:$A$39,0)</f>
        <v>6</v>
      </c>
      <c r="C83" s="34" t="n">
        <v>0.087065</v>
      </c>
      <c r="D83" s="34" t="n">
        <v>0.087065</v>
      </c>
      <c r="E83" s="34" t="n">
        <v>0.087065</v>
      </c>
      <c r="F83" s="34" t="n">
        <v>0.087065</v>
      </c>
      <c r="G83" s="34" t="n">
        <v>0.087065</v>
      </c>
      <c r="H83" s="34" t="n">
        <v>0.087065</v>
      </c>
      <c r="I83" s="34" t="n">
        <v>0</v>
      </c>
      <c r="J83" s="34" t="n">
        <v>0.087065</v>
      </c>
      <c r="K83" s="34" t="n">
        <v>0.087065</v>
      </c>
      <c r="L83" s="34" t="n">
        <v>0</v>
      </c>
      <c r="M83" s="34" t="n">
        <v>0.087065</v>
      </c>
      <c r="N83" s="34" t="n">
        <v>0</v>
      </c>
      <c r="O83" s="34" t="n">
        <v>0</v>
      </c>
      <c r="P83" s="34" t="n">
        <v>0.087065</v>
      </c>
      <c r="Q83" s="34" t="n">
        <v>0.087065</v>
      </c>
      <c r="R83" s="34" t="n">
        <v>0.087065</v>
      </c>
      <c r="S83" s="34" t="n">
        <v>0.087065</v>
      </c>
      <c r="T83" s="34" t="n">
        <v>0.087065</v>
      </c>
      <c r="U83" s="34" t="n">
        <v>0</v>
      </c>
      <c r="V83" s="34" t="n">
        <v>0.087065</v>
      </c>
      <c r="W83" s="34" t="n">
        <v>0.087065</v>
      </c>
      <c r="X83" s="34" t="n">
        <v>0.087065</v>
      </c>
      <c r="Y83" s="34" t="n">
        <v>0.087065</v>
      </c>
      <c r="Z83" s="34" t="n">
        <v>0</v>
      </c>
    </row>
    <row r="84" customFormat="false" ht="15" hidden="false" customHeight="true" outlineLevel="0" collapsed="false">
      <c r="A84" s="10" t="s">
        <v>656</v>
      </c>
      <c r="B84" s="44" t="n">
        <f aca="false">MATCH(A84,BDC!$A$6:$A$39,0)</f>
        <v>26</v>
      </c>
      <c r="C84" s="34" t="n">
        <v>0.017327</v>
      </c>
      <c r="D84" s="34" t="n">
        <v>0.017327</v>
      </c>
      <c r="E84" s="34" t="n">
        <v>0.017327</v>
      </c>
      <c r="F84" s="34" t="n">
        <v>0.017327</v>
      </c>
      <c r="G84" s="34" t="n">
        <v>0</v>
      </c>
      <c r="H84" s="34" t="n">
        <v>0</v>
      </c>
      <c r="I84" s="34" t="n">
        <v>0</v>
      </c>
      <c r="J84" s="34" t="n">
        <v>0</v>
      </c>
      <c r="K84" s="34" t="n">
        <v>0</v>
      </c>
      <c r="L84" s="34" t="n">
        <v>0.017327</v>
      </c>
      <c r="M84" s="34" t="n">
        <v>0</v>
      </c>
      <c r="N84" s="34" t="n">
        <v>0.017327</v>
      </c>
      <c r="O84" s="34" t="n">
        <v>0</v>
      </c>
      <c r="P84" s="34" t="n">
        <v>0</v>
      </c>
      <c r="Q84" s="34" t="n">
        <v>0</v>
      </c>
      <c r="R84" s="34" t="n">
        <v>0</v>
      </c>
      <c r="S84" s="34" t="n">
        <v>0.017327</v>
      </c>
      <c r="T84" s="34" t="n">
        <v>0.017327</v>
      </c>
      <c r="U84" s="34" t="n">
        <v>0</v>
      </c>
      <c r="V84" s="34" t="n">
        <v>0.017327</v>
      </c>
      <c r="W84" s="34" t="n">
        <v>0.017327</v>
      </c>
      <c r="X84" s="34" t="n">
        <v>0</v>
      </c>
      <c r="Y84" s="34" t="n">
        <v>0</v>
      </c>
      <c r="Z84" s="34" t="n">
        <v>0</v>
      </c>
    </row>
    <row r="85" customFormat="false" ht="15" hidden="false" customHeight="true" outlineLevel="0" collapsed="false">
      <c r="A85" s="10" t="s">
        <v>629</v>
      </c>
      <c r="B85" s="44" t="n">
        <f aca="false">MATCH(A85,BDC!$A$6:$A$39,0)</f>
        <v>1</v>
      </c>
      <c r="C85" s="34" t="n">
        <v>0.082301</v>
      </c>
      <c r="D85" s="34" t="n">
        <v>0.082301</v>
      </c>
      <c r="E85" s="34" t="n">
        <v>0.082301</v>
      </c>
      <c r="F85" s="34" t="n">
        <v>0.082301</v>
      </c>
      <c r="G85" s="34" t="n">
        <v>0.082301</v>
      </c>
      <c r="H85" s="34" t="n">
        <v>0.082301</v>
      </c>
      <c r="I85" s="34" t="n">
        <v>0.082301</v>
      </c>
      <c r="J85" s="34" t="n">
        <v>0.082301</v>
      </c>
      <c r="K85" s="34" t="n">
        <v>0.082301</v>
      </c>
      <c r="L85" s="34" t="n">
        <v>0.082301</v>
      </c>
      <c r="M85" s="34" t="n">
        <v>0.082301</v>
      </c>
      <c r="N85" s="34" t="n">
        <v>0</v>
      </c>
      <c r="O85" s="34" t="n">
        <v>0</v>
      </c>
      <c r="P85" s="34" t="n">
        <v>0.082301</v>
      </c>
      <c r="Q85" s="34" t="n">
        <v>0.082301</v>
      </c>
      <c r="R85" s="34" t="n">
        <v>0.082301</v>
      </c>
      <c r="S85" s="34" t="n">
        <v>0.082301</v>
      </c>
      <c r="T85" s="34" t="n">
        <v>0.082301</v>
      </c>
      <c r="U85" s="34" t="n">
        <v>0</v>
      </c>
      <c r="V85" s="34" t="n">
        <v>0.082301</v>
      </c>
      <c r="W85" s="34" t="n">
        <v>0.082301</v>
      </c>
      <c r="X85" s="34" t="n">
        <v>0.082301</v>
      </c>
      <c r="Y85" s="34" t="n">
        <v>0.082301</v>
      </c>
      <c r="Z85" s="34" t="n">
        <v>0</v>
      </c>
    </row>
    <row r="86" customFormat="false" ht="15" hidden="false" customHeight="true" outlineLevel="0" collapsed="false">
      <c r="A86" s="10" t="s">
        <v>640</v>
      </c>
      <c r="B86" s="44" t="n">
        <f aca="false">MATCH(A86,BDC!$A$6:$A$39,0)</f>
        <v>10</v>
      </c>
      <c r="C86" s="34" t="n">
        <v>0.063204</v>
      </c>
      <c r="D86" s="34" t="n">
        <v>0.063204</v>
      </c>
      <c r="E86" s="34" t="n">
        <v>0.063204</v>
      </c>
      <c r="F86" s="34" t="n">
        <v>0.063204</v>
      </c>
      <c r="G86" s="34" t="n">
        <v>0.063204</v>
      </c>
      <c r="H86" s="34" t="n">
        <v>0</v>
      </c>
      <c r="I86" s="34" t="n">
        <v>0</v>
      </c>
      <c r="J86" s="34" t="n">
        <v>0.063204</v>
      </c>
      <c r="K86" s="34" t="n">
        <v>0.063204</v>
      </c>
      <c r="L86" s="34" t="n">
        <v>0.063204</v>
      </c>
      <c r="M86" s="34" t="n">
        <v>0.063204</v>
      </c>
      <c r="N86" s="34" t="n">
        <v>0</v>
      </c>
      <c r="O86" s="34" t="n">
        <v>0</v>
      </c>
      <c r="P86" s="34" t="n">
        <v>0.063204</v>
      </c>
      <c r="Q86" s="34" t="n">
        <v>0</v>
      </c>
      <c r="R86" s="34" t="n">
        <v>0</v>
      </c>
      <c r="S86" s="34" t="n">
        <v>0</v>
      </c>
      <c r="T86" s="34" t="n">
        <v>0.063204</v>
      </c>
      <c r="U86" s="34" t="n">
        <v>0</v>
      </c>
      <c r="V86" s="34" t="n">
        <v>0.063204</v>
      </c>
      <c r="W86" s="34" t="n">
        <v>0.063204</v>
      </c>
      <c r="X86" s="34" t="n">
        <v>0</v>
      </c>
      <c r="Y86" s="34" t="n">
        <v>0.063204</v>
      </c>
      <c r="Z86" s="34" t="n">
        <v>0</v>
      </c>
    </row>
    <row r="87" customFormat="false" ht="15" hidden="false" customHeight="true" outlineLevel="0" collapsed="false">
      <c r="A87" s="10" t="s">
        <v>657</v>
      </c>
      <c r="B87" s="44" t="n">
        <f aca="false">MATCH(A87,BDC!$A$6:$A$39,0)</f>
        <v>27</v>
      </c>
      <c r="C87" s="34" t="n">
        <v>0.047423</v>
      </c>
      <c r="D87" s="34" t="n">
        <v>0.028454</v>
      </c>
      <c r="E87" s="34" t="n">
        <v>0.028454</v>
      </c>
      <c r="F87" s="34" t="n">
        <v>0</v>
      </c>
      <c r="G87" s="34" t="n">
        <v>0.018969</v>
      </c>
      <c r="H87" s="34" t="n">
        <v>0.028454</v>
      </c>
      <c r="I87" s="34" t="n">
        <v>0</v>
      </c>
      <c r="J87" s="34" t="n">
        <v>0</v>
      </c>
      <c r="K87" s="34" t="n">
        <v>0</v>
      </c>
      <c r="L87" s="34" t="n">
        <v>0.047423</v>
      </c>
      <c r="M87" s="34" t="n">
        <v>0</v>
      </c>
      <c r="N87" s="34" t="n">
        <v>0</v>
      </c>
      <c r="O87" s="34" t="n">
        <v>0</v>
      </c>
      <c r="P87" s="34" t="n">
        <v>0.028454</v>
      </c>
      <c r="Q87" s="34" t="n">
        <v>0.028454</v>
      </c>
      <c r="R87" s="34" t="n">
        <v>0.028454</v>
      </c>
      <c r="S87" s="34" t="n">
        <v>0</v>
      </c>
      <c r="T87" s="34" t="n">
        <v>0</v>
      </c>
      <c r="U87" s="34" t="n">
        <v>0</v>
      </c>
      <c r="V87" s="34" t="n">
        <v>0.01418</v>
      </c>
      <c r="W87" s="34" t="n">
        <v>0</v>
      </c>
      <c r="X87" s="34" t="n">
        <v>0</v>
      </c>
      <c r="Y87" s="34" t="n">
        <v>0</v>
      </c>
      <c r="Z87" s="34" t="n">
        <v>0</v>
      </c>
    </row>
    <row r="88" customFormat="false" ht="15" hidden="false" customHeight="true" outlineLevel="0" collapsed="false">
      <c r="A88" s="10" t="s">
        <v>641</v>
      </c>
      <c r="B88" s="44" t="n">
        <f aca="false">MATCH(A88,BDC!$A$6:$A$39,0)</f>
        <v>11</v>
      </c>
      <c r="C88" s="34" t="n">
        <v>0.049906</v>
      </c>
      <c r="D88" s="34" t="n">
        <v>0.054585</v>
      </c>
      <c r="E88" s="34" t="n">
        <v>0.023394</v>
      </c>
      <c r="F88" s="34" t="n">
        <v>0</v>
      </c>
      <c r="G88" s="34" t="n">
        <v>0.019495</v>
      </c>
      <c r="H88" s="34" t="n">
        <v>0.015596</v>
      </c>
      <c r="I88" s="34" t="n">
        <v>0</v>
      </c>
      <c r="J88" s="34" t="n">
        <v>0.007798</v>
      </c>
      <c r="K88" s="34" t="n">
        <v>0.046787</v>
      </c>
      <c r="L88" s="34" t="n">
        <v>0.023394</v>
      </c>
      <c r="M88" s="34" t="n">
        <v>0</v>
      </c>
      <c r="N88" s="34" t="n">
        <v>0</v>
      </c>
      <c r="O88" s="34" t="n">
        <v>0</v>
      </c>
      <c r="P88" s="34" t="n">
        <v>0.015596</v>
      </c>
      <c r="Q88" s="34" t="n">
        <v>0.031191</v>
      </c>
      <c r="R88" s="34" t="n">
        <v>0</v>
      </c>
      <c r="S88" s="34" t="n">
        <v>0.015596</v>
      </c>
      <c r="T88" s="34" t="n">
        <v>0.015596</v>
      </c>
      <c r="U88" s="34" t="n">
        <v>0.023394</v>
      </c>
      <c r="V88" s="34" t="n">
        <v>0.046787</v>
      </c>
      <c r="W88" s="34" t="n">
        <v>0.053026</v>
      </c>
      <c r="X88" s="34" t="n">
        <v>0.03509</v>
      </c>
      <c r="Y88" s="34" t="n">
        <v>0.031191</v>
      </c>
      <c r="Z88" s="34" t="n">
        <v>0</v>
      </c>
    </row>
    <row r="89" customFormat="false" ht="15" hidden="false" customHeight="true" outlineLevel="0" collapsed="false">
      <c r="A89" s="10" t="s">
        <v>644</v>
      </c>
      <c r="B89" s="44" t="n">
        <f aca="false">MATCH(A89,BDC!$A$6:$A$39,0)</f>
        <v>14</v>
      </c>
      <c r="C89" s="34" t="n">
        <v>0.015087</v>
      </c>
      <c r="D89" s="34" t="n">
        <v>0</v>
      </c>
      <c r="E89" s="34" t="n">
        <v>0</v>
      </c>
      <c r="F89" s="34" t="n">
        <v>0.015087</v>
      </c>
      <c r="G89" s="34" t="n">
        <v>0.015087</v>
      </c>
      <c r="H89" s="34" t="n">
        <v>0.015087</v>
      </c>
      <c r="I89" s="34" t="n">
        <v>0</v>
      </c>
      <c r="J89" s="34" t="n">
        <v>0.015087</v>
      </c>
      <c r="K89" s="34" t="n">
        <v>0.015087</v>
      </c>
      <c r="L89" s="34" t="n">
        <v>0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</v>
      </c>
      <c r="R89" s="34" t="n">
        <v>0</v>
      </c>
      <c r="S89" s="34" t="n">
        <v>0.015087</v>
      </c>
      <c r="T89" s="34" t="n">
        <v>0.015087</v>
      </c>
      <c r="U89" s="34" t="n">
        <v>0</v>
      </c>
      <c r="V89" s="34" t="n">
        <v>0.015087</v>
      </c>
      <c r="W89" s="34" t="n">
        <v>0.015087</v>
      </c>
      <c r="X89" s="34" t="n">
        <v>0</v>
      </c>
      <c r="Y89" s="34" t="n">
        <v>0.015087</v>
      </c>
      <c r="Z89" s="34" t="n">
        <v>0</v>
      </c>
    </row>
    <row r="90" customFormat="false" ht="15" hidden="false" customHeight="true" outlineLevel="0" collapsed="false">
      <c r="A90" s="10" t="s">
        <v>654</v>
      </c>
      <c r="B90" s="44" t="n">
        <f aca="false">MATCH(A90,BDC!$A$6:$A$39,0)</f>
        <v>24</v>
      </c>
      <c r="C90" s="34" t="n">
        <v>0</v>
      </c>
      <c r="D90" s="34" t="n">
        <v>0.056617</v>
      </c>
      <c r="E90" s="34" t="n">
        <v>0</v>
      </c>
      <c r="F90" s="34" t="n">
        <v>0</v>
      </c>
      <c r="G90" s="34" t="n">
        <v>0</v>
      </c>
      <c r="H90" s="34" t="n">
        <v>0.056617</v>
      </c>
      <c r="I90" s="34" t="n">
        <v>0</v>
      </c>
      <c r="J90" s="34" t="n">
        <v>0</v>
      </c>
      <c r="K90" s="34" t="n">
        <v>0.056617</v>
      </c>
      <c r="L90" s="34" t="n">
        <v>0.056617</v>
      </c>
      <c r="M90" s="34" t="n">
        <v>0</v>
      </c>
      <c r="N90" s="34" t="n">
        <v>0</v>
      </c>
      <c r="O90" s="34" t="n">
        <v>0</v>
      </c>
      <c r="P90" s="34" t="n">
        <v>0.056617</v>
      </c>
      <c r="Q90" s="34" t="n">
        <v>0.056617</v>
      </c>
      <c r="R90" s="34" t="n">
        <v>0</v>
      </c>
      <c r="S90" s="34" t="n">
        <v>0.056617</v>
      </c>
      <c r="T90" s="34" t="n">
        <v>0</v>
      </c>
      <c r="U90" s="34" t="n">
        <v>0</v>
      </c>
      <c r="V90" s="34" t="n">
        <v>0.056617</v>
      </c>
      <c r="W90" s="34" t="n">
        <v>0.056617</v>
      </c>
      <c r="X90" s="34" t="n">
        <v>0</v>
      </c>
      <c r="Y90" s="34" t="n">
        <v>0</v>
      </c>
      <c r="Z90" s="34" t="n">
        <v>0</v>
      </c>
    </row>
    <row r="91" customFormat="false" ht="15" hidden="false" customHeight="true" outlineLevel="0" collapsed="false">
      <c r="A91" s="10" t="s">
        <v>635</v>
      </c>
      <c r="B91" s="44" t="n">
        <f aca="false">MATCH(A91,BDC!$A$6:$A$39,0)</f>
        <v>5</v>
      </c>
      <c r="C91" s="34" t="n">
        <v>0.021171</v>
      </c>
      <c r="D91" s="34" t="n">
        <v>0.021171</v>
      </c>
      <c r="E91" s="34" t="n">
        <v>0.021171</v>
      </c>
      <c r="F91" s="34" t="n">
        <v>0.021171</v>
      </c>
      <c r="G91" s="34" t="n">
        <v>0.021171</v>
      </c>
      <c r="H91" s="34" t="n">
        <v>0.021171</v>
      </c>
      <c r="I91" s="34" t="n">
        <v>0</v>
      </c>
      <c r="J91" s="34" t="n">
        <v>0.021171</v>
      </c>
      <c r="K91" s="34" t="n">
        <v>0.021171</v>
      </c>
      <c r="L91" s="34" t="n">
        <v>0</v>
      </c>
      <c r="M91" s="34" t="n">
        <v>0.021171</v>
      </c>
      <c r="N91" s="34" t="n">
        <v>0</v>
      </c>
      <c r="O91" s="34" t="n">
        <v>0</v>
      </c>
      <c r="P91" s="34" t="n">
        <v>0.021171</v>
      </c>
      <c r="Q91" s="34" t="n">
        <v>0</v>
      </c>
      <c r="R91" s="34" t="n">
        <v>0.021171</v>
      </c>
      <c r="S91" s="34" t="n">
        <v>0.021171</v>
      </c>
      <c r="T91" s="34" t="n">
        <v>0.021171</v>
      </c>
      <c r="U91" s="34" t="n">
        <v>0</v>
      </c>
      <c r="V91" s="34" t="n">
        <v>0.021171</v>
      </c>
      <c r="W91" s="34" t="n">
        <v>0.021171</v>
      </c>
      <c r="X91" s="34" t="n">
        <v>0</v>
      </c>
      <c r="Y91" s="34" t="n">
        <v>0.021171</v>
      </c>
      <c r="Z91" s="34" t="n">
        <v>0</v>
      </c>
    </row>
    <row r="92" customFormat="false" ht="15" hidden="false" customHeight="true" outlineLevel="0" collapsed="false">
      <c r="A92" s="10" t="s">
        <v>651</v>
      </c>
      <c r="B92" s="44" t="n">
        <f aca="false">MATCH(A92,BDC!$A$6:$A$39,0)</f>
        <v>21</v>
      </c>
      <c r="C92" s="34" t="n">
        <v>0</v>
      </c>
      <c r="D92" s="34" t="n">
        <v>0</v>
      </c>
      <c r="E92" s="34" t="n">
        <v>0</v>
      </c>
      <c r="F92" s="34" t="n">
        <v>0</v>
      </c>
      <c r="G92" s="34" t="n">
        <v>0</v>
      </c>
      <c r="H92" s="34" t="n">
        <v>0</v>
      </c>
      <c r="I92" s="34" t="n">
        <v>0</v>
      </c>
      <c r="J92" s="34" t="n">
        <v>0</v>
      </c>
      <c r="K92" s="34" t="n">
        <v>0</v>
      </c>
      <c r="L92" s="34" t="n">
        <v>0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</v>
      </c>
      <c r="R92" s="34" t="n">
        <v>0</v>
      </c>
      <c r="S92" s="34" t="n">
        <v>0</v>
      </c>
      <c r="T92" s="34" t="n">
        <v>0</v>
      </c>
      <c r="U92" s="34" t="n">
        <v>0</v>
      </c>
      <c r="V92" s="34" t="n">
        <v>0</v>
      </c>
      <c r="W92" s="34" t="n">
        <v>0</v>
      </c>
      <c r="X92" s="34" t="n">
        <v>0</v>
      </c>
      <c r="Y92" s="34" t="n">
        <v>0</v>
      </c>
      <c r="Z92" s="34" t="n">
        <v>0</v>
      </c>
    </row>
    <row r="93" customFormat="false" ht="15" hidden="false" customHeight="true" outlineLevel="0" collapsed="false">
      <c r="A93" s="10" t="s">
        <v>648</v>
      </c>
      <c r="B93" s="44" t="n">
        <f aca="false">MATCH(A93,BDC!$A$6:$A$39,0)</f>
        <v>18</v>
      </c>
      <c r="C93" s="34" t="n">
        <v>0</v>
      </c>
      <c r="D93" s="34" t="n">
        <v>0</v>
      </c>
      <c r="E93" s="34" t="n">
        <v>0</v>
      </c>
      <c r="F93" s="34" t="n">
        <v>0</v>
      </c>
      <c r="G93" s="34" t="n">
        <v>0</v>
      </c>
      <c r="H93" s="34" t="n">
        <v>0</v>
      </c>
      <c r="I93" s="34" t="n">
        <v>0</v>
      </c>
      <c r="J93" s="34" t="n">
        <v>0</v>
      </c>
      <c r="K93" s="34" t="n">
        <v>0.003407</v>
      </c>
      <c r="L93" s="34" t="n">
        <v>0</v>
      </c>
      <c r="M93" s="34" t="n">
        <v>0</v>
      </c>
      <c r="N93" s="34" t="n">
        <v>0.001048</v>
      </c>
      <c r="O93" s="34" t="n">
        <v>0</v>
      </c>
      <c r="P93" s="34" t="n">
        <v>0</v>
      </c>
      <c r="Q93" s="34" t="n">
        <v>0</v>
      </c>
      <c r="R93" s="34" t="n">
        <v>0</v>
      </c>
      <c r="S93" s="34" t="n">
        <v>0</v>
      </c>
      <c r="T93" s="34" t="n">
        <v>0</v>
      </c>
      <c r="U93" s="34" t="n">
        <v>0</v>
      </c>
      <c r="V93" s="34" t="n">
        <v>0</v>
      </c>
      <c r="W93" s="34" t="n">
        <v>0.002097</v>
      </c>
      <c r="X93" s="34" t="n">
        <v>0</v>
      </c>
      <c r="Y93" s="34" t="n">
        <v>0.002726</v>
      </c>
      <c r="Z93" s="34" t="n">
        <v>0</v>
      </c>
    </row>
    <row r="94" customFormat="false" ht="15" hidden="false" customHeight="true" outlineLevel="0" collapsed="false">
      <c r="A94" s="10" t="s">
        <v>652</v>
      </c>
      <c r="B94" s="44" t="n">
        <f aca="false">MATCH(A94,BDC!$A$6:$A$39,0)</f>
        <v>22</v>
      </c>
      <c r="C94" s="34" t="n">
        <v>0.016591</v>
      </c>
      <c r="D94" s="34" t="n">
        <v>0</v>
      </c>
      <c r="E94" s="34" t="n">
        <v>0</v>
      </c>
      <c r="F94" s="34" t="n">
        <v>0.016591</v>
      </c>
      <c r="G94" s="34" t="n">
        <v>0</v>
      </c>
      <c r="H94" s="34" t="n">
        <v>0</v>
      </c>
      <c r="I94" s="34" t="n">
        <v>0</v>
      </c>
      <c r="J94" s="34" t="n">
        <v>0</v>
      </c>
      <c r="K94" s="34" t="n">
        <v>0.016591</v>
      </c>
      <c r="L94" s="34" t="n">
        <v>0.016591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</v>
      </c>
      <c r="R94" s="34" t="n">
        <v>0</v>
      </c>
      <c r="S94" s="34" t="n">
        <v>0.016591</v>
      </c>
      <c r="T94" s="34" t="n">
        <v>0</v>
      </c>
      <c r="U94" s="34" t="n">
        <v>0</v>
      </c>
      <c r="V94" s="34" t="n">
        <v>0.016591</v>
      </c>
      <c r="W94" s="34" t="n">
        <v>0.016591</v>
      </c>
      <c r="X94" s="34" t="n">
        <v>0</v>
      </c>
      <c r="Y94" s="34" t="n">
        <v>0.016591</v>
      </c>
      <c r="Z94" s="34" t="n">
        <v>0</v>
      </c>
    </row>
    <row r="95" customFormat="false" ht="15" hidden="false" customHeight="true" outlineLevel="0" collapsed="false">
      <c r="A95" s="10" t="s">
        <v>647</v>
      </c>
      <c r="B95" s="44" t="n">
        <f aca="false">MATCH(A95,BDC!$A$6:$A$39,0)</f>
        <v>17</v>
      </c>
      <c r="C95" s="34" t="n">
        <v>0.000539</v>
      </c>
      <c r="D95" s="34" t="n">
        <v>0</v>
      </c>
      <c r="E95" s="34" t="n">
        <v>0</v>
      </c>
      <c r="F95" s="34" t="n">
        <v>0.001078</v>
      </c>
      <c r="G95" s="34" t="n">
        <v>0</v>
      </c>
      <c r="H95" s="34" t="n">
        <v>0</v>
      </c>
      <c r="I95" s="34" t="n">
        <v>0</v>
      </c>
      <c r="J95" s="34" t="n">
        <v>0</v>
      </c>
      <c r="K95" s="34" t="n">
        <v>0.002156</v>
      </c>
      <c r="L95" s="34" t="n">
        <v>0.001078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</v>
      </c>
      <c r="R95" s="34" t="n">
        <v>0</v>
      </c>
      <c r="S95" s="34" t="n">
        <v>0.001347</v>
      </c>
      <c r="T95" s="34" t="n">
        <v>0</v>
      </c>
      <c r="U95" s="34" t="n">
        <v>0</v>
      </c>
      <c r="V95" s="34" t="n">
        <v>0.002156</v>
      </c>
      <c r="W95" s="34" t="n">
        <v>0.002156</v>
      </c>
      <c r="X95" s="34" t="n">
        <v>0</v>
      </c>
      <c r="Y95" s="34" t="n">
        <v>0.001078</v>
      </c>
      <c r="Z95" s="34" t="n">
        <v>0</v>
      </c>
    </row>
    <row r="96" customFormat="false" ht="15" hidden="false" customHeight="true" outlineLevel="0" collapsed="false">
      <c r="A96" s="10" t="s">
        <v>659</v>
      </c>
      <c r="B96" s="44" t="n">
        <f aca="false">MATCH(A96,BDC!$A$6:$A$39,0)</f>
        <v>29</v>
      </c>
      <c r="C96" s="34" t="n">
        <v>0</v>
      </c>
      <c r="D96" s="34" t="n">
        <v>0</v>
      </c>
      <c r="E96" s="34" t="n">
        <v>0</v>
      </c>
      <c r="F96" s="34" t="n">
        <v>0</v>
      </c>
      <c r="G96" s="34" t="n">
        <v>0</v>
      </c>
      <c r="H96" s="34" t="n">
        <v>0</v>
      </c>
      <c r="I96" s="34" t="n">
        <v>0</v>
      </c>
      <c r="J96" s="34" t="n">
        <v>0</v>
      </c>
      <c r="K96" s="34" t="n">
        <v>0</v>
      </c>
      <c r="L96" s="34" t="n">
        <v>0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</v>
      </c>
      <c r="R96" s="34" t="n">
        <v>0</v>
      </c>
      <c r="S96" s="34" t="n">
        <v>0</v>
      </c>
      <c r="T96" s="34" t="n">
        <v>0</v>
      </c>
      <c r="U96" s="34" t="n">
        <v>0</v>
      </c>
      <c r="V96" s="34" t="n">
        <v>0</v>
      </c>
      <c r="W96" s="34" t="n">
        <v>0</v>
      </c>
      <c r="X96" s="34" t="n">
        <v>0</v>
      </c>
      <c r="Y96" s="34" t="n">
        <v>0</v>
      </c>
      <c r="Z96" s="34" t="n">
        <v>0</v>
      </c>
    </row>
    <row r="97" customFormat="false" ht="15" hidden="false" customHeight="true" outlineLevel="0" collapsed="false">
      <c r="A97" s="10" t="s">
        <v>638</v>
      </c>
      <c r="B97" s="44" t="n">
        <f aca="false">MATCH(A97,BDC!$A$6:$A$39,0)</f>
        <v>8</v>
      </c>
      <c r="C97" s="34" t="n">
        <v>0.00422</v>
      </c>
      <c r="D97" s="34" t="n">
        <v>0.00422</v>
      </c>
      <c r="E97" s="34" t="n">
        <v>0</v>
      </c>
      <c r="F97" s="34" t="n">
        <v>0.00422</v>
      </c>
      <c r="G97" s="34" t="n">
        <v>0.00422</v>
      </c>
      <c r="H97" s="34" t="n">
        <v>0.00422</v>
      </c>
      <c r="I97" s="34" t="n">
        <v>0</v>
      </c>
      <c r="J97" s="34" t="n">
        <v>0.00422</v>
      </c>
      <c r="K97" s="34" t="n">
        <v>0.00422</v>
      </c>
      <c r="L97" s="34" t="n">
        <v>0.00422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</v>
      </c>
      <c r="R97" s="34" t="n">
        <v>0.00422</v>
      </c>
      <c r="S97" s="34" t="n">
        <v>0</v>
      </c>
      <c r="T97" s="34" t="n">
        <v>0.00422</v>
      </c>
      <c r="U97" s="34" t="n">
        <v>0</v>
      </c>
      <c r="V97" s="34" t="n">
        <v>0.00422</v>
      </c>
      <c r="W97" s="34" t="n">
        <v>0.00422</v>
      </c>
      <c r="X97" s="34" t="n">
        <v>0.00422</v>
      </c>
      <c r="Y97" s="34" t="n">
        <v>0.00844</v>
      </c>
      <c r="Z97" s="34" t="n">
        <v>0</v>
      </c>
    </row>
    <row r="98" customFormat="false" ht="15" hidden="false" customHeight="true" outlineLevel="0" collapsed="false">
      <c r="A98" s="10" t="s">
        <v>631</v>
      </c>
      <c r="B98" s="44" t="n">
        <f aca="false">MATCH(A98,BDC!$A$6:$A$39,0)</f>
        <v>2</v>
      </c>
      <c r="C98" s="34" t="n">
        <v>0.025718</v>
      </c>
      <c r="D98" s="34" t="n">
        <v>0.025718</v>
      </c>
      <c r="E98" s="34" t="n">
        <v>0.025718</v>
      </c>
      <c r="F98" s="34" t="n">
        <v>0.025718</v>
      </c>
      <c r="G98" s="34" t="n">
        <v>0.025718</v>
      </c>
      <c r="H98" s="34" t="n">
        <v>0.025718</v>
      </c>
      <c r="I98" s="34" t="n">
        <v>0</v>
      </c>
      <c r="J98" s="34" t="n">
        <v>0.025718</v>
      </c>
      <c r="K98" s="34" t="n">
        <v>0</v>
      </c>
      <c r="L98" s="34" t="n">
        <v>0.025718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0.025718</v>
      </c>
      <c r="R98" s="34" t="n">
        <v>0.025718</v>
      </c>
      <c r="S98" s="34" t="n">
        <v>0.025718</v>
      </c>
      <c r="T98" s="34" t="n">
        <v>0</v>
      </c>
      <c r="U98" s="34" t="n">
        <v>0</v>
      </c>
      <c r="V98" s="34" t="n">
        <v>0.025718</v>
      </c>
      <c r="W98" s="34" t="n">
        <v>0.025718</v>
      </c>
      <c r="X98" s="34" t="n">
        <v>0.025718</v>
      </c>
      <c r="Y98" s="34" t="n">
        <v>0.025718</v>
      </c>
      <c r="Z98" s="34" t="n">
        <v>0</v>
      </c>
    </row>
    <row r="99" customFormat="false" ht="15" hidden="false" customHeight="true" outlineLevel="0" collapsed="false">
      <c r="A99" s="10" t="s">
        <v>655</v>
      </c>
      <c r="B99" s="44" t="n">
        <f aca="false">MATCH(A99,BDC!$A$6:$A$39,0)</f>
        <v>25</v>
      </c>
      <c r="C99" s="34" t="n">
        <v>0.026368</v>
      </c>
      <c r="D99" s="34" t="n">
        <v>0.026368</v>
      </c>
      <c r="E99" s="34" t="n">
        <v>0.026368</v>
      </c>
      <c r="F99" s="34" t="n">
        <v>0.026368</v>
      </c>
      <c r="G99" s="34" t="n">
        <v>0.026368</v>
      </c>
      <c r="H99" s="34" t="n">
        <v>0.026368</v>
      </c>
      <c r="I99" s="34" t="n">
        <v>0</v>
      </c>
      <c r="J99" s="34" t="n">
        <v>0</v>
      </c>
      <c r="K99" s="34" t="n">
        <v>0</v>
      </c>
      <c r="L99" s="34" t="n">
        <v>0.026368</v>
      </c>
      <c r="M99" s="34" t="n">
        <v>0</v>
      </c>
      <c r="N99" s="34" t="n">
        <v>0.026368</v>
      </c>
      <c r="O99" s="34" t="n">
        <v>0</v>
      </c>
      <c r="P99" s="34" t="n">
        <v>0.026368</v>
      </c>
      <c r="Q99" s="34" t="n">
        <v>0</v>
      </c>
      <c r="R99" s="34" t="n">
        <v>0.026368</v>
      </c>
      <c r="S99" s="34" t="n">
        <v>0.026368</v>
      </c>
      <c r="T99" s="34" t="n">
        <v>0</v>
      </c>
      <c r="U99" s="34" t="n">
        <v>0</v>
      </c>
      <c r="V99" s="34" t="n">
        <v>0.026368</v>
      </c>
      <c r="W99" s="34" t="n">
        <v>0.026368</v>
      </c>
      <c r="X99" s="34" t="n">
        <v>0</v>
      </c>
      <c r="Y99" s="34" t="n">
        <v>0.052736</v>
      </c>
      <c r="Z99" s="34" t="n">
        <v>0</v>
      </c>
    </row>
    <row r="100" customFormat="false" ht="15" hidden="false" customHeight="true" outlineLevel="0" collapsed="false">
      <c r="A100" s="10" t="s">
        <v>645</v>
      </c>
      <c r="B100" s="44" t="n">
        <f aca="false">MATCH(A100,BDC!$A$6:$A$39,0)</f>
        <v>15</v>
      </c>
      <c r="C100" s="34" t="n">
        <v>0.018963</v>
      </c>
      <c r="D100" s="34" t="n">
        <v>0</v>
      </c>
      <c r="E100" s="34" t="n">
        <v>0</v>
      </c>
      <c r="F100" s="34" t="n">
        <v>0</v>
      </c>
      <c r="G100" s="34" t="n">
        <v>0</v>
      </c>
      <c r="H100" s="34" t="n">
        <v>0.004741</v>
      </c>
      <c r="I100" s="34" t="n">
        <v>0.028445</v>
      </c>
      <c r="J100" s="34" t="n">
        <v>0.014223</v>
      </c>
      <c r="K100" s="34" t="n">
        <v>0</v>
      </c>
      <c r="L100" s="34" t="n">
        <v>0</v>
      </c>
      <c r="M100" s="34" t="n">
        <v>0</v>
      </c>
      <c r="N100" s="34" t="n">
        <v>0</v>
      </c>
      <c r="O100" s="34" t="n">
        <v>0</v>
      </c>
      <c r="P100" s="34" t="n">
        <v>0.004741</v>
      </c>
      <c r="Q100" s="34" t="n">
        <v>0</v>
      </c>
      <c r="R100" s="34" t="n">
        <v>0</v>
      </c>
      <c r="S100" s="34" t="n">
        <v>0.009482</v>
      </c>
      <c r="T100" s="34" t="n">
        <v>0</v>
      </c>
      <c r="U100" s="34" t="n">
        <v>0</v>
      </c>
      <c r="V100" s="34" t="n">
        <v>0</v>
      </c>
      <c r="W100" s="34" t="n">
        <v>0</v>
      </c>
      <c r="X100" s="34" t="n">
        <v>0</v>
      </c>
      <c r="Y100" s="34" t="n">
        <v>0.009482</v>
      </c>
      <c r="Z100" s="34" t="n">
        <v>0</v>
      </c>
    </row>
    <row r="101" customFormat="false" ht="15" hidden="false" customHeight="true" outlineLevel="0" collapsed="false">
      <c r="A101" s="10" t="s">
        <v>639</v>
      </c>
      <c r="B101" s="44" t="n">
        <f aca="false">MATCH(A101,BDC!$A$6:$A$39,0)</f>
        <v>9</v>
      </c>
      <c r="C101" s="34" t="n">
        <v>0.115714</v>
      </c>
      <c r="D101" s="34" t="n">
        <v>0.115714</v>
      </c>
      <c r="E101" s="34" t="n">
        <v>0</v>
      </c>
      <c r="F101" s="34" t="n">
        <v>0</v>
      </c>
      <c r="G101" s="34" t="n">
        <v>0.115714</v>
      </c>
      <c r="H101" s="34" t="n">
        <v>0</v>
      </c>
      <c r="I101" s="34" t="n">
        <v>0</v>
      </c>
      <c r="J101" s="34" t="n">
        <v>0</v>
      </c>
      <c r="K101" s="34" t="n">
        <v>0.115714</v>
      </c>
      <c r="L101" s="34" t="n">
        <v>0.115714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</v>
      </c>
      <c r="R101" s="34" t="n">
        <v>0</v>
      </c>
      <c r="S101" s="34" t="n">
        <v>0</v>
      </c>
      <c r="T101" s="34" t="n">
        <v>0.115714</v>
      </c>
      <c r="U101" s="34" t="n">
        <v>0</v>
      </c>
      <c r="V101" s="34" t="n">
        <v>0.115714</v>
      </c>
      <c r="W101" s="34" t="n">
        <v>0.115714</v>
      </c>
      <c r="X101" s="34" t="n">
        <v>0.115714</v>
      </c>
      <c r="Y101" s="34" t="n">
        <v>0.115714</v>
      </c>
      <c r="Z101" s="34" t="n">
        <v>0</v>
      </c>
    </row>
    <row r="102" customFormat="false" ht="15" hidden="false" customHeight="true" outlineLevel="0" collapsed="false">
      <c r="A102" s="10" t="s">
        <v>653</v>
      </c>
      <c r="B102" s="44" t="n">
        <f aca="false">MATCH(A102,BDC!$A$6:$A$39,0)</f>
        <v>23</v>
      </c>
      <c r="C102" s="34" t="n">
        <v>0.021896</v>
      </c>
      <c r="D102" s="34" t="n">
        <v>0.021896</v>
      </c>
      <c r="E102" s="34" t="n">
        <v>0.021896</v>
      </c>
      <c r="F102" s="34" t="n">
        <v>0.021896</v>
      </c>
      <c r="G102" s="34" t="n">
        <v>0.021896</v>
      </c>
      <c r="H102" s="34" t="n">
        <v>0.021896</v>
      </c>
      <c r="I102" s="34" t="n">
        <v>0</v>
      </c>
      <c r="J102" s="34" t="n">
        <v>0</v>
      </c>
      <c r="K102" s="34" t="n">
        <v>0.021896</v>
      </c>
      <c r="L102" s="34" t="n">
        <v>0.021896</v>
      </c>
      <c r="M102" s="34" t="n">
        <v>0</v>
      </c>
      <c r="N102" s="34" t="n">
        <v>0.021896</v>
      </c>
      <c r="O102" s="34" t="n">
        <v>0.021896</v>
      </c>
      <c r="P102" s="34" t="n">
        <v>0</v>
      </c>
      <c r="Q102" s="34" t="n">
        <v>0.021896</v>
      </c>
      <c r="R102" s="34" t="n">
        <v>0</v>
      </c>
      <c r="S102" s="34" t="n">
        <v>0</v>
      </c>
      <c r="T102" s="34" t="n">
        <v>0</v>
      </c>
      <c r="U102" s="34" t="n">
        <v>0</v>
      </c>
      <c r="V102" s="34" t="n">
        <v>0.021896</v>
      </c>
      <c r="W102" s="34" t="n">
        <v>0.021896</v>
      </c>
      <c r="X102" s="34" t="n">
        <v>0.021896</v>
      </c>
      <c r="Y102" s="34" t="n">
        <v>0.021896</v>
      </c>
      <c r="Z102" s="34" t="n">
        <v>0</v>
      </c>
    </row>
    <row r="105" customFormat="false" ht="15" hidden="false" customHeight="true" outlineLevel="0" collapsed="false">
      <c r="A105" s="9" t="s">
        <v>677</v>
      </c>
      <c r="C105" s="9" t="s">
        <v>496</v>
      </c>
      <c r="D105" s="9" t="s">
        <v>499</v>
      </c>
      <c r="E105" s="9" t="s">
        <v>501</v>
      </c>
      <c r="F105" s="9" t="s">
        <v>503</v>
      </c>
      <c r="G105" s="9" t="s">
        <v>505</v>
      </c>
      <c r="H105" s="9" t="s">
        <v>507</v>
      </c>
      <c r="I105" s="9" t="s">
        <v>509</v>
      </c>
      <c r="J105" s="9" t="s">
        <v>510</v>
      </c>
      <c r="K105" s="9" t="s">
        <v>512</v>
      </c>
      <c r="L105" s="9" t="s">
        <v>514</v>
      </c>
      <c r="M105" s="9" t="s">
        <v>516</v>
      </c>
      <c r="N105" s="9" t="s">
        <v>518</v>
      </c>
      <c r="O105" s="9" t="s">
        <v>520</v>
      </c>
      <c r="P105" s="9" t="s">
        <v>522</v>
      </c>
      <c r="Q105" s="9" t="s">
        <v>525</v>
      </c>
      <c r="R105" s="9" t="s">
        <v>527</v>
      </c>
      <c r="S105" s="9" t="s">
        <v>530</v>
      </c>
      <c r="T105" s="9" t="s">
        <v>532</v>
      </c>
      <c r="U105" s="9" t="s">
        <v>534</v>
      </c>
      <c r="V105" s="9" t="s">
        <v>535</v>
      </c>
      <c r="W105" s="9" t="s">
        <v>537</v>
      </c>
      <c r="X105" s="9" t="s">
        <v>538</v>
      </c>
      <c r="Y105" s="9" t="s">
        <v>540</v>
      </c>
      <c r="Z105" s="9" t="s">
        <v>543</v>
      </c>
      <c r="AB105" s="7" t="s">
        <v>678</v>
      </c>
      <c r="AC105" s="7" t="s">
        <v>679</v>
      </c>
    </row>
    <row r="106" customFormat="false" ht="15" hidden="false" customHeight="true" outlineLevel="0" collapsed="false">
      <c r="A106" s="10" t="s">
        <v>634</v>
      </c>
      <c r="C106" s="45" t="n">
        <f aca="false">C31+p_ccf_bl*(C6-C31)</f>
        <v>0</v>
      </c>
      <c r="D106" s="45" t="n">
        <f aca="false">D31+p_ccf_bl*(D6-D31)</f>
        <v>0.5</v>
      </c>
      <c r="E106" s="45" t="n">
        <f aca="false">E31+p_ccf_bl*(E6-E31)</f>
        <v>0.7571668</v>
      </c>
      <c r="F106" s="45" t="n">
        <f aca="false">F31+p_ccf_bl*(F6-F31)</f>
        <v>0.99</v>
      </c>
      <c r="G106" s="45" t="n">
        <f aca="false">G31+p_ccf_bl*(G6-G31)</f>
        <v>0.5</v>
      </c>
      <c r="H106" s="45" t="n">
        <f aca="false">H31+p_ccf_bl*(H6-H31)</f>
        <v>0.585</v>
      </c>
      <c r="I106" s="45" t="n">
        <f aca="false">I31+p_ccf_bl*(I6-I31)</f>
        <v>0</v>
      </c>
      <c r="J106" s="45" t="n">
        <f aca="false">J31+p_ccf_bl*(J6-J31)</f>
        <v>0</v>
      </c>
      <c r="K106" s="45" t="n">
        <f aca="false">K31+p_ccf_bl*(K6-K31)</f>
        <v>0.6</v>
      </c>
      <c r="L106" s="45" t="n">
        <f aca="false">L31+p_ccf_bl*(L6-L31)</f>
        <v>0</v>
      </c>
      <c r="M106" s="45" t="n">
        <f aca="false">M31+p_ccf_bl*(M6-M31)</f>
        <v>0</v>
      </c>
      <c r="N106" s="45" t="n">
        <f aca="false">N31+p_ccf_bl*(N6-N31)</f>
        <v>0</v>
      </c>
      <c r="O106" s="45" t="n">
        <f aca="false">O31+p_ccf_bl*(O6-O31)</f>
        <v>0</v>
      </c>
      <c r="P106" s="45" t="n">
        <f aca="false">P31+p_ccf_bl*(P6-P31)</f>
        <v>0</v>
      </c>
      <c r="Q106" s="45" t="n">
        <f aca="false">Q31+p_ccf_bl*(Q6-Q31)</f>
        <v>0</v>
      </c>
      <c r="R106" s="45" t="n">
        <f aca="false">R31+p_ccf_bl*(R6-R31)</f>
        <v>0</v>
      </c>
      <c r="S106" s="45" t="n">
        <f aca="false">S31+p_ccf_bl*(S6-S31)</f>
        <v>0</v>
      </c>
      <c r="T106" s="45" t="n">
        <f aca="false">T31+p_ccf_bl*(T6-T31)</f>
        <v>0</v>
      </c>
      <c r="U106" s="45" t="n">
        <f aca="false">U31+p_ccf_bl*(U6-U31)</f>
        <v>0</v>
      </c>
      <c r="V106" s="45" t="n">
        <f aca="false">V31+p_ccf_bl*(V6-V31)</f>
        <v>0.2925</v>
      </c>
      <c r="W106" s="45" t="n">
        <f aca="false">W31+p_ccf_bl*(W6-W31)</f>
        <v>0</v>
      </c>
      <c r="X106" s="45" t="n">
        <f aca="false">X31+p_ccf_bl*(X6-X31)</f>
        <v>0</v>
      </c>
      <c r="Y106" s="45" t="n">
        <f aca="false">Y31+p_ccf_bl*(Y6-Y31)</f>
        <v>0.4308332</v>
      </c>
      <c r="Z106" s="45" t="n">
        <f aca="false">Z31+p_ccf_bl*(Z6-Z31)</f>
        <v>0</v>
      </c>
      <c r="AB106" s="22" t="n">
        <f aca="false">INDEX(BDC!$AA$6:$AA$39,$B6)</f>
        <v>0.440429198200967</v>
      </c>
      <c r="AC106" s="22" t="n">
        <f aca="false">INDEX(BDC!$AB$6:$AB$39,$B6)</f>
        <v>0</v>
      </c>
    </row>
    <row r="107" customFormat="false" ht="15" hidden="false" customHeight="true" outlineLevel="0" collapsed="false">
      <c r="A107" s="10" t="s">
        <v>632</v>
      </c>
      <c r="C107" s="45" t="n">
        <f aca="false">C32+p_ccf_bl*(C7-C32)</f>
        <v>0</v>
      </c>
      <c r="D107" s="45" t="n">
        <f aca="false">D32+p_ccf_bl*(D7-D32)</f>
        <v>0.4504267</v>
      </c>
      <c r="E107" s="45" t="n">
        <f aca="false">E32+p_ccf_bl*(E7-E32)</f>
        <v>0</v>
      </c>
      <c r="F107" s="45" t="n">
        <f aca="false">F32+p_ccf_bl*(F7-F32)</f>
        <v>1.0905067</v>
      </c>
      <c r="G107" s="45" t="n">
        <f aca="false">G32+p_ccf_bl*(G7-G32)</f>
        <v>0</v>
      </c>
      <c r="H107" s="45" t="n">
        <f aca="false">H32+p_ccf_bl*(H7-H32)</f>
        <v>0</v>
      </c>
      <c r="I107" s="45" t="n">
        <f aca="false">I32+p_ccf_bl*(I7-I32)</f>
        <v>0</v>
      </c>
      <c r="J107" s="45" t="n">
        <f aca="false">J32+p_ccf_bl*(J7-J32)</f>
        <v>0</v>
      </c>
      <c r="K107" s="45" t="n">
        <f aca="false">K32+p_ccf_bl*(K7-K32)</f>
        <v>0</v>
      </c>
      <c r="L107" s="45" t="n">
        <f aca="false">L32+p_ccf_bl*(L7-L32)</f>
        <v>0</v>
      </c>
      <c r="M107" s="45" t="n">
        <f aca="false">M32+p_ccf_bl*(M7-M32)</f>
        <v>0.0948267</v>
      </c>
      <c r="N107" s="45" t="n">
        <f aca="false">N32+p_ccf_bl*(N7-N32)</f>
        <v>0</v>
      </c>
      <c r="O107" s="45" t="n">
        <f aca="false">O32+p_ccf_bl*(O7-O32)</f>
        <v>0</v>
      </c>
      <c r="P107" s="45" t="n">
        <f aca="false">P32+p_ccf_bl*(P7-P32)</f>
        <v>0</v>
      </c>
      <c r="Q107" s="45" t="n">
        <f aca="false">Q32+p_ccf_bl*(Q7-Q32)</f>
        <v>0</v>
      </c>
      <c r="R107" s="45" t="n">
        <f aca="false">R32+p_ccf_bl*(R7-R32)</f>
        <v>0</v>
      </c>
      <c r="S107" s="45" t="n">
        <f aca="false">S32+p_ccf_bl*(S7-S32)</f>
        <v>1.3859</v>
      </c>
      <c r="T107" s="45" t="n">
        <f aca="false">T32+p_ccf_bl*(T7-T32)</f>
        <v>0</v>
      </c>
      <c r="U107" s="45" t="n">
        <f aca="false">U32+p_ccf_bl*(U7-U32)</f>
        <v>0</v>
      </c>
      <c r="V107" s="45" t="n">
        <f aca="false">V32+p_ccf_bl*(V7-V32)</f>
        <v>0</v>
      </c>
      <c r="W107" s="45" t="n">
        <f aca="false">W32+p_ccf_bl*(W7-W32)</f>
        <v>1.5128</v>
      </c>
      <c r="X107" s="45" t="n">
        <f aca="false">X32+p_ccf_bl*(X7-X32)</f>
        <v>0</v>
      </c>
      <c r="Y107" s="45" t="n">
        <f aca="false">Y32+p_ccf_bl*(Y7-Y32)</f>
        <v>0</v>
      </c>
      <c r="Z107" s="45" t="n">
        <f aca="false">Z32+p_ccf_bl*(Z7-Z32)</f>
        <v>0</v>
      </c>
      <c r="AB107" s="22" t="n">
        <f aca="false">INDEX(BDC!$AA$6:$AA$39,$B7)</f>
        <v>0.345681510029272</v>
      </c>
      <c r="AC107" s="22" t="n">
        <f aca="false">INDEX(BDC!$AB$6:$AB$39,$B7)</f>
        <v>0</v>
      </c>
    </row>
    <row r="108" customFormat="false" ht="15" hidden="false" customHeight="true" outlineLevel="0" collapsed="false">
      <c r="A108" s="10" t="s">
        <v>636</v>
      </c>
      <c r="C108" s="45" t="n">
        <f aca="false">C33+p_ccf_bl*(C8-C33)</f>
        <v>0</v>
      </c>
      <c r="D108" s="45" t="n">
        <f aca="false">D33+p_ccf_bl*(D8-D33)</f>
        <v>0</v>
      </c>
      <c r="E108" s="45" t="n">
        <f aca="false">E33+p_ccf_bl*(E8-E33)</f>
        <v>0</v>
      </c>
      <c r="F108" s="45" t="n">
        <f aca="false">F33+p_ccf_bl*(F8-F33)</f>
        <v>0</v>
      </c>
      <c r="G108" s="45" t="n">
        <f aca="false">G33+p_ccf_bl*(G8-G33)</f>
        <v>0</v>
      </c>
      <c r="H108" s="45" t="n">
        <f aca="false">H33+p_ccf_bl*(H8-H33)</f>
        <v>0</v>
      </c>
      <c r="I108" s="45" t="n">
        <f aca="false">I33+p_ccf_bl*(I8-I33)</f>
        <v>0</v>
      </c>
      <c r="J108" s="45" t="n">
        <f aca="false">J33+p_ccf_bl*(J8-J33)</f>
        <v>0</v>
      </c>
      <c r="K108" s="45" t="n">
        <f aca="false">K33+p_ccf_bl*(K8-K33)</f>
        <v>0</v>
      </c>
      <c r="L108" s="45" t="n">
        <f aca="false">L33+p_ccf_bl*(L8-L33)</f>
        <v>0</v>
      </c>
      <c r="M108" s="45" t="n">
        <f aca="false">M33+p_ccf_bl*(M8-M33)</f>
        <v>0</v>
      </c>
      <c r="N108" s="45" t="n">
        <f aca="false">N33+p_ccf_bl*(N8-N33)</f>
        <v>0</v>
      </c>
      <c r="O108" s="45" t="n">
        <f aca="false">O33+p_ccf_bl*(O8-O33)</f>
        <v>0.2799476</v>
      </c>
      <c r="P108" s="45" t="n">
        <f aca="false">P33+p_ccf_bl*(P8-P33)</f>
        <v>0</v>
      </c>
      <c r="Q108" s="45" t="n">
        <f aca="false">Q33+p_ccf_bl*(Q8-Q33)</f>
        <v>0</v>
      </c>
      <c r="R108" s="45" t="n">
        <f aca="false">R33+p_ccf_bl*(R8-R33)</f>
        <v>0</v>
      </c>
      <c r="S108" s="45" t="n">
        <f aca="false">S33+p_ccf_bl*(S8-S33)</f>
        <v>0.9583</v>
      </c>
      <c r="T108" s="45" t="n">
        <f aca="false">T33+p_ccf_bl*(T8-T33)</f>
        <v>0.2799476</v>
      </c>
      <c r="U108" s="45" t="n">
        <f aca="false">U33+p_ccf_bl*(U8-U33)</f>
        <v>0</v>
      </c>
      <c r="V108" s="45" t="n">
        <f aca="false">V33+p_ccf_bl*(V8-V33)</f>
        <v>0.2799476</v>
      </c>
      <c r="W108" s="45" t="n">
        <f aca="false">W33+p_ccf_bl*(W8-W33)</f>
        <v>0</v>
      </c>
      <c r="X108" s="45" t="n">
        <f aca="false">X33+p_ccf_bl*(X8-X33)</f>
        <v>0</v>
      </c>
      <c r="Y108" s="45" t="n">
        <f aca="false">Y33+p_ccf_bl*(Y8-Y33)</f>
        <v>0</v>
      </c>
      <c r="Z108" s="45" t="n">
        <f aca="false">Z33+p_ccf_bl*(Z8-Z33)</f>
        <v>0</v>
      </c>
      <c r="AB108" s="22" t="n">
        <f aca="false">INDEX(BDC!$AA$6:$AA$39,$B8)</f>
        <v>0.47336689455503</v>
      </c>
      <c r="AC108" s="22" t="n">
        <f aca="false">INDEX(BDC!$AB$6:$AB$39,$B8)</f>
        <v>0</v>
      </c>
    </row>
    <row r="109" customFormat="false" ht="15" hidden="false" customHeight="true" outlineLevel="0" collapsed="false">
      <c r="A109" s="10" t="s">
        <v>656</v>
      </c>
      <c r="C109" s="45" t="n">
        <f aca="false">C34+p_ccf_bl*(C9-C34)</f>
        <v>0</v>
      </c>
      <c r="D109" s="45" t="n">
        <f aca="false">D34+p_ccf_bl*(D9-D34)</f>
        <v>0</v>
      </c>
      <c r="E109" s="45" t="n">
        <f aca="false">E34+p_ccf_bl*(E9-E34)</f>
        <v>0</v>
      </c>
      <c r="F109" s="45" t="n">
        <f aca="false">F34+p_ccf_bl*(F9-F34)</f>
        <v>0</v>
      </c>
      <c r="G109" s="45" t="n">
        <f aca="false">G34+p_ccf_bl*(G9-G34)</f>
        <v>0</v>
      </c>
      <c r="H109" s="45" t="n">
        <f aca="false">H34+p_ccf_bl*(H9-H34)</f>
        <v>0</v>
      </c>
      <c r="I109" s="45" t="n">
        <f aca="false">I34+p_ccf_bl*(I9-I34)</f>
        <v>0</v>
      </c>
      <c r="J109" s="45" t="n">
        <f aca="false">J34+p_ccf_bl*(J9-J34)</f>
        <v>0</v>
      </c>
      <c r="K109" s="45" t="n">
        <f aca="false">K34+p_ccf_bl*(K9-K34)</f>
        <v>0</v>
      </c>
      <c r="L109" s="45" t="n">
        <f aca="false">L34+p_ccf_bl*(L9-L34)</f>
        <v>0</v>
      </c>
      <c r="M109" s="45" t="n">
        <f aca="false">M34+p_ccf_bl*(M9-M34)</f>
        <v>0</v>
      </c>
      <c r="N109" s="45" t="n">
        <f aca="false">N34+p_ccf_bl*(N9-N34)</f>
        <v>0</v>
      </c>
      <c r="O109" s="45" t="n">
        <f aca="false">O34+p_ccf_bl*(O9-O34)</f>
        <v>0</v>
      </c>
      <c r="P109" s="45" t="n">
        <f aca="false">P34+p_ccf_bl*(P9-P34)</f>
        <v>0</v>
      </c>
      <c r="Q109" s="45" t="n">
        <f aca="false">Q34+p_ccf_bl*(Q9-Q34)</f>
        <v>0</v>
      </c>
      <c r="R109" s="45" t="n">
        <f aca="false">R34+p_ccf_bl*(R9-R34)</f>
        <v>0</v>
      </c>
      <c r="S109" s="45" t="n">
        <f aca="false">S34+p_ccf_bl*(S9-S34)</f>
        <v>0</v>
      </c>
      <c r="T109" s="45" t="n">
        <f aca="false">T34+p_ccf_bl*(T9-T34)</f>
        <v>0</v>
      </c>
      <c r="U109" s="45" t="n">
        <f aca="false">U34+p_ccf_bl*(U9-U34)</f>
        <v>0</v>
      </c>
      <c r="V109" s="45" t="n">
        <f aca="false">V34+p_ccf_bl*(V9-V34)</f>
        <v>0</v>
      </c>
      <c r="W109" s="45" t="n">
        <f aca="false">W34+p_ccf_bl*(W9-W34)</f>
        <v>0</v>
      </c>
      <c r="X109" s="45" t="n">
        <f aca="false">X34+p_ccf_bl*(X9-X34)</f>
        <v>0</v>
      </c>
      <c r="Y109" s="45" t="n">
        <f aca="false">Y34+p_ccf_bl*(Y9-Y34)</f>
        <v>0</v>
      </c>
      <c r="Z109" s="45" t="n">
        <f aca="false">Z34+p_ccf_bl*(Z9-Z34)</f>
        <v>0</v>
      </c>
      <c r="AB109" s="22" t="n">
        <f aca="false">INDEX(BDC!$AA$6:$AA$39,$B9)</f>
        <v>0.422974399365253</v>
      </c>
      <c r="AC109" s="22" t="n">
        <f aca="false">INDEX(BDC!$AB$6:$AB$39,$B9)</f>
        <v>0</v>
      </c>
    </row>
    <row r="110" customFormat="false" ht="15" hidden="false" customHeight="true" outlineLevel="0" collapsed="false">
      <c r="A110" s="10" t="s">
        <v>629</v>
      </c>
      <c r="C110" s="45" t="n">
        <f aca="false">C35+p_ccf_bl*(C10-C35)</f>
        <v>0</v>
      </c>
      <c r="D110" s="45" t="n">
        <f aca="false">D35+p_ccf_bl*(D10-D35)</f>
        <v>2.91805</v>
      </c>
      <c r="E110" s="45" t="n">
        <f aca="false">E35+p_ccf_bl*(E10-E35)</f>
        <v>2.4266931</v>
      </c>
      <c r="F110" s="45" t="n">
        <f aca="false">F35+p_ccf_bl*(F10-F35)</f>
        <v>2.2237519</v>
      </c>
      <c r="G110" s="45" t="n">
        <f aca="false">G35+p_ccf_bl*(G10-G35)</f>
        <v>0.975</v>
      </c>
      <c r="H110" s="45" t="n">
        <f aca="false">H35+p_ccf_bl*(H10-H35)</f>
        <v>1.423</v>
      </c>
      <c r="I110" s="45" t="n">
        <f aca="false">I35+p_ccf_bl*(I10-I35)</f>
        <v>0</v>
      </c>
      <c r="J110" s="45" t="n">
        <f aca="false">J35+p_ccf_bl*(J10-J35)</f>
        <v>0</v>
      </c>
      <c r="K110" s="45" t="n">
        <f aca="false">K35+p_ccf_bl*(K10-K35)</f>
        <v>0</v>
      </c>
      <c r="L110" s="45" t="n">
        <f aca="false">L35+p_ccf_bl*(L10-L35)</f>
        <v>0</v>
      </c>
      <c r="M110" s="45" t="n">
        <f aca="false">M35+p_ccf_bl*(M10-M35)</f>
        <v>0</v>
      </c>
      <c r="N110" s="45" t="n">
        <f aca="false">N35+p_ccf_bl*(N10-N35)</f>
        <v>0</v>
      </c>
      <c r="O110" s="45" t="n">
        <f aca="false">O35+p_ccf_bl*(O10-O35)</f>
        <v>0</v>
      </c>
      <c r="P110" s="45" t="n">
        <f aca="false">P35+p_ccf_bl*(P10-P35)</f>
        <v>1.0725</v>
      </c>
      <c r="Q110" s="45" t="n">
        <f aca="false">Q35+p_ccf_bl*(Q10-Q35)</f>
        <v>0.677345</v>
      </c>
      <c r="R110" s="45" t="n">
        <f aca="false">R35+p_ccf_bl*(R10-R35)</f>
        <v>1.3539593</v>
      </c>
      <c r="S110" s="45" t="n">
        <f aca="false">S35+p_ccf_bl*(S10-S35)</f>
        <v>1.996783</v>
      </c>
      <c r="T110" s="45" t="n">
        <f aca="false">T35+p_ccf_bl*(T10-T35)</f>
        <v>2.3203644</v>
      </c>
      <c r="U110" s="45" t="n">
        <f aca="false">U35+p_ccf_bl*(U10-U35)</f>
        <v>0</v>
      </c>
      <c r="V110" s="45" t="n">
        <f aca="false">V35+p_ccf_bl*(V10-V35)</f>
        <v>2.3853</v>
      </c>
      <c r="W110" s="45" t="n">
        <f aca="false">W35+p_ccf_bl*(W10-W35)</f>
        <v>0</v>
      </c>
      <c r="X110" s="45" t="n">
        <f aca="false">X35+p_ccf_bl*(X10-X35)</f>
        <v>0</v>
      </c>
      <c r="Y110" s="45" t="n">
        <f aca="false">Y35+p_ccf_bl*(Y10-Y35)</f>
        <v>0.92</v>
      </c>
      <c r="Z110" s="45" t="n">
        <f aca="false">Z35+p_ccf_bl*(Z10-Z35)</f>
        <v>0</v>
      </c>
      <c r="AB110" s="22" t="n">
        <f aca="false">INDEX(BDC!$AA$6:$AA$39,$B10)</f>
        <v>0.487349878856282</v>
      </c>
      <c r="AC110" s="22" t="n">
        <f aca="false">INDEX(BDC!$AB$6:$AB$39,$B10)</f>
        <v>0</v>
      </c>
    </row>
    <row r="111" customFormat="false" ht="15" hidden="false" customHeight="true" outlineLevel="0" collapsed="false">
      <c r="A111" s="10" t="s">
        <v>640</v>
      </c>
      <c r="C111" s="45" t="n">
        <f aca="false">C36+p_ccf_bl*(C11-C36)</f>
        <v>0</v>
      </c>
      <c r="D111" s="45" t="n">
        <f aca="false">D36+p_ccf_bl*(D11-D36)</f>
        <v>0.75574</v>
      </c>
      <c r="E111" s="45" t="n">
        <f aca="false">E36+p_ccf_bl*(E11-E36)</f>
        <v>0</v>
      </c>
      <c r="F111" s="45" t="n">
        <f aca="false">F36+p_ccf_bl*(F11-F36)</f>
        <v>0</v>
      </c>
      <c r="G111" s="45" t="n">
        <f aca="false">G36+p_ccf_bl*(G11-G36)</f>
        <v>0</v>
      </c>
      <c r="H111" s="45" t="n">
        <f aca="false">H36+p_ccf_bl*(H11-H36)</f>
        <v>0</v>
      </c>
      <c r="I111" s="45" t="n">
        <f aca="false">I36+p_ccf_bl*(I11-I36)</f>
        <v>0</v>
      </c>
      <c r="J111" s="45" t="n">
        <f aca="false">J36+p_ccf_bl*(J11-J36)</f>
        <v>0</v>
      </c>
      <c r="K111" s="45" t="n">
        <f aca="false">K36+p_ccf_bl*(K11-K36)</f>
        <v>0</v>
      </c>
      <c r="L111" s="45" t="n">
        <f aca="false">L36+p_ccf_bl*(L11-L36)</f>
        <v>0</v>
      </c>
      <c r="M111" s="45" t="n">
        <f aca="false">M36+p_ccf_bl*(M11-M36)</f>
        <v>0</v>
      </c>
      <c r="N111" s="45" t="n">
        <f aca="false">N36+p_ccf_bl*(N11-N36)</f>
        <v>0</v>
      </c>
      <c r="O111" s="45" t="n">
        <f aca="false">O36+p_ccf_bl*(O11-O36)</f>
        <v>0</v>
      </c>
      <c r="P111" s="45" t="n">
        <f aca="false">P36+p_ccf_bl*(P11-P36)</f>
        <v>0</v>
      </c>
      <c r="Q111" s="45" t="n">
        <f aca="false">Q36+p_ccf_bl*(Q11-Q36)</f>
        <v>0</v>
      </c>
      <c r="R111" s="45" t="n">
        <f aca="false">R36+p_ccf_bl*(R11-R36)</f>
        <v>0</v>
      </c>
      <c r="S111" s="45" t="n">
        <f aca="false">S36+p_ccf_bl*(S11-S36)</f>
        <v>1.449655</v>
      </c>
      <c r="T111" s="45" t="n">
        <f aca="false">T36+p_ccf_bl*(T11-T36)</f>
        <v>0</v>
      </c>
      <c r="U111" s="45" t="n">
        <f aca="false">U36+p_ccf_bl*(U11-U36)</f>
        <v>0</v>
      </c>
      <c r="V111" s="45" t="n">
        <f aca="false">V36+p_ccf_bl*(V11-V36)</f>
        <v>0</v>
      </c>
      <c r="W111" s="45" t="n">
        <f aca="false">W36+p_ccf_bl*(W11-W36)</f>
        <v>0</v>
      </c>
      <c r="X111" s="45" t="n">
        <f aca="false">X36+p_ccf_bl*(X11-X36)</f>
        <v>0</v>
      </c>
      <c r="Y111" s="45" t="n">
        <f aca="false">Y36+p_ccf_bl*(Y11-Y36)</f>
        <v>0</v>
      </c>
      <c r="Z111" s="45" t="n">
        <f aca="false">Z36+p_ccf_bl*(Z11-Z36)</f>
        <v>0</v>
      </c>
      <c r="AB111" s="22" t="n">
        <f aca="false">INDEX(BDC!$AA$6:$AA$39,$B11)</f>
        <v>0.352273063049822</v>
      </c>
      <c r="AC111" s="22" t="n">
        <f aca="false">INDEX(BDC!$AB$6:$AB$39,$B11)</f>
        <v>0</v>
      </c>
    </row>
    <row r="112" customFormat="false" ht="15" hidden="false" customHeight="true" outlineLevel="0" collapsed="false">
      <c r="A112" s="10" t="s">
        <v>657</v>
      </c>
      <c r="C112" s="45" t="n">
        <f aca="false">C37+p_ccf_bl*(C12-C37)</f>
        <v>0</v>
      </c>
      <c r="D112" s="45" t="n">
        <f aca="false">D37+p_ccf_bl*(D12-D37)</f>
        <v>0</v>
      </c>
      <c r="E112" s="45" t="n">
        <f aca="false">E37+p_ccf_bl*(E12-E37)</f>
        <v>0</v>
      </c>
      <c r="F112" s="45" t="n">
        <f aca="false">F37+p_ccf_bl*(F12-F37)</f>
        <v>0</v>
      </c>
      <c r="G112" s="45" t="n">
        <f aca="false">G37+p_ccf_bl*(G12-G37)</f>
        <v>0</v>
      </c>
      <c r="H112" s="45" t="n">
        <f aca="false">H37+p_ccf_bl*(H12-H37)</f>
        <v>0</v>
      </c>
      <c r="I112" s="45" t="n">
        <f aca="false">I37+p_ccf_bl*(I12-I37)</f>
        <v>0</v>
      </c>
      <c r="J112" s="45" t="n">
        <f aca="false">J37+p_ccf_bl*(J12-J37)</f>
        <v>0</v>
      </c>
      <c r="K112" s="45" t="n">
        <f aca="false">K37+p_ccf_bl*(K12-K37)</f>
        <v>0</v>
      </c>
      <c r="L112" s="45" t="n">
        <f aca="false">L37+p_ccf_bl*(L12-L37)</f>
        <v>0</v>
      </c>
      <c r="M112" s="45" t="n">
        <f aca="false">M37+p_ccf_bl*(M12-M37)</f>
        <v>0</v>
      </c>
      <c r="N112" s="45" t="n">
        <f aca="false">N37+p_ccf_bl*(N12-N37)</f>
        <v>0</v>
      </c>
      <c r="O112" s="45" t="n">
        <f aca="false">O37+p_ccf_bl*(O12-O37)</f>
        <v>0</v>
      </c>
      <c r="P112" s="45" t="n">
        <f aca="false">P37+p_ccf_bl*(P12-P37)</f>
        <v>0</v>
      </c>
      <c r="Q112" s="45" t="n">
        <f aca="false">Q37+p_ccf_bl*(Q12-Q37)</f>
        <v>0</v>
      </c>
      <c r="R112" s="45" t="n">
        <f aca="false">R37+p_ccf_bl*(R12-R37)</f>
        <v>0</v>
      </c>
      <c r="S112" s="45" t="n">
        <f aca="false">S37+p_ccf_bl*(S12-S37)</f>
        <v>0</v>
      </c>
      <c r="T112" s="45" t="n">
        <f aca="false">T37+p_ccf_bl*(T12-T37)</f>
        <v>0</v>
      </c>
      <c r="U112" s="45" t="n">
        <f aca="false">U37+p_ccf_bl*(U12-U37)</f>
        <v>0</v>
      </c>
      <c r="V112" s="45" t="n">
        <f aca="false">V37+p_ccf_bl*(V12-V37)</f>
        <v>0</v>
      </c>
      <c r="W112" s="45" t="n">
        <f aca="false">W37+p_ccf_bl*(W12-W37)</f>
        <v>0</v>
      </c>
      <c r="X112" s="45" t="n">
        <f aca="false">X37+p_ccf_bl*(X12-X37)</f>
        <v>0</v>
      </c>
      <c r="Y112" s="45" t="n">
        <f aca="false">Y37+p_ccf_bl*(Y12-Y37)</f>
        <v>0</v>
      </c>
      <c r="Z112" s="45" t="n">
        <f aca="false">Z37+p_ccf_bl*(Z12-Z37)</f>
        <v>0</v>
      </c>
      <c r="AB112" s="22" t="n">
        <f aca="false">INDEX(BDC!$AA$6:$AA$39,$B12)</f>
        <v>0.511670284575756</v>
      </c>
      <c r="AC112" s="22" t="n">
        <f aca="false">INDEX(BDC!$AB$6:$AB$39,$B12)</f>
        <v>0</v>
      </c>
    </row>
    <row r="113" customFormat="false" ht="15" hidden="false" customHeight="true" outlineLevel="0" collapsed="false">
      <c r="A113" s="10" t="s">
        <v>641</v>
      </c>
      <c r="C113" s="45" t="n">
        <f aca="false">C38+p_ccf_bl*(C13-C38)</f>
        <v>0</v>
      </c>
      <c r="D113" s="45" t="n">
        <f aca="false">D38+p_ccf_bl*(D13-D38)</f>
        <v>0</v>
      </c>
      <c r="E113" s="45" t="n">
        <f aca="false">E38+p_ccf_bl*(E13-E38)</f>
        <v>0</v>
      </c>
      <c r="F113" s="45" t="n">
        <f aca="false">F38+p_ccf_bl*(F13-F38)</f>
        <v>0</v>
      </c>
      <c r="G113" s="45" t="n">
        <f aca="false">G38+p_ccf_bl*(G13-G38)</f>
        <v>0</v>
      </c>
      <c r="H113" s="45" t="n">
        <f aca="false">H38+p_ccf_bl*(H13-H38)</f>
        <v>0</v>
      </c>
      <c r="I113" s="45" t="n">
        <f aca="false">I38+p_ccf_bl*(I13-I38)</f>
        <v>0</v>
      </c>
      <c r="J113" s="45" t="n">
        <f aca="false">J38+p_ccf_bl*(J13-J38)</f>
        <v>0</v>
      </c>
      <c r="K113" s="45" t="n">
        <f aca="false">K38+p_ccf_bl*(K13-K38)</f>
        <v>0</v>
      </c>
      <c r="L113" s="45" t="n">
        <f aca="false">L38+p_ccf_bl*(L13-L38)</f>
        <v>0</v>
      </c>
      <c r="M113" s="45" t="n">
        <f aca="false">M38+p_ccf_bl*(M13-M38)</f>
        <v>0</v>
      </c>
      <c r="N113" s="45" t="n">
        <f aca="false">N38+p_ccf_bl*(N13-N38)</f>
        <v>0</v>
      </c>
      <c r="O113" s="45" t="n">
        <f aca="false">O38+p_ccf_bl*(O13-O38)</f>
        <v>0</v>
      </c>
      <c r="P113" s="45" t="n">
        <f aca="false">P38+p_ccf_bl*(P13-P38)</f>
        <v>0</v>
      </c>
      <c r="Q113" s="45" t="n">
        <f aca="false">Q38+p_ccf_bl*(Q13-Q38)</f>
        <v>0</v>
      </c>
      <c r="R113" s="45" t="n">
        <f aca="false">R38+p_ccf_bl*(R13-R38)</f>
        <v>0</v>
      </c>
      <c r="S113" s="45" t="n">
        <f aca="false">S38+p_ccf_bl*(S13-S38)</f>
        <v>0</v>
      </c>
      <c r="T113" s="45" t="n">
        <f aca="false">T38+p_ccf_bl*(T13-T38)</f>
        <v>0</v>
      </c>
      <c r="U113" s="45" t="n">
        <f aca="false">U38+p_ccf_bl*(U13-U38)</f>
        <v>0</v>
      </c>
      <c r="V113" s="45" t="n">
        <f aca="false">V38+p_ccf_bl*(V13-V38)</f>
        <v>0</v>
      </c>
      <c r="W113" s="45" t="n">
        <f aca="false">W38+p_ccf_bl*(W13-W38)</f>
        <v>0</v>
      </c>
      <c r="X113" s="45" t="n">
        <f aca="false">X38+p_ccf_bl*(X13-X38)</f>
        <v>0</v>
      </c>
      <c r="Y113" s="45" t="n">
        <f aca="false">Y38+p_ccf_bl*(Y13-Y38)</f>
        <v>0</v>
      </c>
      <c r="Z113" s="45" t="n">
        <f aca="false">Z38+p_ccf_bl*(Z13-Z38)</f>
        <v>0</v>
      </c>
      <c r="AB113" s="22" t="n">
        <f aca="false">INDEX(BDC!$AA$6:$AA$39,$B13)</f>
        <v>0.580125325061804</v>
      </c>
      <c r="AC113" s="22" t="n">
        <f aca="false">INDEX(BDC!$AB$6:$AB$39,$B13)</f>
        <v>0</v>
      </c>
    </row>
    <row r="114" customFormat="false" ht="15" hidden="false" customHeight="true" outlineLevel="0" collapsed="false">
      <c r="A114" s="10" t="s">
        <v>644</v>
      </c>
      <c r="C114" s="45" t="n">
        <f aca="false">C39+p_ccf_bl*(C14-C39)</f>
        <v>0</v>
      </c>
      <c r="D114" s="45" t="n">
        <f aca="false">D39+p_ccf_bl*(D14-D39)</f>
        <v>0</v>
      </c>
      <c r="E114" s="45" t="n">
        <f aca="false">E39+p_ccf_bl*(E14-E39)</f>
        <v>0</v>
      </c>
      <c r="F114" s="45" t="n">
        <f aca="false">F39+p_ccf_bl*(F14-F39)</f>
        <v>0</v>
      </c>
      <c r="G114" s="45" t="n">
        <f aca="false">G39+p_ccf_bl*(G14-G39)</f>
        <v>0</v>
      </c>
      <c r="H114" s="45" t="n">
        <f aca="false">H39+p_ccf_bl*(H14-H39)</f>
        <v>0</v>
      </c>
      <c r="I114" s="45" t="n">
        <f aca="false">I39+p_ccf_bl*(I14-I39)</f>
        <v>0</v>
      </c>
      <c r="J114" s="45" t="n">
        <f aca="false">J39+p_ccf_bl*(J14-J39)</f>
        <v>0</v>
      </c>
      <c r="K114" s="45" t="n">
        <f aca="false">K39+p_ccf_bl*(K14-K39)</f>
        <v>0</v>
      </c>
      <c r="L114" s="45" t="n">
        <f aca="false">L39+p_ccf_bl*(L14-L39)</f>
        <v>0</v>
      </c>
      <c r="M114" s="45" t="n">
        <f aca="false">M39+p_ccf_bl*(M14-M39)</f>
        <v>0</v>
      </c>
      <c r="N114" s="45" t="n">
        <f aca="false">N39+p_ccf_bl*(N14-N39)</f>
        <v>0</v>
      </c>
      <c r="O114" s="45" t="n">
        <f aca="false">O39+p_ccf_bl*(O14-O39)</f>
        <v>0</v>
      </c>
      <c r="P114" s="45" t="n">
        <f aca="false">P39+p_ccf_bl*(P14-P39)</f>
        <v>0</v>
      </c>
      <c r="Q114" s="45" t="n">
        <f aca="false">Q39+p_ccf_bl*(Q14-Q39)</f>
        <v>0</v>
      </c>
      <c r="R114" s="45" t="n">
        <f aca="false">R39+p_ccf_bl*(R14-R39)</f>
        <v>0</v>
      </c>
      <c r="S114" s="45" t="n">
        <f aca="false">S39+p_ccf_bl*(S14-S39)</f>
        <v>0</v>
      </c>
      <c r="T114" s="45" t="n">
        <f aca="false">T39+p_ccf_bl*(T14-T39)</f>
        <v>0</v>
      </c>
      <c r="U114" s="45" t="n">
        <f aca="false">U39+p_ccf_bl*(U14-U39)</f>
        <v>0</v>
      </c>
      <c r="V114" s="45" t="n">
        <f aca="false">V39+p_ccf_bl*(V14-V39)</f>
        <v>0</v>
      </c>
      <c r="W114" s="45" t="n">
        <f aca="false">W39+p_ccf_bl*(W14-W39)</f>
        <v>0</v>
      </c>
      <c r="X114" s="45" t="n">
        <f aca="false">X39+p_ccf_bl*(X14-X39)</f>
        <v>0</v>
      </c>
      <c r="Y114" s="45" t="n">
        <f aca="false">Y39+p_ccf_bl*(Y14-Y39)</f>
        <v>0</v>
      </c>
      <c r="Z114" s="45" t="n">
        <f aca="false">Z39+p_ccf_bl*(Z14-Z39)</f>
        <v>0</v>
      </c>
      <c r="AB114" s="22" t="n">
        <f aca="false">INDEX(BDC!$AA$6:$AA$39,$B14)</f>
        <v>0.421385030585218</v>
      </c>
      <c r="AC114" s="22" t="n">
        <f aca="false">INDEX(BDC!$AB$6:$AB$39,$B14)</f>
        <v>0</v>
      </c>
    </row>
    <row r="115" customFormat="false" ht="15" hidden="false" customHeight="true" outlineLevel="0" collapsed="false">
      <c r="A115" s="10" t="s">
        <v>654</v>
      </c>
      <c r="C115" s="45" t="n">
        <f aca="false">C40+p_ccf_bl*(C15-C40)</f>
        <v>0</v>
      </c>
      <c r="D115" s="45" t="n">
        <f aca="false">D40+p_ccf_bl*(D15-D40)</f>
        <v>0</v>
      </c>
      <c r="E115" s="45" t="n">
        <f aca="false">E40+p_ccf_bl*(E15-E40)</f>
        <v>0</v>
      </c>
      <c r="F115" s="45" t="n">
        <f aca="false">F40+p_ccf_bl*(F15-F40)</f>
        <v>0</v>
      </c>
      <c r="G115" s="45" t="n">
        <f aca="false">G40+p_ccf_bl*(G15-G40)</f>
        <v>0</v>
      </c>
      <c r="H115" s="45" t="n">
        <f aca="false">H40+p_ccf_bl*(H15-H40)</f>
        <v>0</v>
      </c>
      <c r="I115" s="45" t="n">
        <f aca="false">I40+p_ccf_bl*(I15-I40)</f>
        <v>0</v>
      </c>
      <c r="J115" s="45" t="n">
        <f aca="false">J40+p_ccf_bl*(J15-J40)</f>
        <v>0</v>
      </c>
      <c r="K115" s="45" t="n">
        <f aca="false">K40+p_ccf_bl*(K15-K40)</f>
        <v>0</v>
      </c>
      <c r="L115" s="45" t="n">
        <f aca="false">L40+p_ccf_bl*(L15-L40)</f>
        <v>0</v>
      </c>
      <c r="M115" s="45" t="n">
        <f aca="false">M40+p_ccf_bl*(M15-M40)</f>
        <v>0</v>
      </c>
      <c r="N115" s="45" t="n">
        <f aca="false">N40+p_ccf_bl*(N15-N40)</f>
        <v>0</v>
      </c>
      <c r="O115" s="45" t="n">
        <f aca="false">O40+p_ccf_bl*(O15-O40)</f>
        <v>0</v>
      </c>
      <c r="P115" s="45" t="n">
        <f aca="false">P40+p_ccf_bl*(P15-P40)</f>
        <v>0</v>
      </c>
      <c r="Q115" s="45" t="n">
        <f aca="false">Q40+p_ccf_bl*(Q15-Q40)</f>
        <v>0</v>
      </c>
      <c r="R115" s="45" t="n">
        <f aca="false">R40+p_ccf_bl*(R15-R40)</f>
        <v>0</v>
      </c>
      <c r="S115" s="45" t="n">
        <f aca="false">S40+p_ccf_bl*(S15-S40)</f>
        <v>0</v>
      </c>
      <c r="T115" s="45" t="n">
        <f aca="false">T40+p_ccf_bl*(T15-T40)</f>
        <v>0</v>
      </c>
      <c r="U115" s="45" t="n">
        <f aca="false">U40+p_ccf_bl*(U15-U40)</f>
        <v>0</v>
      </c>
      <c r="V115" s="45" t="n">
        <f aca="false">V40+p_ccf_bl*(V15-V40)</f>
        <v>0</v>
      </c>
      <c r="W115" s="45" t="n">
        <f aca="false">W40+p_ccf_bl*(W15-W40)</f>
        <v>0</v>
      </c>
      <c r="X115" s="45" t="n">
        <f aca="false">X40+p_ccf_bl*(X15-X40)</f>
        <v>0</v>
      </c>
      <c r="Y115" s="45" t="n">
        <f aca="false">Y40+p_ccf_bl*(Y15-Y40)</f>
        <v>0</v>
      </c>
      <c r="Z115" s="45" t="n">
        <f aca="false">Z40+p_ccf_bl*(Z15-Z40)</f>
        <v>0</v>
      </c>
      <c r="AB115" s="22" t="n">
        <f aca="false">INDEX(BDC!$AA$6:$AA$39,$B15)</f>
        <v>0.475966897741621</v>
      </c>
      <c r="AC115" s="22" t="n">
        <f aca="false">INDEX(BDC!$AB$6:$AB$39,$B15)</f>
        <v>0</v>
      </c>
    </row>
    <row r="116" customFormat="false" ht="15" hidden="false" customHeight="true" outlineLevel="0" collapsed="false">
      <c r="A116" s="10" t="s">
        <v>635</v>
      </c>
      <c r="C116" s="45" t="n">
        <f aca="false">C41+p_ccf_bl*(C16-C41)</f>
        <v>0</v>
      </c>
      <c r="D116" s="45" t="n">
        <f aca="false">D41+p_ccf_bl*(D16-D41)</f>
        <v>1.4068143</v>
      </c>
      <c r="E116" s="45" t="n">
        <f aca="false">E41+p_ccf_bl*(E16-E41)</f>
        <v>0</v>
      </c>
      <c r="F116" s="45" t="n">
        <f aca="false">F41+p_ccf_bl*(F16-F41)</f>
        <v>0.9096539</v>
      </c>
      <c r="G116" s="45" t="n">
        <f aca="false">G41+p_ccf_bl*(G16-G41)</f>
        <v>0</v>
      </c>
      <c r="H116" s="45" t="n">
        <f aca="false">H41+p_ccf_bl*(H16-H41)</f>
        <v>1.5125788</v>
      </c>
      <c r="I116" s="45" t="n">
        <f aca="false">I41+p_ccf_bl*(I16-I41)</f>
        <v>0</v>
      </c>
      <c r="J116" s="45" t="n">
        <f aca="false">J41+p_ccf_bl*(J16-J41)</f>
        <v>0</v>
      </c>
      <c r="K116" s="45" t="n">
        <f aca="false">K41+p_ccf_bl*(K16-K41)</f>
        <v>0</v>
      </c>
      <c r="L116" s="45" t="n">
        <f aca="false">L41+p_ccf_bl*(L16-L41)</f>
        <v>0</v>
      </c>
      <c r="M116" s="45" t="n">
        <f aca="false">M41+p_ccf_bl*(M16-M41)</f>
        <v>0</v>
      </c>
      <c r="N116" s="45" t="n">
        <f aca="false">N41+p_ccf_bl*(N16-N41)</f>
        <v>0</v>
      </c>
      <c r="O116" s="45" t="n">
        <f aca="false">O41+p_ccf_bl*(O16-O41)</f>
        <v>0</v>
      </c>
      <c r="P116" s="45" t="n">
        <f aca="false">P41+p_ccf_bl*(P16-P41)</f>
        <v>0</v>
      </c>
      <c r="Q116" s="45" t="n">
        <f aca="false">Q41+p_ccf_bl*(Q16-Q41)</f>
        <v>0</v>
      </c>
      <c r="R116" s="45" t="n">
        <f aca="false">R41+p_ccf_bl*(R16-R41)</f>
        <v>0</v>
      </c>
      <c r="S116" s="45" t="n">
        <f aca="false">S41+p_ccf_bl*(S16-S41)</f>
        <v>0.95032</v>
      </c>
      <c r="T116" s="45" t="n">
        <f aca="false">T41+p_ccf_bl*(T16-T41)</f>
        <v>0</v>
      </c>
      <c r="U116" s="45" t="n">
        <f aca="false">U41+p_ccf_bl*(U16-U41)</f>
        <v>0</v>
      </c>
      <c r="V116" s="45" t="n">
        <f aca="false">V41+p_ccf_bl*(V16-V41)</f>
        <v>0</v>
      </c>
      <c r="W116" s="45" t="n">
        <f aca="false">W41+p_ccf_bl*(W16-W41)</f>
        <v>0</v>
      </c>
      <c r="X116" s="45" t="n">
        <f aca="false">X41+p_ccf_bl*(X16-X41)</f>
        <v>0</v>
      </c>
      <c r="Y116" s="45" t="n">
        <f aca="false">Y41+p_ccf_bl*(Y16-Y41)</f>
        <v>0</v>
      </c>
      <c r="Z116" s="45" t="n">
        <f aca="false">Z41+p_ccf_bl*(Z16-Z41)</f>
        <v>0</v>
      </c>
      <c r="AB116" s="22" t="n">
        <f aca="false">INDEX(BDC!$AA$6:$AA$39,$B16)</f>
        <v>0.461869774129555</v>
      </c>
      <c r="AC116" s="22" t="n">
        <f aca="false">INDEX(BDC!$AB$6:$AB$39,$B16)</f>
        <v>0</v>
      </c>
    </row>
    <row r="117" customFormat="false" ht="15" hidden="false" customHeight="true" outlineLevel="0" collapsed="false">
      <c r="A117" s="10" t="s">
        <v>651</v>
      </c>
      <c r="C117" s="45" t="n">
        <f aca="false">C42+p_ccf_bl*(C17-C42)</f>
        <v>0</v>
      </c>
      <c r="D117" s="45" t="n">
        <f aca="false">D42+p_ccf_bl*(D17-D42)</f>
        <v>0</v>
      </c>
      <c r="E117" s="45" t="n">
        <f aca="false">E42+p_ccf_bl*(E17-E42)</f>
        <v>0</v>
      </c>
      <c r="F117" s="45" t="n">
        <f aca="false">F42+p_ccf_bl*(F17-F42)</f>
        <v>0</v>
      </c>
      <c r="G117" s="45" t="n">
        <f aca="false">G42+p_ccf_bl*(G17-G42)</f>
        <v>0.069</v>
      </c>
      <c r="H117" s="45" t="n">
        <f aca="false">H42+p_ccf_bl*(H17-H42)</f>
        <v>0</v>
      </c>
      <c r="I117" s="45" t="n">
        <f aca="false">I42+p_ccf_bl*(I17-I42)</f>
        <v>0</v>
      </c>
      <c r="J117" s="45" t="n">
        <f aca="false">J42+p_ccf_bl*(J17-J42)</f>
        <v>0</v>
      </c>
      <c r="K117" s="45" t="n">
        <f aca="false">K42+p_ccf_bl*(K17-K42)</f>
        <v>0</v>
      </c>
      <c r="L117" s="45" t="n">
        <f aca="false">L42+p_ccf_bl*(L17-L42)</f>
        <v>0</v>
      </c>
      <c r="M117" s="45" t="n">
        <f aca="false">M42+p_ccf_bl*(M17-M42)</f>
        <v>0</v>
      </c>
      <c r="N117" s="45" t="n">
        <f aca="false">N42+p_ccf_bl*(N17-N42)</f>
        <v>0</v>
      </c>
      <c r="O117" s="45" t="n">
        <f aca="false">O42+p_ccf_bl*(O17-O42)</f>
        <v>0.023</v>
      </c>
      <c r="P117" s="45" t="n">
        <f aca="false">P42+p_ccf_bl*(P17-P42)</f>
        <v>0</v>
      </c>
      <c r="Q117" s="45" t="n">
        <f aca="false">Q42+p_ccf_bl*(Q17-Q42)</f>
        <v>0</v>
      </c>
      <c r="R117" s="45" t="n">
        <f aca="false">R42+p_ccf_bl*(R17-R42)</f>
        <v>0</v>
      </c>
      <c r="S117" s="45" t="n">
        <f aca="false">S42+p_ccf_bl*(S17-S42)</f>
        <v>0</v>
      </c>
      <c r="T117" s="45" t="n">
        <f aca="false">T42+p_ccf_bl*(T17-T42)</f>
        <v>0</v>
      </c>
      <c r="U117" s="45" t="n">
        <f aca="false">U42+p_ccf_bl*(U17-U42)</f>
        <v>0</v>
      </c>
      <c r="V117" s="45" t="n">
        <f aca="false">V42+p_ccf_bl*(V17-V42)</f>
        <v>0.138</v>
      </c>
      <c r="W117" s="45" t="n">
        <f aca="false">W42+p_ccf_bl*(W17-W42)</f>
        <v>0</v>
      </c>
      <c r="X117" s="45" t="n">
        <f aca="false">X42+p_ccf_bl*(X17-X42)</f>
        <v>0</v>
      </c>
      <c r="Y117" s="45" t="n">
        <f aca="false">Y42+p_ccf_bl*(Y17-Y42)</f>
        <v>0.0368</v>
      </c>
      <c r="Z117" s="45" t="n">
        <f aca="false">Z42+p_ccf_bl*(Z17-Z42)</f>
        <v>0</v>
      </c>
      <c r="AB117" s="22" t="n">
        <f aca="false">INDEX(BDC!$AA$6:$AA$39,$B17)</f>
        <v>0.343860165009155</v>
      </c>
      <c r="AC117" s="22" t="n">
        <f aca="false">INDEX(BDC!$AB$6:$AB$39,$B17)</f>
        <v>0</v>
      </c>
    </row>
    <row r="118" customFormat="false" ht="15" hidden="false" customHeight="true" outlineLevel="0" collapsed="false">
      <c r="A118" s="10" t="s">
        <v>648</v>
      </c>
      <c r="C118" s="45" t="n">
        <f aca="false">C43+p_ccf_bl*(C18-C43)</f>
        <v>0</v>
      </c>
      <c r="D118" s="45" t="n">
        <f aca="false">D43+p_ccf_bl*(D18-D43)</f>
        <v>0</v>
      </c>
      <c r="E118" s="45" t="n">
        <f aca="false">E43+p_ccf_bl*(E18-E43)</f>
        <v>0</v>
      </c>
      <c r="F118" s="45" t="n">
        <f aca="false">F43+p_ccf_bl*(F18-F43)</f>
        <v>0</v>
      </c>
      <c r="G118" s="45" t="n">
        <f aca="false">G43+p_ccf_bl*(G18-G43)</f>
        <v>0</v>
      </c>
      <c r="H118" s="45" t="n">
        <f aca="false">H43+p_ccf_bl*(H18-H43)</f>
        <v>0</v>
      </c>
      <c r="I118" s="45" t="n">
        <f aca="false">I43+p_ccf_bl*(I18-I43)</f>
        <v>0</v>
      </c>
      <c r="J118" s="45" t="n">
        <f aca="false">J43+p_ccf_bl*(J18-J43)</f>
        <v>0</v>
      </c>
      <c r="K118" s="45" t="n">
        <f aca="false">K43+p_ccf_bl*(K18-K43)</f>
        <v>0</v>
      </c>
      <c r="L118" s="45" t="n">
        <f aca="false">L43+p_ccf_bl*(L18-L43)</f>
        <v>0</v>
      </c>
      <c r="M118" s="45" t="n">
        <f aca="false">M43+p_ccf_bl*(M18-M43)</f>
        <v>0</v>
      </c>
      <c r="N118" s="45" t="n">
        <f aca="false">N43+p_ccf_bl*(N18-N43)</f>
        <v>0</v>
      </c>
      <c r="O118" s="45" t="n">
        <f aca="false">O43+p_ccf_bl*(O18-O43)</f>
        <v>0</v>
      </c>
      <c r="P118" s="45" t="n">
        <f aca="false">P43+p_ccf_bl*(P18-P43)</f>
        <v>0</v>
      </c>
      <c r="Q118" s="45" t="n">
        <f aca="false">Q43+p_ccf_bl*(Q18-Q43)</f>
        <v>0</v>
      </c>
      <c r="R118" s="45" t="n">
        <f aca="false">R43+p_ccf_bl*(R18-R43)</f>
        <v>0</v>
      </c>
      <c r="S118" s="45" t="n">
        <f aca="false">S43+p_ccf_bl*(S18-S43)</f>
        <v>0</v>
      </c>
      <c r="T118" s="45" t="n">
        <f aca="false">T43+p_ccf_bl*(T18-T43)</f>
        <v>0</v>
      </c>
      <c r="U118" s="45" t="n">
        <f aca="false">U43+p_ccf_bl*(U18-U43)</f>
        <v>0</v>
      </c>
      <c r="V118" s="45" t="n">
        <f aca="false">V43+p_ccf_bl*(V18-V43)</f>
        <v>0</v>
      </c>
      <c r="W118" s="45" t="n">
        <f aca="false">W43+p_ccf_bl*(W18-W43)</f>
        <v>0</v>
      </c>
      <c r="X118" s="45" t="n">
        <f aca="false">X43+p_ccf_bl*(X18-X43)</f>
        <v>0</v>
      </c>
      <c r="Y118" s="45" t="n">
        <f aca="false">Y43+p_ccf_bl*(Y18-Y43)</f>
        <v>0</v>
      </c>
      <c r="Z118" s="45" t="n">
        <f aca="false">Z43+p_ccf_bl*(Z18-Z43)</f>
        <v>0</v>
      </c>
      <c r="AB118" s="22" t="n">
        <f aca="false">INDEX(BDC!$AA$6:$AA$39,$B18)</f>
        <v>0.25778712831033</v>
      </c>
      <c r="AC118" s="22" t="n">
        <f aca="false">INDEX(BDC!$AB$6:$AB$39,$B18)</f>
        <v>0</v>
      </c>
    </row>
    <row r="119" customFormat="false" ht="15" hidden="false" customHeight="true" outlineLevel="0" collapsed="false">
      <c r="A119" s="10" t="s">
        <v>652</v>
      </c>
      <c r="C119" s="45" t="n">
        <f aca="false">C44+p_ccf_bl*(C19-C44)</f>
        <v>0</v>
      </c>
      <c r="D119" s="45" t="n">
        <f aca="false">D44+p_ccf_bl*(D19-D44)</f>
        <v>0</v>
      </c>
      <c r="E119" s="45" t="n">
        <f aca="false">E44+p_ccf_bl*(E19-E44)</f>
        <v>0</v>
      </c>
      <c r="F119" s="45" t="n">
        <f aca="false">F44+p_ccf_bl*(F19-F44)</f>
        <v>0</v>
      </c>
      <c r="G119" s="45" t="n">
        <f aca="false">G44+p_ccf_bl*(G19-G44)</f>
        <v>0</v>
      </c>
      <c r="H119" s="45" t="n">
        <f aca="false">H44+p_ccf_bl*(H19-H44)</f>
        <v>0</v>
      </c>
      <c r="I119" s="45" t="n">
        <f aca="false">I44+p_ccf_bl*(I19-I44)</f>
        <v>0</v>
      </c>
      <c r="J119" s="45" t="n">
        <f aca="false">J44+p_ccf_bl*(J19-J44)</f>
        <v>0</v>
      </c>
      <c r="K119" s="45" t="n">
        <f aca="false">K44+p_ccf_bl*(K19-K44)</f>
        <v>0</v>
      </c>
      <c r="L119" s="45" t="n">
        <f aca="false">L44+p_ccf_bl*(L19-L44)</f>
        <v>0</v>
      </c>
      <c r="M119" s="45" t="n">
        <f aca="false">M44+p_ccf_bl*(M19-M44)</f>
        <v>0</v>
      </c>
      <c r="N119" s="45" t="n">
        <f aca="false">N44+p_ccf_bl*(N19-N44)</f>
        <v>0</v>
      </c>
      <c r="O119" s="45" t="n">
        <f aca="false">O44+p_ccf_bl*(O19-O44)</f>
        <v>0</v>
      </c>
      <c r="P119" s="45" t="n">
        <f aca="false">P44+p_ccf_bl*(P19-P44)</f>
        <v>0</v>
      </c>
      <c r="Q119" s="45" t="n">
        <f aca="false">Q44+p_ccf_bl*(Q19-Q44)</f>
        <v>0</v>
      </c>
      <c r="R119" s="45" t="n">
        <f aca="false">R44+p_ccf_bl*(R19-R44)</f>
        <v>0</v>
      </c>
      <c r="S119" s="45" t="n">
        <f aca="false">S44+p_ccf_bl*(S19-S44)</f>
        <v>0.2881251</v>
      </c>
      <c r="T119" s="45" t="n">
        <f aca="false">T44+p_ccf_bl*(T19-T44)</f>
        <v>0</v>
      </c>
      <c r="U119" s="45" t="n">
        <f aca="false">U44+p_ccf_bl*(U19-U44)</f>
        <v>0</v>
      </c>
      <c r="V119" s="45" t="n">
        <f aca="false">V44+p_ccf_bl*(V19-V44)</f>
        <v>0</v>
      </c>
      <c r="W119" s="45" t="n">
        <f aca="false">W44+p_ccf_bl*(W19-W44)</f>
        <v>0</v>
      </c>
      <c r="X119" s="45" t="n">
        <f aca="false">X44+p_ccf_bl*(X19-X44)</f>
        <v>0</v>
      </c>
      <c r="Y119" s="45" t="n">
        <f aca="false">Y44+p_ccf_bl*(Y19-Y44)</f>
        <v>0</v>
      </c>
      <c r="Z119" s="45" t="n">
        <f aca="false">Z44+p_ccf_bl*(Z19-Z44)</f>
        <v>0</v>
      </c>
      <c r="AB119" s="22" t="n">
        <f aca="false">INDEX(BDC!$AA$6:$AA$39,$B19)</f>
        <v>0.531841112836343</v>
      </c>
      <c r="AC119" s="22" t="n">
        <f aca="false">INDEX(BDC!$AB$6:$AB$39,$B19)</f>
        <v>0</v>
      </c>
    </row>
    <row r="120" customFormat="false" ht="15" hidden="false" customHeight="true" outlineLevel="0" collapsed="false">
      <c r="A120" s="10" t="s">
        <v>647</v>
      </c>
      <c r="C120" s="45" t="n">
        <f aca="false">C45+p_ccf_bl*(C20-C45)</f>
        <v>1.1638072</v>
      </c>
      <c r="D120" s="45" t="n">
        <f aca="false">D45+p_ccf_bl*(D20-D45)</f>
        <v>0</v>
      </c>
      <c r="E120" s="45" t="n">
        <f aca="false">E45+p_ccf_bl*(E20-E45)</f>
        <v>0</v>
      </c>
      <c r="F120" s="45" t="n">
        <f aca="false">F45+p_ccf_bl*(F20-F45)</f>
        <v>0.853125</v>
      </c>
      <c r="G120" s="45" t="n">
        <f aca="false">G45+p_ccf_bl*(G20-G45)</f>
        <v>0</v>
      </c>
      <c r="H120" s="45" t="n">
        <f aca="false">H45+p_ccf_bl*(H20-H45)</f>
        <v>0</v>
      </c>
      <c r="I120" s="45" t="n">
        <f aca="false">I45+p_ccf_bl*(I20-I45)</f>
        <v>0</v>
      </c>
      <c r="J120" s="45" t="n">
        <f aca="false">J45+p_ccf_bl*(J20-J45)</f>
        <v>0</v>
      </c>
      <c r="K120" s="45" t="n">
        <f aca="false">K45+p_ccf_bl*(K20-K45)</f>
        <v>0</v>
      </c>
      <c r="L120" s="45" t="n">
        <f aca="false">L45+p_ccf_bl*(L20-L45)</f>
        <v>0.072</v>
      </c>
      <c r="M120" s="45" t="n">
        <f aca="false">M45+p_ccf_bl*(M20-M45)</f>
        <v>0</v>
      </c>
      <c r="N120" s="45" t="n">
        <f aca="false">N45+p_ccf_bl*(N20-N45)</f>
        <v>0</v>
      </c>
      <c r="O120" s="45" t="n">
        <f aca="false">O45+p_ccf_bl*(O20-O45)</f>
        <v>0.1728</v>
      </c>
      <c r="P120" s="45" t="n">
        <f aca="false">P45+p_ccf_bl*(P20-P45)</f>
        <v>0</v>
      </c>
      <c r="Q120" s="45" t="n">
        <f aca="false">Q45+p_ccf_bl*(Q20-Q45)</f>
        <v>0</v>
      </c>
      <c r="R120" s="45" t="n">
        <f aca="false">R45+p_ccf_bl*(R20-R45)</f>
        <v>0</v>
      </c>
      <c r="S120" s="45" t="n">
        <f aca="false">S45+p_ccf_bl*(S20-S45)</f>
        <v>0</v>
      </c>
      <c r="T120" s="45" t="n">
        <f aca="false">T45+p_ccf_bl*(T20-T45)</f>
        <v>0</v>
      </c>
      <c r="U120" s="45" t="n">
        <f aca="false">U45+p_ccf_bl*(U20-U45)</f>
        <v>0</v>
      </c>
      <c r="V120" s="45" t="n">
        <f aca="false">V45+p_ccf_bl*(V20-V45)</f>
        <v>0</v>
      </c>
      <c r="W120" s="45" t="n">
        <f aca="false">W45+p_ccf_bl*(W20-W45)</f>
        <v>0</v>
      </c>
      <c r="X120" s="45" t="n">
        <f aca="false">X45+p_ccf_bl*(X20-X45)</f>
        <v>0</v>
      </c>
      <c r="Y120" s="45" t="n">
        <f aca="false">Y45+p_ccf_bl*(Y20-Y45)</f>
        <v>0</v>
      </c>
      <c r="Z120" s="45" t="n">
        <f aca="false">Z45+p_ccf_bl*(Z20-Z45)</f>
        <v>0</v>
      </c>
      <c r="AB120" s="22" t="n">
        <f aca="false">INDEX(BDC!$AA$6:$AA$39,$B20)</f>
        <v>0.477717156337642</v>
      </c>
      <c r="AC120" s="22" t="n">
        <f aca="false">INDEX(BDC!$AB$6:$AB$39,$B20)</f>
        <v>0</v>
      </c>
    </row>
    <row r="121" customFormat="false" ht="15" hidden="false" customHeight="true" outlineLevel="0" collapsed="false">
      <c r="A121" s="10" t="s">
        <v>659</v>
      </c>
      <c r="C121" s="45" t="n">
        <f aca="false">C46+p_ccf_bl*(C21-C46)</f>
        <v>0</v>
      </c>
      <c r="D121" s="45" t="n">
        <f aca="false">D46+p_ccf_bl*(D21-D46)</f>
        <v>0</v>
      </c>
      <c r="E121" s="45" t="n">
        <f aca="false">E46+p_ccf_bl*(E21-E46)</f>
        <v>0</v>
      </c>
      <c r="F121" s="45" t="n">
        <f aca="false">F46+p_ccf_bl*(F21-F46)</f>
        <v>0.4428146</v>
      </c>
      <c r="G121" s="45" t="n">
        <f aca="false">G46+p_ccf_bl*(G21-G46)</f>
        <v>0</v>
      </c>
      <c r="H121" s="45" t="n">
        <f aca="false">H46+p_ccf_bl*(H21-H46)</f>
        <v>0</v>
      </c>
      <c r="I121" s="45" t="n">
        <f aca="false">I46+p_ccf_bl*(I21-I46)</f>
        <v>0</v>
      </c>
      <c r="J121" s="45" t="n">
        <f aca="false">J46+p_ccf_bl*(J21-J46)</f>
        <v>0</v>
      </c>
      <c r="K121" s="45" t="n">
        <f aca="false">K46+p_ccf_bl*(K21-K46)</f>
        <v>0</v>
      </c>
      <c r="L121" s="45" t="n">
        <f aca="false">L46+p_ccf_bl*(L21-L46)</f>
        <v>0</v>
      </c>
      <c r="M121" s="45" t="n">
        <f aca="false">M46+p_ccf_bl*(M21-M46)</f>
        <v>0</v>
      </c>
      <c r="N121" s="45" t="n">
        <f aca="false">N46+p_ccf_bl*(N21-N46)</f>
        <v>0</v>
      </c>
      <c r="O121" s="45" t="n">
        <f aca="false">O46+p_ccf_bl*(O21-O46)</f>
        <v>0</v>
      </c>
      <c r="P121" s="45" t="n">
        <f aca="false">P46+p_ccf_bl*(P21-P46)</f>
        <v>0</v>
      </c>
      <c r="Q121" s="45" t="n">
        <f aca="false">Q46+p_ccf_bl*(Q21-Q46)</f>
        <v>0</v>
      </c>
      <c r="R121" s="45" t="n">
        <f aca="false">R46+p_ccf_bl*(R21-R46)</f>
        <v>0</v>
      </c>
      <c r="S121" s="45" t="n">
        <f aca="false">S46+p_ccf_bl*(S21-S46)</f>
        <v>0</v>
      </c>
      <c r="T121" s="45" t="n">
        <f aca="false">T46+p_ccf_bl*(T21-T46)</f>
        <v>0</v>
      </c>
      <c r="U121" s="45" t="n">
        <f aca="false">U46+p_ccf_bl*(U21-U46)</f>
        <v>0</v>
      </c>
      <c r="V121" s="45" t="n">
        <f aca="false">V46+p_ccf_bl*(V21-V46)</f>
        <v>0</v>
      </c>
      <c r="W121" s="45" t="n">
        <f aca="false">W46+p_ccf_bl*(W21-W46)</f>
        <v>0</v>
      </c>
      <c r="X121" s="45" t="n">
        <f aca="false">X46+p_ccf_bl*(X21-X46)</f>
        <v>0</v>
      </c>
      <c r="Y121" s="45" t="n">
        <f aca="false">Y46+p_ccf_bl*(Y21-Y46)</f>
        <v>0</v>
      </c>
      <c r="Z121" s="45" t="n">
        <f aca="false">Z46+p_ccf_bl*(Z21-Z46)</f>
        <v>0</v>
      </c>
      <c r="AB121" s="22" t="n">
        <f aca="false">INDEX(BDC!$AA$6:$AA$39,$B21)</f>
        <v>0.535634930964414</v>
      </c>
      <c r="AC121" s="22" t="n">
        <f aca="false">INDEX(BDC!$AB$6:$AB$39,$B21)</f>
        <v>0</v>
      </c>
    </row>
    <row r="122" customFormat="false" ht="15" hidden="false" customHeight="true" outlineLevel="0" collapsed="false">
      <c r="A122" s="10" t="s">
        <v>638</v>
      </c>
      <c r="C122" s="45" t="n">
        <f aca="false">C47+p_ccf_bl*(C22-C47)</f>
        <v>0</v>
      </c>
      <c r="D122" s="45" t="n">
        <f aca="false">D47+p_ccf_bl*(D22-D47)</f>
        <v>0</v>
      </c>
      <c r="E122" s="45" t="n">
        <f aca="false">E47+p_ccf_bl*(E22-E47)</f>
        <v>0</v>
      </c>
      <c r="F122" s="45" t="n">
        <f aca="false">F47+p_ccf_bl*(F22-F47)</f>
        <v>0</v>
      </c>
      <c r="G122" s="45" t="n">
        <f aca="false">G47+p_ccf_bl*(G22-G47)</f>
        <v>0</v>
      </c>
      <c r="H122" s="45" t="n">
        <f aca="false">H47+p_ccf_bl*(H22-H47)</f>
        <v>0</v>
      </c>
      <c r="I122" s="45" t="n">
        <f aca="false">I47+p_ccf_bl*(I22-I47)</f>
        <v>0</v>
      </c>
      <c r="J122" s="45" t="n">
        <f aca="false">J47+p_ccf_bl*(J22-J47)</f>
        <v>0</v>
      </c>
      <c r="K122" s="45" t="n">
        <f aca="false">K47+p_ccf_bl*(K22-K47)</f>
        <v>0</v>
      </c>
      <c r="L122" s="45" t="n">
        <f aca="false">L47+p_ccf_bl*(L22-L47)</f>
        <v>0</v>
      </c>
      <c r="M122" s="45" t="n">
        <f aca="false">M47+p_ccf_bl*(M22-M47)</f>
        <v>0</v>
      </c>
      <c r="N122" s="45" t="n">
        <f aca="false">N47+p_ccf_bl*(N22-N47)</f>
        <v>0</v>
      </c>
      <c r="O122" s="45" t="n">
        <f aca="false">O47+p_ccf_bl*(O22-O47)</f>
        <v>0</v>
      </c>
      <c r="P122" s="45" t="n">
        <f aca="false">P47+p_ccf_bl*(P22-P47)</f>
        <v>0</v>
      </c>
      <c r="Q122" s="45" t="n">
        <f aca="false">Q47+p_ccf_bl*(Q22-Q47)</f>
        <v>0</v>
      </c>
      <c r="R122" s="45" t="n">
        <f aca="false">R47+p_ccf_bl*(R22-R47)</f>
        <v>0.481</v>
      </c>
      <c r="S122" s="45" t="n">
        <f aca="false">S47+p_ccf_bl*(S22-S47)</f>
        <v>0</v>
      </c>
      <c r="T122" s="45" t="n">
        <f aca="false">T47+p_ccf_bl*(T22-T47)</f>
        <v>0.51555</v>
      </c>
      <c r="U122" s="45" t="n">
        <f aca="false">U47+p_ccf_bl*(U22-U47)</f>
        <v>0</v>
      </c>
      <c r="V122" s="45" t="n">
        <f aca="false">V47+p_ccf_bl*(V22-V47)</f>
        <v>0</v>
      </c>
      <c r="W122" s="45" t="n">
        <f aca="false">W47+p_ccf_bl*(W22-W47)</f>
        <v>0</v>
      </c>
      <c r="X122" s="45" t="n">
        <f aca="false">X47+p_ccf_bl*(X22-X47)</f>
        <v>0</v>
      </c>
      <c r="Y122" s="45" t="n">
        <f aca="false">Y47+p_ccf_bl*(Y22-Y47)</f>
        <v>0</v>
      </c>
      <c r="Z122" s="45" t="n">
        <f aca="false">Z47+p_ccf_bl*(Z22-Z47)</f>
        <v>0</v>
      </c>
      <c r="AB122" s="22" t="n">
        <f aca="false">INDEX(BDC!$AA$6:$AA$39,$B22)</f>
        <v>0.489575068796986</v>
      </c>
      <c r="AC122" s="22" t="n">
        <f aca="false">INDEX(BDC!$AB$6:$AB$39,$B22)</f>
        <v>0</v>
      </c>
    </row>
    <row r="123" customFormat="false" ht="15" hidden="false" customHeight="true" outlineLevel="0" collapsed="false">
      <c r="A123" s="10" t="s">
        <v>631</v>
      </c>
      <c r="C123" s="45" t="n">
        <f aca="false">C48+p_ccf_bl*(C23-C48)</f>
        <v>0</v>
      </c>
      <c r="D123" s="45" t="n">
        <f aca="false">D48+p_ccf_bl*(D23-D48)</f>
        <v>0.475</v>
      </c>
      <c r="E123" s="45" t="n">
        <f aca="false">E48+p_ccf_bl*(E23-E48)</f>
        <v>0.4897</v>
      </c>
      <c r="F123" s="45" t="n">
        <f aca="false">F48+p_ccf_bl*(F23-F48)</f>
        <v>0.735625</v>
      </c>
      <c r="G123" s="45" t="n">
        <f aca="false">G48+p_ccf_bl*(G23-G48)</f>
        <v>0</v>
      </c>
      <c r="H123" s="45" t="n">
        <f aca="false">H48+p_ccf_bl*(H23-H48)</f>
        <v>0</v>
      </c>
      <c r="I123" s="45" t="n">
        <f aca="false">I48+p_ccf_bl*(I23-I48)</f>
        <v>0</v>
      </c>
      <c r="J123" s="45" t="n">
        <f aca="false">J48+p_ccf_bl*(J23-J48)</f>
        <v>0</v>
      </c>
      <c r="K123" s="45" t="n">
        <f aca="false">K48+p_ccf_bl*(K23-K48)</f>
        <v>0</v>
      </c>
      <c r="L123" s="45" t="n">
        <f aca="false">L48+p_ccf_bl*(L23-L48)</f>
        <v>0</v>
      </c>
      <c r="M123" s="45" t="n">
        <f aca="false">M48+p_ccf_bl*(M23-M48)</f>
        <v>0</v>
      </c>
      <c r="N123" s="45" t="n">
        <f aca="false">N48+p_ccf_bl*(N23-N48)</f>
        <v>0.1937603</v>
      </c>
      <c r="O123" s="45" t="n">
        <f aca="false">O48+p_ccf_bl*(O23-O48)</f>
        <v>0.4650259</v>
      </c>
      <c r="P123" s="45" t="n">
        <f aca="false">P48+p_ccf_bl*(P23-P48)</f>
        <v>0</v>
      </c>
      <c r="Q123" s="45" t="n">
        <f aca="false">Q48+p_ccf_bl*(Q23-Q48)</f>
        <v>0</v>
      </c>
      <c r="R123" s="45" t="n">
        <f aca="false">R48+p_ccf_bl*(R23-R48)</f>
        <v>1.8859392</v>
      </c>
      <c r="S123" s="45" t="n">
        <f aca="false">S48+p_ccf_bl*(S23-S48)</f>
        <v>0.293</v>
      </c>
      <c r="T123" s="45" t="n">
        <f aca="false">T48+p_ccf_bl*(T23-T48)</f>
        <v>0.7</v>
      </c>
      <c r="U123" s="45" t="n">
        <f aca="false">U48+p_ccf_bl*(U23-U48)</f>
        <v>0</v>
      </c>
      <c r="V123" s="45" t="n">
        <f aca="false">V48+p_ccf_bl*(V23-V48)</f>
        <v>0</v>
      </c>
      <c r="W123" s="45" t="n">
        <f aca="false">W48+p_ccf_bl*(W23-W48)</f>
        <v>0.46601</v>
      </c>
      <c r="X123" s="45" t="n">
        <f aca="false">X48+p_ccf_bl*(X23-X48)</f>
        <v>0</v>
      </c>
      <c r="Y123" s="45" t="n">
        <f aca="false">Y48+p_ccf_bl*(Y23-Y48)</f>
        <v>0</v>
      </c>
      <c r="Z123" s="45" t="n">
        <f aca="false">Z48+p_ccf_bl*(Z23-Z48)</f>
        <v>0</v>
      </c>
      <c r="AB123" s="22" t="n">
        <f aca="false">INDEX(BDC!$AA$6:$AA$39,$B23)</f>
        <v>0.449440454750663</v>
      </c>
      <c r="AC123" s="22" t="n">
        <f aca="false">INDEX(BDC!$AB$6:$AB$39,$B23)</f>
        <v>0</v>
      </c>
    </row>
    <row r="124" customFormat="false" ht="15" hidden="false" customHeight="true" outlineLevel="0" collapsed="false">
      <c r="A124" s="10" t="s">
        <v>655</v>
      </c>
      <c r="C124" s="45" t="n">
        <f aca="false">C49+p_ccf_bl*(C24-C49)</f>
        <v>0</v>
      </c>
      <c r="D124" s="45" t="n">
        <f aca="false">D49+p_ccf_bl*(D24-D49)</f>
        <v>0</v>
      </c>
      <c r="E124" s="45" t="n">
        <f aca="false">E49+p_ccf_bl*(E24-E49)</f>
        <v>0</v>
      </c>
      <c r="F124" s="45" t="n">
        <f aca="false">F49+p_ccf_bl*(F24-F49)</f>
        <v>0</v>
      </c>
      <c r="G124" s="45" t="n">
        <f aca="false">G49+p_ccf_bl*(G24-G49)</f>
        <v>0</v>
      </c>
      <c r="H124" s="45" t="n">
        <f aca="false">H49+p_ccf_bl*(H24-H49)</f>
        <v>0</v>
      </c>
      <c r="I124" s="45" t="n">
        <f aca="false">I49+p_ccf_bl*(I24-I49)</f>
        <v>0</v>
      </c>
      <c r="J124" s="45" t="n">
        <f aca="false">J49+p_ccf_bl*(J24-J49)</f>
        <v>0</v>
      </c>
      <c r="K124" s="45" t="n">
        <f aca="false">K49+p_ccf_bl*(K24-K49)</f>
        <v>0</v>
      </c>
      <c r="L124" s="45" t="n">
        <f aca="false">L49+p_ccf_bl*(L24-L49)</f>
        <v>0</v>
      </c>
      <c r="M124" s="45" t="n">
        <f aca="false">M49+p_ccf_bl*(M24-M49)</f>
        <v>0</v>
      </c>
      <c r="N124" s="45" t="n">
        <f aca="false">N49+p_ccf_bl*(N24-N49)</f>
        <v>0</v>
      </c>
      <c r="O124" s="45" t="n">
        <f aca="false">O49+p_ccf_bl*(O24-O49)</f>
        <v>0</v>
      </c>
      <c r="P124" s="45" t="n">
        <f aca="false">P49+p_ccf_bl*(P24-P49)</f>
        <v>0</v>
      </c>
      <c r="Q124" s="45" t="n">
        <f aca="false">Q49+p_ccf_bl*(Q24-Q49)</f>
        <v>0</v>
      </c>
      <c r="R124" s="45" t="n">
        <f aca="false">R49+p_ccf_bl*(R24-R49)</f>
        <v>0</v>
      </c>
      <c r="S124" s="45" t="n">
        <f aca="false">S49+p_ccf_bl*(S24-S49)</f>
        <v>0</v>
      </c>
      <c r="T124" s="45" t="n">
        <f aca="false">T49+p_ccf_bl*(T24-T49)</f>
        <v>0</v>
      </c>
      <c r="U124" s="45" t="n">
        <f aca="false">U49+p_ccf_bl*(U24-U49)</f>
        <v>0</v>
      </c>
      <c r="V124" s="45" t="n">
        <f aca="false">V49+p_ccf_bl*(V24-V49)</f>
        <v>0</v>
      </c>
      <c r="W124" s="45" t="n">
        <f aca="false">W49+p_ccf_bl*(W24-W49)</f>
        <v>0</v>
      </c>
      <c r="X124" s="45" t="n">
        <f aca="false">X49+p_ccf_bl*(X24-X49)</f>
        <v>0</v>
      </c>
      <c r="Y124" s="45" t="n">
        <f aca="false">Y49+p_ccf_bl*(Y24-Y49)</f>
        <v>0</v>
      </c>
      <c r="Z124" s="45" t="n">
        <f aca="false">Z49+p_ccf_bl*(Z24-Z49)</f>
        <v>0</v>
      </c>
      <c r="AB124" s="22" t="n">
        <f aca="false">INDEX(BDC!$AA$6:$AA$39,$B24)</f>
        <v>0.491144470643697</v>
      </c>
      <c r="AC124" s="22" t="n">
        <f aca="false">INDEX(BDC!$AB$6:$AB$39,$B24)</f>
        <v>0</v>
      </c>
    </row>
    <row r="125" customFormat="false" ht="15" hidden="false" customHeight="true" outlineLevel="0" collapsed="false">
      <c r="A125" s="10" t="s">
        <v>645</v>
      </c>
      <c r="C125" s="45" t="n">
        <f aca="false">C50+p_ccf_bl*(C25-C50)</f>
        <v>0.6825</v>
      </c>
      <c r="D125" s="45" t="n">
        <f aca="false">D50+p_ccf_bl*(D25-D50)</f>
        <v>0</v>
      </c>
      <c r="E125" s="45" t="n">
        <f aca="false">E50+p_ccf_bl*(E25-E50)</f>
        <v>0</v>
      </c>
      <c r="F125" s="45" t="n">
        <f aca="false">F50+p_ccf_bl*(F25-F50)</f>
        <v>0</v>
      </c>
      <c r="G125" s="45" t="n">
        <f aca="false">G50+p_ccf_bl*(G25-G50)</f>
        <v>0</v>
      </c>
      <c r="H125" s="45" t="n">
        <f aca="false">H50+p_ccf_bl*(H25-H50)</f>
        <v>0.39176</v>
      </c>
      <c r="I125" s="45" t="n">
        <f aca="false">I50+p_ccf_bl*(I25-I50)</f>
        <v>0</v>
      </c>
      <c r="J125" s="45" t="n">
        <f aca="false">J50+p_ccf_bl*(J25-J50)</f>
        <v>0</v>
      </c>
      <c r="K125" s="45" t="n">
        <f aca="false">K50+p_ccf_bl*(K25-K50)</f>
        <v>0</v>
      </c>
      <c r="L125" s="45" t="n">
        <f aca="false">L50+p_ccf_bl*(L25-L50)</f>
        <v>0</v>
      </c>
      <c r="M125" s="45" t="n">
        <f aca="false">M50+p_ccf_bl*(M25-M50)</f>
        <v>0</v>
      </c>
      <c r="N125" s="45" t="n">
        <f aca="false">N50+p_ccf_bl*(N25-N50)</f>
        <v>0</v>
      </c>
      <c r="O125" s="45" t="n">
        <f aca="false">O50+p_ccf_bl*(O25-O50)</f>
        <v>0</v>
      </c>
      <c r="P125" s="45" t="n">
        <f aca="false">P50+p_ccf_bl*(P25-P50)</f>
        <v>0</v>
      </c>
      <c r="Q125" s="45" t="n">
        <f aca="false">Q50+p_ccf_bl*(Q25-Q50)</f>
        <v>0</v>
      </c>
      <c r="R125" s="45" t="n">
        <f aca="false">R50+p_ccf_bl*(R25-R50)</f>
        <v>0.39179</v>
      </c>
      <c r="S125" s="45" t="n">
        <f aca="false">S50+p_ccf_bl*(S25-S50)</f>
        <v>0</v>
      </c>
      <c r="T125" s="45" t="n">
        <f aca="false">T50+p_ccf_bl*(T25-T50)</f>
        <v>0</v>
      </c>
      <c r="U125" s="45" t="n">
        <f aca="false">U50+p_ccf_bl*(U25-U50)</f>
        <v>0</v>
      </c>
      <c r="V125" s="45" t="n">
        <f aca="false">V50+p_ccf_bl*(V25-V50)</f>
        <v>0</v>
      </c>
      <c r="W125" s="45" t="n">
        <f aca="false">W50+p_ccf_bl*(W25-W50)</f>
        <v>0</v>
      </c>
      <c r="X125" s="45" t="n">
        <f aca="false">X50+p_ccf_bl*(X25-X50)</f>
        <v>0</v>
      </c>
      <c r="Y125" s="45" t="n">
        <f aca="false">Y50+p_ccf_bl*(Y25-Y50)</f>
        <v>0</v>
      </c>
      <c r="Z125" s="45" t="n">
        <f aca="false">Z50+p_ccf_bl*(Z25-Z50)</f>
        <v>0</v>
      </c>
      <c r="AB125" s="22" t="n">
        <f aca="false">INDEX(BDC!$AA$6:$AA$39,$B25)</f>
        <v>0.460937575176138</v>
      </c>
      <c r="AC125" s="22" t="n">
        <f aca="false">INDEX(BDC!$AB$6:$AB$39,$B25)</f>
        <v>0</v>
      </c>
    </row>
    <row r="126" customFormat="false" ht="15" hidden="false" customHeight="true" outlineLevel="0" collapsed="false">
      <c r="A126" s="10" t="s">
        <v>639</v>
      </c>
      <c r="C126" s="45" t="n">
        <f aca="false">C51+p_ccf_bl*(C26-C51)</f>
        <v>0</v>
      </c>
      <c r="D126" s="45" t="n">
        <f aca="false">D51+p_ccf_bl*(D26-D51)</f>
        <v>0</v>
      </c>
      <c r="E126" s="45" t="n">
        <f aca="false">E51+p_ccf_bl*(E26-E51)</f>
        <v>0</v>
      </c>
      <c r="F126" s="45" t="n">
        <f aca="false">F51+p_ccf_bl*(F26-F51)</f>
        <v>0</v>
      </c>
      <c r="G126" s="45" t="n">
        <f aca="false">G51+p_ccf_bl*(G26-G51)</f>
        <v>0.3925</v>
      </c>
      <c r="H126" s="45" t="n">
        <f aca="false">H51+p_ccf_bl*(H26-H51)</f>
        <v>0</v>
      </c>
      <c r="I126" s="45" t="n">
        <f aca="false">I51+p_ccf_bl*(I26-I51)</f>
        <v>0</v>
      </c>
      <c r="J126" s="45" t="n">
        <f aca="false">J51+p_ccf_bl*(J26-J51)</f>
        <v>0</v>
      </c>
      <c r="K126" s="45" t="n">
        <f aca="false">K51+p_ccf_bl*(K26-K51)</f>
        <v>0</v>
      </c>
      <c r="L126" s="45" t="n">
        <f aca="false">L51+p_ccf_bl*(L26-L51)</f>
        <v>0</v>
      </c>
      <c r="M126" s="45" t="n">
        <f aca="false">M51+p_ccf_bl*(M26-M51)</f>
        <v>0</v>
      </c>
      <c r="N126" s="45" t="n">
        <f aca="false">N51+p_ccf_bl*(N26-N51)</f>
        <v>0</v>
      </c>
      <c r="O126" s="45" t="n">
        <f aca="false">O51+p_ccf_bl*(O26-O51)</f>
        <v>0</v>
      </c>
      <c r="P126" s="45" t="n">
        <f aca="false">P51+p_ccf_bl*(P26-P51)</f>
        <v>0</v>
      </c>
      <c r="Q126" s="45" t="n">
        <f aca="false">Q51+p_ccf_bl*(Q26-Q51)</f>
        <v>0</v>
      </c>
      <c r="R126" s="45" t="n">
        <f aca="false">R51+p_ccf_bl*(R26-R51)</f>
        <v>0.1425</v>
      </c>
      <c r="S126" s="45" t="n">
        <f aca="false">S51+p_ccf_bl*(S26-S51)</f>
        <v>0</v>
      </c>
      <c r="T126" s="45" t="n">
        <f aca="false">T51+p_ccf_bl*(T26-T51)</f>
        <v>1.05245</v>
      </c>
      <c r="U126" s="45" t="n">
        <f aca="false">U51+p_ccf_bl*(U26-U51)</f>
        <v>0</v>
      </c>
      <c r="V126" s="45" t="n">
        <f aca="false">V51+p_ccf_bl*(V26-V51)</f>
        <v>0.487</v>
      </c>
      <c r="W126" s="45" t="n">
        <f aca="false">W51+p_ccf_bl*(W26-W51)</f>
        <v>0</v>
      </c>
      <c r="X126" s="45" t="n">
        <f aca="false">X51+p_ccf_bl*(X26-X51)</f>
        <v>0</v>
      </c>
      <c r="Y126" s="45" t="n">
        <f aca="false">Y51+p_ccf_bl*(Y26-Y51)</f>
        <v>0</v>
      </c>
      <c r="Z126" s="45" t="n">
        <f aca="false">Z51+p_ccf_bl*(Z26-Z51)</f>
        <v>0</v>
      </c>
      <c r="AB126" s="22" t="n">
        <f aca="false">INDEX(BDC!$AA$6:$AA$39,$B26)</f>
        <v>0.675728296877286</v>
      </c>
      <c r="AC126" s="22" t="n">
        <f aca="false">INDEX(BDC!$AB$6:$AB$39,$B26)</f>
        <v>0.271912888332327</v>
      </c>
    </row>
    <row r="127" customFormat="false" ht="15" hidden="false" customHeight="true" outlineLevel="0" collapsed="false">
      <c r="A127" s="10" t="s">
        <v>653</v>
      </c>
      <c r="C127" s="45" t="n">
        <f aca="false">C52+p_ccf_bl*(C27-C52)</f>
        <v>0</v>
      </c>
      <c r="D127" s="45" t="n">
        <f aca="false">D52+p_ccf_bl*(D27-D52)</f>
        <v>0</v>
      </c>
      <c r="E127" s="45" t="n">
        <f aca="false">E52+p_ccf_bl*(E27-E52)</f>
        <v>0</v>
      </c>
      <c r="F127" s="45" t="n">
        <f aca="false">F52+p_ccf_bl*(F27-F52)</f>
        <v>0</v>
      </c>
      <c r="G127" s="45" t="n">
        <f aca="false">G52+p_ccf_bl*(G27-G52)</f>
        <v>0</v>
      </c>
      <c r="H127" s="45" t="n">
        <f aca="false">H52+p_ccf_bl*(H27-H52)</f>
        <v>0</v>
      </c>
      <c r="I127" s="45" t="n">
        <f aca="false">I52+p_ccf_bl*(I27-I52)</f>
        <v>0</v>
      </c>
      <c r="J127" s="45" t="n">
        <f aca="false">J52+p_ccf_bl*(J27-J52)</f>
        <v>0</v>
      </c>
      <c r="K127" s="45" t="n">
        <f aca="false">K52+p_ccf_bl*(K27-K52)</f>
        <v>0</v>
      </c>
      <c r="L127" s="45" t="n">
        <f aca="false">L52+p_ccf_bl*(L27-L52)</f>
        <v>0</v>
      </c>
      <c r="M127" s="45" t="n">
        <f aca="false">M52+p_ccf_bl*(M27-M52)</f>
        <v>0</v>
      </c>
      <c r="N127" s="45" t="n">
        <f aca="false">N52+p_ccf_bl*(N27-N52)</f>
        <v>0</v>
      </c>
      <c r="O127" s="45" t="n">
        <f aca="false">O52+p_ccf_bl*(O27-O52)</f>
        <v>0</v>
      </c>
      <c r="P127" s="45" t="n">
        <f aca="false">P52+p_ccf_bl*(P27-P52)</f>
        <v>0</v>
      </c>
      <c r="Q127" s="45" t="n">
        <f aca="false">Q52+p_ccf_bl*(Q27-Q52)</f>
        <v>0</v>
      </c>
      <c r="R127" s="45" t="n">
        <f aca="false">R52+p_ccf_bl*(R27-R52)</f>
        <v>0</v>
      </c>
      <c r="S127" s="45" t="n">
        <f aca="false">S52+p_ccf_bl*(S27-S52)</f>
        <v>0</v>
      </c>
      <c r="T127" s="45" t="n">
        <f aca="false">T52+p_ccf_bl*(T27-T52)</f>
        <v>0</v>
      </c>
      <c r="U127" s="45" t="n">
        <f aca="false">U52+p_ccf_bl*(U27-U52)</f>
        <v>0</v>
      </c>
      <c r="V127" s="45" t="n">
        <f aca="false">V52+p_ccf_bl*(V27-V52)</f>
        <v>0</v>
      </c>
      <c r="W127" s="45" t="n">
        <f aca="false">W52+p_ccf_bl*(W27-W52)</f>
        <v>0</v>
      </c>
      <c r="X127" s="45" t="n">
        <f aca="false">X52+p_ccf_bl*(X27-X52)</f>
        <v>0</v>
      </c>
      <c r="Y127" s="45" t="n">
        <f aca="false">Y52+p_ccf_bl*(Y27-Y52)</f>
        <v>0</v>
      </c>
      <c r="Z127" s="45" t="n">
        <f aca="false">Z52+p_ccf_bl*(Z27-Z52)</f>
        <v>0</v>
      </c>
      <c r="AB127" s="22" t="n">
        <f aca="false">INDEX(BDC!$AA$6:$AA$39,$B27)</f>
        <v>0.300979013151978</v>
      </c>
      <c r="AC127" s="22" t="n">
        <f aca="false">INDEX(BDC!$AB$6:$AB$39,$B27)</f>
        <v>0</v>
      </c>
    </row>
    <row r="130" customFormat="false" ht="15" hidden="false" customHeight="true" outlineLevel="0" collapsed="false">
      <c r="A130" s="9" t="s">
        <v>680</v>
      </c>
      <c r="C130" s="9" t="s">
        <v>496</v>
      </c>
      <c r="D130" s="9" t="s">
        <v>499</v>
      </c>
      <c r="E130" s="9" t="s">
        <v>501</v>
      </c>
      <c r="F130" s="9" t="s">
        <v>503</v>
      </c>
      <c r="G130" s="9" t="s">
        <v>505</v>
      </c>
      <c r="H130" s="9" t="s">
        <v>507</v>
      </c>
      <c r="I130" s="9" t="s">
        <v>509</v>
      </c>
      <c r="J130" s="9" t="s">
        <v>510</v>
      </c>
      <c r="K130" s="9" t="s">
        <v>512</v>
      </c>
      <c r="L130" s="9" t="s">
        <v>514</v>
      </c>
      <c r="M130" s="9" t="s">
        <v>516</v>
      </c>
      <c r="N130" s="9" t="s">
        <v>518</v>
      </c>
      <c r="O130" s="9" t="s">
        <v>520</v>
      </c>
      <c r="P130" s="9" t="s">
        <v>522</v>
      </c>
      <c r="Q130" s="9" t="s">
        <v>525</v>
      </c>
      <c r="R130" s="9" t="s">
        <v>527</v>
      </c>
      <c r="S130" s="9" t="s">
        <v>530</v>
      </c>
      <c r="T130" s="9" t="s">
        <v>532</v>
      </c>
      <c r="U130" s="9" t="s">
        <v>534</v>
      </c>
      <c r="V130" s="9" t="s">
        <v>535</v>
      </c>
      <c r="W130" s="9" t="s">
        <v>537</v>
      </c>
      <c r="X130" s="9" t="s">
        <v>538</v>
      </c>
      <c r="Y130" s="9" t="s">
        <v>540</v>
      </c>
      <c r="Z130" s="9" t="s">
        <v>543</v>
      </c>
      <c r="AB130" s="7" t="s">
        <v>681</v>
      </c>
    </row>
    <row r="131" customFormat="false" ht="15" hidden="false" customHeight="true" outlineLevel="0" collapsed="false">
      <c r="A131" s="10" t="s">
        <v>634</v>
      </c>
      <c r="C131" s="45" t="n">
        <f aca="false">C81+$AB131*(C56-C81)</f>
        <v>0.15312</v>
      </c>
      <c r="D131" s="45" t="n">
        <f aca="false">D81+$AB131*(D56-D81)</f>
        <v>0.15312</v>
      </c>
      <c r="E131" s="45" t="n">
        <f aca="false">E81+$AB131*(E56-E81)</f>
        <v>0.15312</v>
      </c>
      <c r="F131" s="45" t="n">
        <f aca="false">F81+$AB131*(F56-F81)</f>
        <v>0.15312</v>
      </c>
      <c r="G131" s="45" t="n">
        <f aca="false">G81+$AB131*(G56-G81)</f>
        <v>0.15312</v>
      </c>
      <c r="H131" s="45" t="n">
        <f aca="false">H81+$AB131*(H56-H81)</f>
        <v>0.15312</v>
      </c>
      <c r="I131" s="45" t="n">
        <f aca="false">I81+$AB131*(I56-I81)</f>
        <v>0.15312</v>
      </c>
      <c r="J131" s="45" t="n">
        <f aca="false">J81+$AB131*(J56-J81)</f>
        <v>0.15312</v>
      </c>
      <c r="K131" s="45" t="n">
        <f aca="false">K81+$AB131*(K56-K81)</f>
        <v>0.15312</v>
      </c>
      <c r="L131" s="45" t="n">
        <f aca="false">L81+$AB131*(L56-L81)</f>
        <v>0.15312</v>
      </c>
      <c r="M131" s="45" t="n">
        <f aca="false">M81+$AB131*(M56-M81)</f>
        <v>0</v>
      </c>
      <c r="N131" s="45" t="n">
        <f aca="false">N81+$AB131*(N56-N81)</f>
        <v>0</v>
      </c>
      <c r="O131" s="45" t="n">
        <f aca="false">O81+$AB131*(O56-O81)</f>
        <v>0</v>
      </c>
      <c r="P131" s="45" t="n">
        <f aca="false">P81+$AB131*(P56-P81)</f>
        <v>0.15312</v>
      </c>
      <c r="Q131" s="45" t="n">
        <f aca="false">Q81+$AB131*(Q56-Q81)</f>
        <v>0.15312</v>
      </c>
      <c r="R131" s="45" t="n">
        <f aca="false">R81+$AB131*(R56-R81)</f>
        <v>0</v>
      </c>
      <c r="S131" s="45" t="n">
        <f aca="false">S81+$AB131*(S56-S81)</f>
        <v>0.15312</v>
      </c>
      <c r="T131" s="45" t="n">
        <f aca="false">T81+$AB131*(T56-T81)</f>
        <v>0.15312</v>
      </c>
      <c r="U131" s="45" t="n">
        <f aca="false">U81+$AB131*(U56-U81)</f>
        <v>0</v>
      </c>
      <c r="V131" s="45" t="n">
        <f aca="false">V81+$AB131*(V56-V81)</f>
        <v>0.15312</v>
      </c>
      <c r="W131" s="45" t="n">
        <f aca="false">W81+$AB131*(W56-W81)</f>
        <v>0.15312</v>
      </c>
      <c r="X131" s="45" t="n">
        <f aca="false">X81+$AB131*(X56-X81)</f>
        <v>0.15312</v>
      </c>
      <c r="Y131" s="45" t="n">
        <f aca="false">Y81+$AB131*(Y56-Y81)</f>
        <v>0.15312</v>
      </c>
      <c r="Z131" s="45" t="n">
        <f aca="false">Z81+$AB131*(Z56-Z81)</f>
        <v>0</v>
      </c>
      <c r="AB131" s="43" t="n">
        <f aca="false">MAX(p_ccf_bl,INDEX(BDC!$U$6:$U$39,$B6)*p_ccf_dg)</f>
        <v>1</v>
      </c>
    </row>
    <row r="132" customFormat="false" ht="15" hidden="false" customHeight="true" outlineLevel="0" collapsed="false">
      <c r="A132" s="10" t="s">
        <v>632</v>
      </c>
      <c r="C132" s="45" t="n">
        <f aca="false">C82+$AB132*(C57-C82)</f>
        <v>0.137025</v>
      </c>
      <c r="D132" s="45" t="n">
        <f aca="false">D82+$AB132*(D57-D82)</f>
        <v>0.137025</v>
      </c>
      <c r="E132" s="45" t="n">
        <f aca="false">E82+$AB132*(E57-E82)</f>
        <v>0.137025</v>
      </c>
      <c r="F132" s="45" t="n">
        <f aca="false">F82+$AB132*(F57-F82)</f>
        <v>0.137025</v>
      </c>
      <c r="G132" s="45" t="n">
        <f aca="false">G82+$AB132*(G57-G82)</f>
        <v>0.137025</v>
      </c>
      <c r="H132" s="45" t="n">
        <f aca="false">H82+$AB132*(H57-H82)</f>
        <v>0.137025</v>
      </c>
      <c r="I132" s="45" t="n">
        <f aca="false">I82+$AB132*(I57-I82)</f>
        <v>0</v>
      </c>
      <c r="J132" s="45" t="n">
        <f aca="false">J82+$AB132*(J57-J82)</f>
        <v>0.137025</v>
      </c>
      <c r="K132" s="45" t="n">
        <f aca="false">K82+$AB132*(K57-K82)</f>
        <v>0.137025</v>
      </c>
      <c r="L132" s="45" t="n">
        <f aca="false">L82+$AB132*(L57-L82)</f>
        <v>0.137025</v>
      </c>
      <c r="M132" s="45" t="n">
        <f aca="false">M82+$AB132*(M57-M82)</f>
        <v>0.137025</v>
      </c>
      <c r="N132" s="45" t="n">
        <f aca="false">N82+$AB132*(N57-N82)</f>
        <v>0</v>
      </c>
      <c r="O132" s="45" t="n">
        <f aca="false">O82+$AB132*(O57-O82)</f>
        <v>0</v>
      </c>
      <c r="P132" s="45" t="n">
        <f aca="false">P82+$AB132*(P57-P82)</f>
        <v>0.137025</v>
      </c>
      <c r="Q132" s="45" t="n">
        <f aca="false">Q82+$AB132*(Q57-Q82)</f>
        <v>0.137025</v>
      </c>
      <c r="R132" s="45" t="n">
        <f aca="false">R82+$AB132*(R57-R82)</f>
        <v>0.137025</v>
      </c>
      <c r="S132" s="45" t="n">
        <f aca="false">S82+$AB132*(S57-S82)</f>
        <v>0.137025</v>
      </c>
      <c r="T132" s="45" t="n">
        <f aca="false">T82+$AB132*(T57-T82)</f>
        <v>0.137025</v>
      </c>
      <c r="U132" s="45" t="n">
        <f aca="false">U82+$AB132*(U57-U82)</f>
        <v>0</v>
      </c>
      <c r="V132" s="45" t="n">
        <f aca="false">V82+$AB132*(V57-V82)</f>
        <v>0.137025</v>
      </c>
      <c r="W132" s="45" t="n">
        <f aca="false">W82+$AB132*(W57-W82)</f>
        <v>0.137025</v>
      </c>
      <c r="X132" s="45" t="n">
        <f aca="false">X82+$AB132*(X57-X82)</f>
        <v>0.137025</v>
      </c>
      <c r="Y132" s="45" t="n">
        <f aca="false">Y82+$AB132*(Y57-Y82)</f>
        <v>0.137025</v>
      </c>
      <c r="Z132" s="45" t="n">
        <f aca="false">Z82+$AB132*(Z57-Z82)</f>
        <v>0</v>
      </c>
      <c r="AB132" s="43" t="n">
        <f aca="false">MAX(p_ccf_bl,INDEX(BDC!$U$6:$U$39,$B7)*p_ccf_dg)</f>
        <v>1</v>
      </c>
    </row>
    <row r="133" customFormat="false" ht="15" hidden="false" customHeight="true" outlineLevel="0" collapsed="false">
      <c r="A133" s="10" t="s">
        <v>636</v>
      </c>
      <c r="C133" s="45" t="n">
        <f aca="false">C83+$AB133*(C58-C83)</f>
        <v>0.172417</v>
      </c>
      <c r="D133" s="45" t="n">
        <f aca="false">D83+$AB133*(D58-D83)</f>
        <v>0.172417</v>
      </c>
      <c r="E133" s="45" t="n">
        <f aca="false">E83+$AB133*(E58-E83)</f>
        <v>0.172417</v>
      </c>
      <c r="F133" s="45" t="n">
        <f aca="false">F83+$AB133*(F58-F83)</f>
        <v>0.172417</v>
      </c>
      <c r="G133" s="45" t="n">
        <f aca="false">G83+$AB133*(G58-G83)</f>
        <v>0.172417</v>
      </c>
      <c r="H133" s="45" t="n">
        <f aca="false">H83+$AB133*(H58-H83)</f>
        <v>0.172417</v>
      </c>
      <c r="I133" s="45" t="n">
        <f aca="false">I83+$AB133*(I58-I83)</f>
        <v>0</v>
      </c>
      <c r="J133" s="45" t="n">
        <f aca="false">J83+$AB133*(J58-J83)</f>
        <v>0.172417</v>
      </c>
      <c r="K133" s="45" t="n">
        <f aca="false">K83+$AB133*(K58-K83)</f>
        <v>0.172417</v>
      </c>
      <c r="L133" s="45" t="n">
        <f aca="false">L83+$AB133*(L58-L83)</f>
        <v>0</v>
      </c>
      <c r="M133" s="45" t="n">
        <f aca="false">M83+$AB133*(M58-M83)</f>
        <v>0.172417</v>
      </c>
      <c r="N133" s="45" t="n">
        <f aca="false">N83+$AB133*(N58-N83)</f>
        <v>0</v>
      </c>
      <c r="O133" s="45" t="n">
        <f aca="false">O83+$AB133*(O58-O83)</f>
        <v>0</v>
      </c>
      <c r="P133" s="45" t="n">
        <f aca="false">P83+$AB133*(P58-P83)</f>
        <v>0.172417</v>
      </c>
      <c r="Q133" s="45" t="n">
        <f aca="false">Q83+$AB133*(Q58-Q83)</f>
        <v>0.172417</v>
      </c>
      <c r="R133" s="45" t="n">
        <f aca="false">R83+$AB133*(R58-R83)</f>
        <v>0.172417</v>
      </c>
      <c r="S133" s="45" t="n">
        <f aca="false">S83+$AB133*(S58-S83)</f>
        <v>0.172417</v>
      </c>
      <c r="T133" s="45" t="n">
        <f aca="false">T83+$AB133*(T58-T83)</f>
        <v>0.172417</v>
      </c>
      <c r="U133" s="45" t="n">
        <f aca="false">U83+$AB133*(U58-U83)</f>
        <v>0</v>
      </c>
      <c r="V133" s="45" t="n">
        <f aca="false">V83+$AB133*(V58-V83)</f>
        <v>0.172417</v>
      </c>
      <c r="W133" s="45" t="n">
        <f aca="false">W83+$AB133*(W58-W83)</f>
        <v>0.172417</v>
      </c>
      <c r="X133" s="45" t="n">
        <f aca="false">X83+$AB133*(X58-X83)</f>
        <v>0.172417</v>
      </c>
      <c r="Y133" s="45" t="n">
        <f aca="false">Y83+$AB133*(Y58-Y83)</f>
        <v>0.172417</v>
      </c>
      <c r="Z133" s="45" t="n">
        <f aca="false">Z83+$AB133*(Z58-Z83)</f>
        <v>0</v>
      </c>
      <c r="AB133" s="43" t="n">
        <f aca="false">MAX(p_ccf_bl,INDEX(BDC!$U$6:$U$39,$B8)*p_ccf_dg)</f>
        <v>1</v>
      </c>
    </row>
    <row r="134" customFormat="false" ht="15" hidden="false" customHeight="true" outlineLevel="0" collapsed="false">
      <c r="A134" s="10" t="s">
        <v>656</v>
      </c>
      <c r="C134" s="45" t="n">
        <f aca="false">C84+$AB134*(C59-C84)</f>
        <v>0.051388</v>
      </c>
      <c r="D134" s="45" t="n">
        <f aca="false">D84+$AB134*(D59-D84)</f>
        <v>0.051388</v>
      </c>
      <c r="E134" s="45" t="n">
        <f aca="false">E84+$AB134*(E59-E84)</f>
        <v>0.051388</v>
      </c>
      <c r="F134" s="45" t="n">
        <f aca="false">F84+$AB134*(F59-F84)</f>
        <v>0.051388</v>
      </c>
      <c r="G134" s="45" t="n">
        <f aca="false">G84+$AB134*(G59-G84)</f>
        <v>0</v>
      </c>
      <c r="H134" s="45" t="n">
        <f aca="false">H84+$AB134*(H59-H84)</f>
        <v>0</v>
      </c>
      <c r="I134" s="45" t="n">
        <f aca="false">I84+$AB134*(I59-I84)</f>
        <v>0</v>
      </c>
      <c r="J134" s="45" t="n">
        <f aca="false">J84+$AB134*(J59-J84)</f>
        <v>0</v>
      </c>
      <c r="K134" s="45" t="n">
        <f aca="false">K84+$AB134*(K59-K84)</f>
        <v>0</v>
      </c>
      <c r="L134" s="45" t="n">
        <f aca="false">L84+$AB134*(L59-L84)</f>
        <v>0.051388</v>
      </c>
      <c r="M134" s="45" t="n">
        <f aca="false">M84+$AB134*(M59-M84)</f>
        <v>0</v>
      </c>
      <c r="N134" s="45" t="n">
        <f aca="false">N84+$AB134*(N59-N84)</f>
        <v>0.051388</v>
      </c>
      <c r="O134" s="45" t="n">
        <f aca="false">O84+$AB134*(O59-O84)</f>
        <v>0</v>
      </c>
      <c r="P134" s="45" t="n">
        <f aca="false">P84+$AB134*(P59-P84)</f>
        <v>0</v>
      </c>
      <c r="Q134" s="45" t="n">
        <f aca="false">Q84+$AB134*(Q59-Q84)</f>
        <v>0</v>
      </c>
      <c r="R134" s="45" t="n">
        <f aca="false">R84+$AB134*(R59-R84)</f>
        <v>0</v>
      </c>
      <c r="S134" s="45" t="n">
        <f aca="false">S84+$AB134*(S59-S84)</f>
        <v>0.051388</v>
      </c>
      <c r="T134" s="45" t="n">
        <f aca="false">T84+$AB134*(T59-T84)</f>
        <v>0.051388</v>
      </c>
      <c r="U134" s="45" t="n">
        <f aca="false">U84+$AB134*(U59-U84)</f>
        <v>0</v>
      </c>
      <c r="V134" s="45" t="n">
        <f aca="false">V84+$AB134*(V59-V84)</f>
        <v>0.051388</v>
      </c>
      <c r="W134" s="45" t="n">
        <f aca="false">W84+$AB134*(W59-W84)</f>
        <v>0.051388</v>
      </c>
      <c r="X134" s="45" t="n">
        <f aca="false">X84+$AB134*(X59-X84)</f>
        <v>0</v>
      </c>
      <c r="Y134" s="45" t="n">
        <f aca="false">Y84+$AB134*(Y59-Y84)</f>
        <v>0</v>
      </c>
      <c r="Z134" s="45" t="n">
        <f aca="false">Z84+$AB134*(Z59-Z84)</f>
        <v>0</v>
      </c>
      <c r="AB134" s="43" t="n">
        <f aca="false">MAX(p_ccf_bl,INDEX(BDC!$U$6:$U$39,$B9)*p_ccf_dg)</f>
        <v>1</v>
      </c>
    </row>
    <row r="135" customFormat="false" ht="15" hidden="false" customHeight="true" outlineLevel="0" collapsed="false">
      <c r="A135" s="10" t="s">
        <v>629</v>
      </c>
      <c r="C135" s="45" t="n">
        <f aca="false">C85+$AB135*(C60-C85)</f>
        <v>0.2125</v>
      </c>
      <c r="D135" s="45" t="n">
        <f aca="false">D85+$AB135*(D60-D85)</f>
        <v>0.2125</v>
      </c>
      <c r="E135" s="45" t="n">
        <f aca="false">E85+$AB135*(E60-E85)</f>
        <v>0.2125</v>
      </c>
      <c r="F135" s="45" t="n">
        <f aca="false">F85+$AB135*(F60-F85)</f>
        <v>0.2125</v>
      </c>
      <c r="G135" s="45" t="n">
        <f aca="false">G85+$AB135*(G60-G85)</f>
        <v>0.2125</v>
      </c>
      <c r="H135" s="45" t="n">
        <f aca="false">H85+$AB135*(H60-H85)</f>
        <v>0.2125</v>
      </c>
      <c r="I135" s="45" t="n">
        <f aca="false">I85+$AB135*(I60-I85)</f>
        <v>0.2125</v>
      </c>
      <c r="J135" s="45" t="n">
        <f aca="false">J85+$AB135*(J60-J85)</f>
        <v>0.2125</v>
      </c>
      <c r="K135" s="45" t="n">
        <f aca="false">K85+$AB135*(K60-K85)</f>
        <v>0.2125</v>
      </c>
      <c r="L135" s="45" t="n">
        <f aca="false">L85+$AB135*(L60-L85)</f>
        <v>0.2125</v>
      </c>
      <c r="M135" s="45" t="n">
        <f aca="false">M85+$AB135*(M60-M85)</f>
        <v>0.2125</v>
      </c>
      <c r="N135" s="45" t="n">
        <f aca="false">N85+$AB135*(N60-N85)</f>
        <v>0</v>
      </c>
      <c r="O135" s="45" t="n">
        <f aca="false">O85+$AB135*(O60-O85)</f>
        <v>0</v>
      </c>
      <c r="P135" s="45" t="n">
        <f aca="false">P85+$AB135*(P60-P85)</f>
        <v>0.2125</v>
      </c>
      <c r="Q135" s="45" t="n">
        <f aca="false">Q85+$AB135*(Q60-Q85)</f>
        <v>0.2125</v>
      </c>
      <c r="R135" s="45" t="n">
        <f aca="false">R85+$AB135*(R60-R85)</f>
        <v>0.2125</v>
      </c>
      <c r="S135" s="45" t="n">
        <f aca="false">S85+$AB135*(S60-S85)</f>
        <v>0.2125</v>
      </c>
      <c r="T135" s="45" t="n">
        <f aca="false">T85+$AB135*(T60-T85)</f>
        <v>0.2125</v>
      </c>
      <c r="U135" s="45" t="n">
        <f aca="false">U85+$AB135*(U60-U85)</f>
        <v>0</v>
      </c>
      <c r="V135" s="45" t="n">
        <f aca="false">V85+$AB135*(V60-V85)</f>
        <v>0.2125</v>
      </c>
      <c r="W135" s="45" t="n">
        <f aca="false">W85+$AB135*(W60-W85)</f>
        <v>0.2125</v>
      </c>
      <c r="X135" s="45" t="n">
        <f aca="false">X85+$AB135*(X60-X85)</f>
        <v>0.2125</v>
      </c>
      <c r="Y135" s="45" t="n">
        <f aca="false">Y85+$AB135*(Y60-Y85)</f>
        <v>0.2125</v>
      </c>
      <c r="Z135" s="45" t="n">
        <f aca="false">Z85+$AB135*(Z60-Z85)</f>
        <v>0</v>
      </c>
      <c r="AB135" s="43" t="n">
        <f aca="false">MAX(p_ccf_bl,INDEX(BDC!$U$6:$U$39,$B10)*p_ccf_dg)</f>
        <v>1</v>
      </c>
    </row>
    <row r="136" customFormat="false" ht="15" hidden="false" customHeight="true" outlineLevel="0" collapsed="false">
      <c r="A136" s="10" t="s">
        <v>640</v>
      </c>
      <c r="C136" s="45" t="n">
        <f aca="false">C86+$AB136*(C61-C86)</f>
        <v>0.115649</v>
      </c>
      <c r="D136" s="45" t="n">
        <f aca="false">D86+$AB136*(D61-D86)</f>
        <v>0.115649</v>
      </c>
      <c r="E136" s="45" t="n">
        <f aca="false">E86+$AB136*(E61-E86)</f>
        <v>0.115649</v>
      </c>
      <c r="F136" s="45" t="n">
        <f aca="false">F86+$AB136*(F61-F86)</f>
        <v>0.115649</v>
      </c>
      <c r="G136" s="45" t="n">
        <f aca="false">G86+$AB136*(G61-G86)</f>
        <v>0.115649</v>
      </c>
      <c r="H136" s="45" t="n">
        <f aca="false">H86+$AB136*(H61-H86)</f>
        <v>0</v>
      </c>
      <c r="I136" s="45" t="n">
        <f aca="false">I86+$AB136*(I61-I86)</f>
        <v>0</v>
      </c>
      <c r="J136" s="45" t="n">
        <f aca="false">J86+$AB136*(J61-J86)</f>
        <v>0.115649</v>
      </c>
      <c r="K136" s="45" t="n">
        <f aca="false">K86+$AB136*(K61-K86)</f>
        <v>0.115649</v>
      </c>
      <c r="L136" s="45" t="n">
        <f aca="false">L86+$AB136*(L61-L86)</f>
        <v>0.115649</v>
      </c>
      <c r="M136" s="45" t="n">
        <f aca="false">M86+$AB136*(M61-M86)</f>
        <v>0.115649</v>
      </c>
      <c r="N136" s="45" t="n">
        <f aca="false">N86+$AB136*(N61-N86)</f>
        <v>0</v>
      </c>
      <c r="O136" s="45" t="n">
        <f aca="false">O86+$AB136*(O61-O86)</f>
        <v>0</v>
      </c>
      <c r="P136" s="45" t="n">
        <f aca="false">P86+$AB136*(P61-P86)</f>
        <v>0.115649</v>
      </c>
      <c r="Q136" s="45" t="n">
        <f aca="false">Q86+$AB136*(Q61-Q86)</f>
        <v>0</v>
      </c>
      <c r="R136" s="45" t="n">
        <f aca="false">R86+$AB136*(R61-R86)</f>
        <v>0</v>
      </c>
      <c r="S136" s="45" t="n">
        <f aca="false">S86+$AB136*(S61-S86)</f>
        <v>0</v>
      </c>
      <c r="T136" s="45" t="n">
        <f aca="false">T86+$AB136*(T61-T86)</f>
        <v>0.115649</v>
      </c>
      <c r="U136" s="45" t="n">
        <f aca="false">U86+$AB136*(U61-U86)</f>
        <v>0</v>
      </c>
      <c r="V136" s="45" t="n">
        <f aca="false">V86+$AB136*(V61-V86)</f>
        <v>0.115649</v>
      </c>
      <c r="W136" s="45" t="n">
        <f aca="false">W86+$AB136*(W61-W86)</f>
        <v>0.115649</v>
      </c>
      <c r="X136" s="45" t="n">
        <f aca="false">X86+$AB136*(X61-X86)</f>
        <v>0</v>
      </c>
      <c r="Y136" s="45" t="n">
        <f aca="false">Y86+$AB136*(Y61-Y86)</f>
        <v>0.115649</v>
      </c>
      <c r="Z136" s="45" t="n">
        <f aca="false">Z86+$AB136*(Z61-Z86)</f>
        <v>0</v>
      </c>
      <c r="AB136" s="43" t="n">
        <f aca="false">MAX(p_ccf_bl,INDEX(BDC!$U$6:$U$39,$B11)*p_ccf_dg)</f>
        <v>1</v>
      </c>
    </row>
    <row r="137" customFormat="false" ht="15" hidden="false" customHeight="true" outlineLevel="0" collapsed="false">
      <c r="A137" s="10" t="s">
        <v>657</v>
      </c>
      <c r="C137" s="45" t="n">
        <f aca="false">C87+$AB137*(C62-C87)</f>
        <v>0.125</v>
      </c>
      <c r="D137" s="45" t="n">
        <f aca="false">D87+$AB137*(D62-D87)</f>
        <v>0.075</v>
      </c>
      <c r="E137" s="45" t="n">
        <f aca="false">E87+$AB137*(E62-E87)</f>
        <v>0.075</v>
      </c>
      <c r="F137" s="45" t="n">
        <f aca="false">F87+$AB137*(F62-F87)</f>
        <v>0</v>
      </c>
      <c r="G137" s="45" t="n">
        <f aca="false">G87+$AB137*(G62-G87)</f>
        <v>0.05</v>
      </c>
      <c r="H137" s="45" t="n">
        <f aca="false">H87+$AB137*(H62-H87)</f>
        <v>0.075</v>
      </c>
      <c r="I137" s="45" t="n">
        <f aca="false">I87+$AB137*(I62-I87)</f>
        <v>0</v>
      </c>
      <c r="J137" s="45" t="n">
        <f aca="false">J87+$AB137*(J62-J87)</f>
        <v>0</v>
      </c>
      <c r="K137" s="45" t="n">
        <f aca="false">K87+$AB137*(K62-K87)</f>
        <v>0</v>
      </c>
      <c r="L137" s="45" t="n">
        <f aca="false">L87+$AB137*(L62-L87)</f>
        <v>0.125</v>
      </c>
      <c r="M137" s="45" t="n">
        <f aca="false">M87+$AB137*(M62-M87)</f>
        <v>0</v>
      </c>
      <c r="N137" s="45" t="n">
        <f aca="false">N87+$AB137*(N62-N87)</f>
        <v>0</v>
      </c>
      <c r="O137" s="45" t="n">
        <f aca="false">O87+$AB137*(O62-O87)</f>
        <v>0</v>
      </c>
      <c r="P137" s="45" t="n">
        <f aca="false">P87+$AB137*(P62-P87)</f>
        <v>0.075</v>
      </c>
      <c r="Q137" s="45" t="n">
        <f aca="false">Q87+$AB137*(Q62-Q87)</f>
        <v>0.075</v>
      </c>
      <c r="R137" s="45" t="n">
        <f aca="false">R87+$AB137*(R62-R87)</f>
        <v>0.075</v>
      </c>
      <c r="S137" s="45" t="n">
        <f aca="false">S87+$AB137*(S62-S87)</f>
        <v>0</v>
      </c>
      <c r="T137" s="45" t="n">
        <f aca="false">T87+$AB137*(T62-T87)</f>
        <v>0</v>
      </c>
      <c r="U137" s="45" t="n">
        <f aca="false">U87+$AB137*(U62-U87)</f>
        <v>0</v>
      </c>
      <c r="V137" s="45" t="n">
        <f aca="false">V87+$AB137*(V62-V87)</f>
        <v>0.037376</v>
      </c>
      <c r="W137" s="45" t="n">
        <f aca="false">W87+$AB137*(W62-W87)</f>
        <v>0</v>
      </c>
      <c r="X137" s="45" t="n">
        <f aca="false">X87+$AB137*(X62-X87)</f>
        <v>0</v>
      </c>
      <c r="Y137" s="45" t="n">
        <f aca="false">Y87+$AB137*(Y62-Y87)</f>
        <v>0</v>
      </c>
      <c r="Z137" s="45" t="n">
        <f aca="false">Z87+$AB137*(Z62-Z87)</f>
        <v>0</v>
      </c>
      <c r="AB137" s="43" t="n">
        <f aca="false">MAX(p_ccf_bl,INDEX(BDC!$U$6:$U$39,$B12)*p_ccf_dg)</f>
        <v>1</v>
      </c>
    </row>
    <row r="138" customFormat="false" ht="15" hidden="false" customHeight="true" outlineLevel="0" collapsed="false">
      <c r="A138" s="10" t="s">
        <v>641</v>
      </c>
      <c r="C138" s="45" t="n">
        <f aca="false">C88+$AB138*(C63-C88)</f>
        <v>0.275862</v>
      </c>
      <c r="D138" s="45" t="n">
        <f aca="false">D88+$AB138*(D63-D88)</f>
        <v>0.301724</v>
      </c>
      <c r="E138" s="45" t="n">
        <f aca="false">E88+$AB138*(E63-E88)</f>
        <v>0.12931</v>
      </c>
      <c r="F138" s="45" t="n">
        <f aca="false">F88+$AB138*(F63-F88)</f>
        <v>0</v>
      </c>
      <c r="G138" s="45" t="n">
        <f aca="false">G88+$AB138*(G63-G88)</f>
        <v>0.107759</v>
      </c>
      <c r="H138" s="45" t="n">
        <f aca="false">H88+$AB138*(H63-H88)</f>
        <v>0.086207</v>
      </c>
      <c r="I138" s="45" t="n">
        <f aca="false">I88+$AB138*(I63-I88)</f>
        <v>0</v>
      </c>
      <c r="J138" s="45" t="n">
        <f aca="false">J88+$AB138*(J63-J88)</f>
        <v>0.043103</v>
      </c>
      <c r="K138" s="45" t="n">
        <f aca="false">K88+$AB138*(K63-K88)</f>
        <v>0.258621</v>
      </c>
      <c r="L138" s="45" t="n">
        <f aca="false">L88+$AB138*(L63-L88)</f>
        <v>0.12931</v>
      </c>
      <c r="M138" s="45" t="n">
        <f aca="false">M88+$AB138*(M63-M88)</f>
        <v>0</v>
      </c>
      <c r="N138" s="45" t="n">
        <f aca="false">N88+$AB138*(N63-N88)</f>
        <v>0</v>
      </c>
      <c r="O138" s="45" t="n">
        <f aca="false">O88+$AB138*(O63-O88)</f>
        <v>0</v>
      </c>
      <c r="P138" s="45" t="n">
        <f aca="false">P88+$AB138*(P63-P88)</f>
        <v>0.086207</v>
      </c>
      <c r="Q138" s="45" t="n">
        <f aca="false">Q88+$AB138*(Q63-Q88)</f>
        <v>0.172414</v>
      </c>
      <c r="R138" s="45" t="n">
        <f aca="false">R88+$AB138*(R63-R88)</f>
        <v>0</v>
      </c>
      <c r="S138" s="45" t="n">
        <f aca="false">S88+$AB138*(S63-S88)</f>
        <v>0.086207</v>
      </c>
      <c r="T138" s="45" t="n">
        <f aca="false">T88+$AB138*(T63-T88)</f>
        <v>0.086207</v>
      </c>
      <c r="U138" s="45" t="n">
        <f aca="false">U88+$AB138*(U63-U88)</f>
        <v>0.12931</v>
      </c>
      <c r="V138" s="45" t="n">
        <f aca="false">V88+$AB138*(V63-V88)</f>
        <v>0.258621</v>
      </c>
      <c r="W138" s="45" t="n">
        <f aca="false">W88+$AB138*(W63-W88)</f>
        <v>0.293103</v>
      </c>
      <c r="X138" s="45" t="n">
        <f aca="false">X88+$AB138*(X63-X88)</f>
        <v>0.193966</v>
      </c>
      <c r="Y138" s="45" t="n">
        <f aca="false">Y88+$AB138*(Y63-Y88)</f>
        <v>0.172414</v>
      </c>
      <c r="Z138" s="45" t="n">
        <f aca="false">Z88+$AB138*(Z63-Z88)</f>
        <v>0</v>
      </c>
      <c r="AB138" s="43" t="n">
        <f aca="false">MAX(p_ccf_bl,INDEX(BDC!$U$6:$U$39,$B13)*p_ccf_dg)</f>
        <v>1</v>
      </c>
    </row>
    <row r="139" customFormat="false" ht="15" hidden="false" customHeight="true" outlineLevel="0" collapsed="false">
      <c r="A139" s="10" t="s">
        <v>644</v>
      </c>
      <c r="C139" s="45" t="n">
        <f aca="false">C89+$AB139*(C64-C89)</f>
        <v>0.110972</v>
      </c>
      <c r="D139" s="45" t="n">
        <f aca="false">D89+$AB139*(D64-D89)</f>
        <v>0</v>
      </c>
      <c r="E139" s="45" t="n">
        <f aca="false">E89+$AB139*(E64-E89)</f>
        <v>0</v>
      </c>
      <c r="F139" s="45" t="n">
        <f aca="false">F89+$AB139*(F64-F89)</f>
        <v>0.110972</v>
      </c>
      <c r="G139" s="45" t="n">
        <f aca="false">G89+$AB139*(G64-G89)</f>
        <v>0.110972</v>
      </c>
      <c r="H139" s="45" t="n">
        <f aca="false">H89+$AB139*(H64-H89)</f>
        <v>0.110972</v>
      </c>
      <c r="I139" s="45" t="n">
        <f aca="false">I89+$AB139*(I64-I89)</f>
        <v>0</v>
      </c>
      <c r="J139" s="45" t="n">
        <f aca="false">J89+$AB139*(J64-J89)</f>
        <v>0.110972</v>
      </c>
      <c r="K139" s="45" t="n">
        <f aca="false">K89+$AB139*(K64-K89)</f>
        <v>0.110972</v>
      </c>
      <c r="L139" s="45" t="n">
        <f aca="false">L89+$AB139*(L64-L89)</f>
        <v>0</v>
      </c>
      <c r="M139" s="45" t="n">
        <f aca="false">M89+$AB139*(M64-M89)</f>
        <v>0</v>
      </c>
      <c r="N139" s="45" t="n">
        <f aca="false">N89+$AB139*(N64-N89)</f>
        <v>0</v>
      </c>
      <c r="O139" s="45" t="n">
        <f aca="false">O89+$AB139*(O64-O89)</f>
        <v>0</v>
      </c>
      <c r="P139" s="45" t="n">
        <f aca="false">P89+$AB139*(P64-P89)</f>
        <v>0</v>
      </c>
      <c r="Q139" s="45" t="n">
        <f aca="false">Q89+$AB139*(Q64-Q89)</f>
        <v>0</v>
      </c>
      <c r="R139" s="45" t="n">
        <f aca="false">R89+$AB139*(R64-R89)</f>
        <v>0</v>
      </c>
      <c r="S139" s="45" t="n">
        <f aca="false">S89+$AB139*(S64-S89)</f>
        <v>0.110972</v>
      </c>
      <c r="T139" s="45" t="n">
        <f aca="false">T89+$AB139*(T64-T89)</f>
        <v>0.110972</v>
      </c>
      <c r="U139" s="45" t="n">
        <f aca="false">U89+$AB139*(U64-U89)</f>
        <v>0</v>
      </c>
      <c r="V139" s="45" t="n">
        <f aca="false">V89+$AB139*(V64-V89)</f>
        <v>0.110972</v>
      </c>
      <c r="W139" s="45" t="n">
        <f aca="false">W89+$AB139*(W64-W89)</f>
        <v>0.110972</v>
      </c>
      <c r="X139" s="45" t="n">
        <f aca="false">X89+$AB139*(X64-X89)</f>
        <v>0</v>
      </c>
      <c r="Y139" s="45" t="n">
        <f aca="false">Y89+$AB139*(Y64-Y89)</f>
        <v>0.110972</v>
      </c>
      <c r="Z139" s="45" t="n">
        <f aca="false">Z89+$AB139*(Z64-Z89)</f>
        <v>0</v>
      </c>
      <c r="AB139" s="43" t="n">
        <f aca="false">MAX(p_ccf_bl,INDEX(BDC!$U$6:$U$39,$B14)*p_ccf_dg)</f>
        <v>1</v>
      </c>
    </row>
    <row r="140" customFormat="false" ht="15" hidden="false" customHeight="true" outlineLevel="0" collapsed="false">
      <c r="A140" s="10" t="s">
        <v>654</v>
      </c>
      <c r="C140" s="45" t="n">
        <f aca="false">C90+$AB140*(C65-C90)</f>
        <v>0</v>
      </c>
      <c r="D140" s="45" t="n">
        <f aca="false">D90+$AB140*(D65-D90)</f>
        <v>0.122917</v>
      </c>
      <c r="E140" s="45" t="n">
        <f aca="false">E90+$AB140*(E65-E90)</f>
        <v>0</v>
      </c>
      <c r="F140" s="45" t="n">
        <f aca="false">F90+$AB140*(F65-F90)</f>
        <v>0</v>
      </c>
      <c r="G140" s="45" t="n">
        <f aca="false">G90+$AB140*(G65-G90)</f>
        <v>0</v>
      </c>
      <c r="H140" s="45" t="n">
        <f aca="false">H90+$AB140*(H65-H90)</f>
        <v>0.122917</v>
      </c>
      <c r="I140" s="45" t="n">
        <f aca="false">I90+$AB140*(I65-I90)</f>
        <v>0</v>
      </c>
      <c r="J140" s="45" t="n">
        <f aca="false">J90+$AB140*(J65-J90)</f>
        <v>0</v>
      </c>
      <c r="K140" s="45" t="n">
        <f aca="false">K90+$AB140*(K65-K90)</f>
        <v>0.122917</v>
      </c>
      <c r="L140" s="45" t="n">
        <f aca="false">L90+$AB140*(L65-L90)</f>
        <v>0.122917</v>
      </c>
      <c r="M140" s="45" t="n">
        <f aca="false">M90+$AB140*(M65-M90)</f>
        <v>0</v>
      </c>
      <c r="N140" s="45" t="n">
        <f aca="false">N90+$AB140*(N65-N90)</f>
        <v>0</v>
      </c>
      <c r="O140" s="45" t="n">
        <f aca="false">O90+$AB140*(O65-O90)</f>
        <v>0</v>
      </c>
      <c r="P140" s="45" t="n">
        <f aca="false">P90+$AB140*(P65-P90)</f>
        <v>0.122917</v>
      </c>
      <c r="Q140" s="45" t="n">
        <f aca="false">Q90+$AB140*(Q65-Q90)</f>
        <v>0.122917</v>
      </c>
      <c r="R140" s="45" t="n">
        <f aca="false">R90+$AB140*(R65-R90)</f>
        <v>0</v>
      </c>
      <c r="S140" s="45" t="n">
        <f aca="false">S90+$AB140*(S65-S90)</f>
        <v>0.122917</v>
      </c>
      <c r="T140" s="45" t="n">
        <f aca="false">T90+$AB140*(T65-T90)</f>
        <v>0</v>
      </c>
      <c r="U140" s="45" t="n">
        <f aca="false">U90+$AB140*(U65-U90)</f>
        <v>0</v>
      </c>
      <c r="V140" s="45" t="n">
        <f aca="false">V90+$AB140*(V65-V90)</f>
        <v>0.122917</v>
      </c>
      <c r="W140" s="45" t="n">
        <f aca="false">W90+$AB140*(W65-W90)</f>
        <v>0.122917</v>
      </c>
      <c r="X140" s="45" t="n">
        <f aca="false">X90+$AB140*(X65-X90)</f>
        <v>0</v>
      </c>
      <c r="Y140" s="45" t="n">
        <f aca="false">Y90+$AB140*(Y65-Y90)</f>
        <v>0</v>
      </c>
      <c r="Z140" s="45" t="n">
        <f aca="false">Z90+$AB140*(Z65-Z90)</f>
        <v>0</v>
      </c>
      <c r="AB140" s="43" t="n">
        <f aca="false">MAX(p_ccf_bl,INDEX(BDC!$U$6:$U$39,$B15)*p_ccf_dg)</f>
        <v>1</v>
      </c>
    </row>
    <row r="141" customFormat="false" ht="15" hidden="false" customHeight="true" outlineLevel="0" collapsed="false">
      <c r="A141" s="10" t="s">
        <v>635</v>
      </c>
      <c r="C141" s="45" t="n">
        <f aca="false">C91+$AB141*(C66-C91)</f>
        <v>0.12619</v>
      </c>
      <c r="D141" s="45" t="n">
        <f aca="false">D91+$AB141*(D66-D91)</f>
        <v>0.12619</v>
      </c>
      <c r="E141" s="45" t="n">
        <f aca="false">E91+$AB141*(E66-E91)</f>
        <v>0.12619</v>
      </c>
      <c r="F141" s="45" t="n">
        <f aca="false">F91+$AB141*(F66-F91)</f>
        <v>0.12619</v>
      </c>
      <c r="G141" s="45" t="n">
        <f aca="false">G91+$AB141*(G66-G91)</f>
        <v>0.12619</v>
      </c>
      <c r="H141" s="45" t="n">
        <f aca="false">H91+$AB141*(H66-H91)</f>
        <v>0.12619</v>
      </c>
      <c r="I141" s="45" t="n">
        <f aca="false">I91+$AB141*(I66-I91)</f>
        <v>0</v>
      </c>
      <c r="J141" s="45" t="n">
        <f aca="false">J91+$AB141*(J66-J91)</f>
        <v>0.12619</v>
      </c>
      <c r="K141" s="45" t="n">
        <f aca="false">K91+$AB141*(K66-K91)</f>
        <v>0.12619</v>
      </c>
      <c r="L141" s="45" t="n">
        <f aca="false">L91+$AB141*(L66-L91)</f>
        <v>0</v>
      </c>
      <c r="M141" s="45" t="n">
        <f aca="false">M91+$AB141*(M66-M91)</f>
        <v>0.12619</v>
      </c>
      <c r="N141" s="45" t="n">
        <f aca="false">N91+$AB141*(N66-N91)</f>
        <v>0</v>
      </c>
      <c r="O141" s="45" t="n">
        <f aca="false">O91+$AB141*(O66-O91)</f>
        <v>0</v>
      </c>
      <c r="P141" s="45" t="n">
        <f aca="false">P91+$AB141*(P66-P91)</f>
        <v>0.12619</v>
      </c>
      <c r="Q141" s="45" t="n">
        <f aca="false">Q91+$AB141*(Q66-Q91)</f>
        <v>0</v>
      </c>
      <c r="R141" s="45" t="n">
        <f aca="false">R91+$AB141*(R66-R91)</f>
        <v>0.12619</v>
      </c>
      <c r="S141" s="45" t="n">
        <f aca="false">S91+$AB141*(S66-S91)</f>
        <v>0.12619</v>
      </c>
      <c r="T141" s="45" t="n">
        <f aca="false">T91+$AB141*(T66-T91)</f>
        <v>0.12619</v>
      </c>
      <c r="U141" s="45" t="n">
        <f aca="false">U91+$AB141*(U66-U91)</f>
        <v>0</v>
      </c>
      <c r="V141" s="45" t="n">
        <f aca="false">V91+$AB141*(V66-V91)</f>
        <v>0.12619</v>
      </c>
      <c r="W141" s="45" t="n">
        <f aca="false">W91+$AB141*(W66-W91)</f>
        <v>0.12619</v>
      </c>
      <c r="X141" s="45" t="n">
        <f aca="false">X91+$AB141*(X66-X91)</f>
        <v>0</v>
      </c>
      <c r="Y141" s="45" t="n">
        <f aca="false">Y91+$AB141*(Y66-Y91)</f>
        <v>0.12619</v>
      </c>
      <c r="Z141" s="45" t="n">
        <f aca="false">Z91+$AB141*(Z66-Z91)</f>
        <v>0</v>
      </c>
      <c r="AB141" s="43" t="n">
        <f aca="false">MAX(p_ccf_bl,INDEX(BDC!$U$6:$U$39,$B16)*p_ccf_dg)</f>
        <v>1</v>
      </c>
    </row>
    <row r="142" customFormat="false" ht="15" hidden="false" customHeight="true" outlineLevel="0" collapsed="false">
      <c r="A142" s="10" t="s">
        <v>651</v>
      </c>
      <c r="C142" s="45" t="n">
        <f aca="false">C92+$AB142*(C67-C92)</f>
        <v>0</v>
      </c>
      <c r="D142" s="45" t="n">
        <f aca="false">D92+$AB142*(D67-D92)</f>
        <v>0</v>
      </c>
      <c r="E142" s="45" t="n">
        <f aca="false">E92+$AB142*(E67-E92)</f>
        <v>0</v>
      </c>
      <c r="F142" s="45" t="n">
        <f aca="false">F92+$AB142*(F67-F92)</f>
        <v>0</v>
      </c>
      <c r="G142" s="45" t="n">
        <f aca="false">G92+$AB142*(G67-G92)</f>
        <v>0</v>
      </c>
      <c r="H142" s="45" t="n">
        <f aca="false">H92+$AB142*(H67-H92)</f>
        <v>0</v>
      </c>
      <c r="I142" s="45" t="n">
        <f aca="false">I92+$AB142*(I67-I92)</f>
        <v>0</v>
      </c>
      <c r="J142" s="45" t="n">
        <f aca="false">J92+$AB142*(J67-J92)</f>
        <v>0</v>
      </c>
      <c r="K142" s="45" t="n">
        <f aca="false">K92+$AB142*(K67-K92)</f>
        <v>0</v>
      </c>
      <c r="L142" s="45" t="n">
        <f aca="false">L92+$AB142*(L67-L92)</f>
        <v>0</v>
      </c>
      <c r="M142" s="45" t="n">
        <f aca="false">M92+$AB142*(M67-M92)</f>
        <v>0</v>
      </c>
      <c r="N142" s="45" t="n">
        <f aca="false">N92+$AB142*(N67-N92)</f>
        <v>0</v>
      </c>
      <c r="O142" s="45" t="n">
        <f aca="false">O92+$AB142*(O67-O92)</f>
        <v>0</v>
      </c>
      <c r="P142" s="45" t="n">
        <f aca="false">P92+$AB142*(P67-P92)</f>
        <v>0</v>
      </c>
      <c r="Q142" s="45" t="n">
        <f aca="false">Q92+$AB142*(Q67-Q92)</f>
        <v>0</v>
      </c>
      <c r="R142" s="45" t="n">
        <f aca="false">R92+$AB142*(R67-R92)</f>
        <v>0</v>
      </c>
      <c r="S142" s="45" t="n">
        <f aca="false">S92+$AB142*(S67-S92)</f>
        <v>0</v>
      </c>
      <c r="T142" s="45" t="n">
        <f aca="false">T92+$AB142*(T67-T92)</f>
        <v>0</v>
      </c>
      <c r="U142" s="45" t="n">
        <f aca="false">U92+$AB142*(U67-U92)</f>
        <v>0</v>
      </c>
      <c r="V142" s="45" t="n">
        <f aca="false">V92+$AB142*(V67-V92)</f>
        <v>0</v>
      </c>
      <c r="W142" s="45" t="n">
        <f aca="false">W92+$AB142*(W67-W92)</f>
        <v>0</v>
      </c>
      <c r="X142" s="45" t="n">
        <f aca="false">X92+$AB142*(X67-X92)</f>
        <v>0</v>
      </c>
      <c r="Y142" s="45" t="n">
        <f aca="false">Y92+$AB142*(Y67-Y92)</f>
        <v>0</v>
      </c>
      <c r="Z142" s="45" t="n">
        <f aca="false">Z92+$AB142*(Z67-Z92)</f>
        <v>0</v>
      </c>
      <c r="AB142" s="43" t="n">
        <f aca="false">MAX(p_ccf_bl,INDEX(BDC!$U$6:$U$39,$B17)*p_ccf_dg)</f>
        <v>1</v>
      </c>
    </row>
    <row r="143" customFormat="false" ht="15" hidden="false" customHeight="true" outlineLevel="0" collapsed="false">
      <c r="A143" s="10" t="s">
        <v>648</v>
      </c>
      <c r="C143" s="45" t="n">
        <f aca="false">C93+$AB143*(C68-C93)</f>
        <v>0</v>
      </c>
      <c r="D143" s="45" t="n">
        <f aca="false">D93+$AB143*(D68-D93)</f>
        <v>0</v>
      </c>
      <c r="E143" s="45" t="n">
        <f aca="false">E93+$AB143*(E68-E93)</f>
        <v>0</v>
      </c>
      <c r="F143" s="45" t="n">
        <f aca="false">F93+$AB143*(F68-F93)</f>
        <v>0</v>
      </c>
      <c r="G143" s="45" t="n">
        <f aca="false">G93+$AB143*(G68-G93)</f>
        <v>0</v>
      </c>
      <c r="H143" s="45" t="n">
        <f aca="false">H93+$AB143*(H68-H93)</f>
        <v>0</v>
      </c>
      <c r="I143" s="45" t="n">
        <f aca="false">I93+$AB143*(I68-I93)</f>
        <v>0</v>
      </c>
      <c r="J143" s="45" t="n">
        <f aca="false">J93+$AB143*(J68-J93)</f>
        <v>0</v>
      </c>
      <c r="K143" s="45" t="n">
        <f aca="false">K93+$AB143*(K68-K93)</f>
        <v>0.1625</v>
      </c>
      <c r="L143" s="45" t="n">
        <f aca="false">L93+$AB143*(L68-L93)</f>
        <v>0</v>
      </c>
      <c r="M143" s="45" t="n">
        <f aca="false">M93+$AB143*(M68-M93)</f>
        <v>0</v>
      </c>
      <c r="N143" s="45" t="n">
        <f aca="false">N93+$AB143*(N68-N93)</f>
        <v>0.05</v>
      </c>
      <c r="O143" s="45" t="n">
        <f aca="false">O93+$AB143*(O68-O93)</f>
        <v>0</v>
      </c>
      <c r="P143" s="45" t="n">
        <f aca="false">P93+$AB143*(P68-P93)</f>
        <v>0</v>
      </c>
      <c r="Q143" s="45" t="n">
        <f aca="false">Q93+$AB143*(Q68-Q93)</f>
        <v>0</v>
      </c>
      <c r="R143" s="45" t="n">
        <f aca="false">R93+$AB143*(R68-R93)</f>
        <v>0</v>
      </c>
      <c r="S143" s="45" t="n">
        <f aca="false">S93+$AB143*(S68-S93)</f>
        <v>0</v>
      </c>
      <c r="T143" s="45" t="n">
        <f aca="false">T93+$AB143*(T68-T93)</f>
        <v>0</v>
      </c>
      <c r="U143" s="45" t="n">
        <f aca="false">U93+$AB143*(U68-U93)</f>
        <v>0</v>
      </c>
      <c r="V143" s="45" t="n">
        <f aca="false">V93+$AB143*(V68-V93)</f>
        <v>0</v>
      </c>
      <c r="W143" s="45" t="n">
        <f aca="false">W93+$AB143*(W68-W93)</f>
        <v>0.1</v>
      </c>
      <c r="X143" s="45" t="n">
        <f aca="false">X93+$AB143*(X68-X93)</f>
        <v>0</v>
      </c>
      <c r="Y143" s="45" t="n">
        <f aca="false">Y93+$AB143*(Y68-Y93)</f>
        <v>0.13</v>
      </c>
      <c r="Z143" s="45" t="n">
        <f aca="false">Z93+$AB143*(Z68-Z93)</f>
        <v>0</v>
      </c>
      <c r="AB143" s="43" t="n">
        <f aca="false">MAX(p_ccf_bl,INDEX(BDC!$U$6:$U$39,$B18)*p_ccf_dg)</f>
        <v>1</v>
      </c>
    </row>
    <row r="144" customFormat="false" ht="15" hidden="false" customHeight="true" outlineLevel="0" collapsed="false">
      <c r="A144" s="10" t="s">
        <v>652</v>
      </c>
      <c r="C144" s="45" t="n">
        <f aca="false">C94+$AB144*(C69-C94)</f>
        <v>0.111538</v>
      </c>
      <c r="D144" s="45" t="n">
        <f aca="false">D94+$AB144*(D69-D94)</f>
        <v>0</v>
      </c>
      <c r="E144" s="45" t="n">
        <f aca="false">E94+$AB144*(E69-E94)</f>
        <v>0</v>
      </c>
      <c r="F144" s="45" t="n">
        <f aca="false">F94+$AB144*(F69-F94)</f>
        <v>0.111538</v>
      </c>
      <c r="G144" s="45" t="n">
        <f aca="false">G94+$AB144*(G69-G94)</f>
        <v>0</v>
      </c>
      <c r="H144" s="45" t="n">
        <f aca="false">H94+$AB144*(H69-H94)</f>
        <v>0</v>
      </c>
      <c r="I144" s="45" t="n">
        <f aca="false">I94+$AB144*(I69-I94)</f>
        <v>0</v>
      </c>
      <c r="J144" s="45" t="n">
        <f aca="false">J94+$AB144*(J69-J94)</f>
        <v>0</v>
      </c>
      <c r="K144" s="45" t="n">
        <f aca="false">K94+$AB144*(K69-K94)</f>
        <v>0.111538</v>
      </c>
      <c r="L144" s="45" t="n">
        <f aca="false">L94+$AB144*(L69-L94)</f>
        <v>0.111538</v>
      </c>
      <c r="M144" s="45" t="n">
        <f aca="false">M94+$AB144*(M69-M94)</f>
        <v>0</v>
      </c>
      <c r="N144" s="45" t="n">
        <f aca="false">N94+$AB144*(N69-N94)</f>
        <v>0</v>
      </c>
      <c r="O144" s="45" t="n">
        <f aca="false">O94+$AB144*(O69-O94)</f>
        <v>0</v>
      </c>
      <c r="P144" s="45" t="n">
        <f aca="false">P94+$AB144*(P69-P94)</f>
        <v>0</v>
      </c>
      <c r="Q144" s="45" t="n">
        <f aca="false">Q94+$AB144*(Q69-Q94)</f>
        <v>0</v>
      </c>
      <c r="R144" s="45" t="n">
        <f aca="false">R94+$AB144*(R69-R94)</f>
        <v>0</v>
      </c>
      <c r="S144" s="45" t="n">
        <f aca="false">S94+$AB144*(S69-S94)</f>
        <v>0.111538</v>
      </c>
      <c r="T144" s="45" t="n">
        <f aca="false">T94+$AB144*(T69-T94)</f>
        <v>0</v>
      </c>
      <c r="U144" s="45" t="n">
        <f aca="false">U94+$AB144*(U69-U94)</f>
        <v>0</v>
      </c>
      <c r="V144" s="45" t="n">
        <f aca="false">V94+$AB144*(V69-V94)</f>
        <v>0.111538</v>
      </c>
      <c r="W144" s="45" t="n">
        <f aca="false">W94+$AB144*(W69-W94)</f>
        <v>0.111538</v>
      </c>
      <c r="X144" s="45" t="n">
        <f aca="false">X94+$AB144*(X69-X94)</f>
        <v>0</v>
      </c>
      <c r="Y144" s="45" t="n">
        <f aca="false">Y94+$AB144*(Y69-Y94)</f>
        <v>0.111538</v>
      </c>
      <c r="Z144" s="45" t="n">
        <f aca="false">Z94+$AB144*(Z69-Z94)</f>
        <v>0</v>
      </c>
      <c r="AB144" s="43" t="n">
        <f aca="false">MAX(p_ccf_bl,INDEX(BDC!$U$6:$U$39,$B19)*p_ccf_dg)</f>
        <v>1</v>
      </c>
    </row>
    <row r="145" customFormat="false" ht="15" hidden="false" customHeight="true" outlineLevel="0" collapsed="false">
      <c r="A145" s="10" t="s">
        <v>647</v>
      </c>
      <c r="C145" s="45" t="n">
        <f aca="false">C95+$AB145*(C70-C95)</f>
        <v>0.05</v>
      </c>
      <c r="D145" s="45" t="n">
        <f aca="false">D95+$AB145*(D70-D95)</f>
        <v>0</v>
      </c>
      <c r="E145" s="45" t="n">
        <f aca="false">E95+$AB145*(E70-E95)</f>
        <v>0</v>
      </c>
      <c r="F145" s="45" t="n">
        <f aca="false">F95+$AB145*(F70-F95)</f>
        <v>0.1</v>
      </c>
      <c r="G145" s="45" t="n">
        <f aca="false">G95+$AB145*(G70-G95)</f>
        <v>0</v>
      </c>
      <c r="H145" s="45" t="n">
        <f aca="false">H95+$AB145*(H70-H95)</f>
        <v>0</v>
      </c>
      <c r="I145" s="45" t="n">
        <f aca="false">I95+$AB145*(I70-I95)</f>
        <v>0</v>
      </c>
      <c r="J145" s="45" t="n">
        <f aca="false">J95+$AB145*(J70-J95)</f>
        <v>0</v>
      </c>
      <c r="K145" s="45" t="n">
        <f aca="false">K95+$AB145*(K70-K95)</f>
        <v>0.2</v>
      </c>
      <c r="L145" s="45" t="n">
        <f aca="false">L95+$AB145*(L70-L95)</f>
        <v>0.1</v>
      </c>
      <c r="M145" s="45" t="n">
        <f aca="false">M95+$AB145*(M70-M95)</f>
        <v>0</v>
      </c>
      <c r="N145" s="45" t="n">
        <f aca="false">N95+$AB145*(N70-N95)</f>
        <v>0</v>
      </c>
      <c r="O145" s="45" t="n">
        <f aca="false">O95+$AB145*(O70-O95)</f>
        <v>0</v>
      </c>
      <c r="P145" s="45" t="n">
        <f aca="false">P95+$AB145*(P70-P95)</f>
        <v>0</v>
      </c>
      <c r="Q145" s="45" t="n">
        <f aca="false">Q95+$AB145*(Q70-Q95)</f>
        <v>0</v>
      </c>
      <c r="R145" s="45" t="n">
        <f aca="false">R95+$AB145*(R70-R95)</f>
        <v>0</v>
      </c>
      <c r="S145" s="45" t="n">
        <f aca="false">S95+$AB145*(S70-S95)</f>
        <v>0.125</v>
      </c>
      <c r="T145" s="45" t="n">
        <f aca="false">T95+$AB145*(T70-T95)</f>
        <v>0</v>
      </c>
      <c r="U145" s="45" t="n">
        <f aca="false">U95+$AB145*(U70-U95)</f>
        <v>0</v>
      </c>
      <c r="V145" s="45" t="n">
        <f aca="false">V95+$AB145*(V70-V95)</f>
        <v>0.2</v>
      </c>
      <c r="W145" s="45" t="n">
        <f aca="false">W95+$AB145*(W70-W95)</f>
        <v>0.2</v>
      </c>
      <c r="X145" s="45" t="n">
        <f aca="false">X95+$AB145*(X70-X95)</f>
        <v>0</v>
      </c>
      <c r="Y145" s="45" t="n">
        <f aca="false">Y95+$AB145*(Y70-Y95)</f>
        <v>0.1</v>
      </c>
      <c r="Z145" s="45" t="n">
        <f aca="false">Z95+$AB145*(Z70-Z95)</f>
        <v>0</v>
      </c>
      <c r="AB145" s="43" t="n">
        <f aca="false">MAX(p_ccf_bl,INDEX(BDC!$U$6:$U$39,$B20)*p_ccf_dg)</f>
        <v>1</v>
      </c>
    </row>
    <row r="146" customFormat="false" ht="15" hidden="false" customHeight="true" outlineLevel="0" collapsed="false">
      <c r="A146" s="10" t="s">
        <v>659</v>
      </c>
      <c r="C146" s="45" t="n">
        <f aca="false">C96+$AB146*(C71-C96)</f>
        <v>0</v>
      </c>
      <c r="D146" s="45" t="n">
        <f aca="false">D96+$AB146*(D71-D96)</f>
        <v>0</v>
      </c>
      <c r="E146" s="45" t="n">
        <f aca="false">E96+$AB146*(E71-E96)</f>
        <v>0</v>
      </c>
      <c r="F146" s="45" t="n">
        <f aca="false">F96+$AB146*(F71-F96)</f>
        <v>0</v>
      </c>
      <c r="G146" s="45" t="n">
        <f aca="false">G96+$AB146*(G71-G96)</f>
        <v>0</v>
      </c>
      <c r="H146" s="45" t="n">
        <f aca="false">H96+$AB146*(H71-H96)</f>
        <v>0</v>
      </c>
      <c r="I146" s="45" t="n">
        <f aca="false">I96+$AB146*(I71-I96)</f>
        <v>0</v>
      </c>
      <c r="J146" s="45" t="n">
        <f aca="false">J96+$AB146*(J71-J96)</f>
        <v>0</v>
      </c>
      <c r="K146" s="45" t="n">
        <f aca="false">K96+$AB146*(K71-K96)</f>
        <v>0</v>
      </c>
      <c r="L146" s="45" t="n">
        <f aca="false">L96+$AB146*(L71-L96)</f>
        <v>0</v>
      </c>
      <c r="M146" s="45" t="n">
        <f aca="false">M96+$AB146*(M71-M96)</f>
        <v>0</v>
      </c>
      <c r="N146" s="45" t="n">
        <f aca="false">N96+$AB146*(N71-N96)</f>
        <v>0</v>
      </c>
      <c r="O146" s="45" t="n">
        <f aca="false">O96+$AB146*(O71-O96)</f>
        <v>0</v>
      </c>
      <c r="P146" s="45" t="n">
        <f aca="false">P96+$AB146*(P71-P96)</f>
        <v>0</v>
      </c>
      <c r="Q146" s="45" t="n">
        <f aca="false">Q96+$AB146*(Q71-Q96)</f>
        <v>0</v>
      </c>
      <c r="R146" s="45" t="n">
        <f aca="false">R96+$AB146*(R71-R96)</f>
        <v>0</v>
      </c>
      <c r="S146" s="45" t="n">
        <f aca="false">S96+$AB146*(S71-S96)</f>
        <v>0</v>
      </c>
      <c r="T146" s="45" t="n">
        <f aca="false">T96+$AB146*(T71-T96)</f>
        <v>0</v>
      </c>
      <c r="U146" s="45" t="n">
        <f aca="false">U96+$AB146*(U71-U96)</f>
        <v>0</v>
      </c>
      <c r="V146" s="45" t="n">
        <f aca="false">V96+$AB146*(V71-V96)</f>
        <v>0</v>
      </c>
      <c r="W146" s="45" t="n">
        <f aca="false">W96+$AB146*(W71-W96)</f>
        <v>0</v>
      </c>
      <c r="X146" s="45" t="n">
        <f aca="false">X96+$AB146*(X71-X96)</f>
        <v>0</v>
      </c>
      <c r="Y146" s="45" t="n">
        <f aca="false">Y96+$AB146*(Y71-Y96)</f>
        <v>0</v>
      </c>
      <c r="Z146" s="45" t="n">
        <f aca="false">Z96+$AB146*(Z71-Z96)</f>
        <v>0</v>
      </c>
      <c r="AB146" s="43" t="n">
        <f aca="false">MAX(p_ccf_bl,INDEX(BDC!$U$6:$U$39,$B21)*p_ccf_dg)</f>
        <v>1</v>
      </c>
    </row>
    <row r="147" customFormat="false" ht="15" hidden="false" customHeight="true" outlineLevel="0" collapsed="false">
      <c r="A147" s="10" t="s">
        <v>638</v>
      </c>
      <c r="C147" s="45" t="n">
        <f aca="false">C97+$AB147*(C72-C97)</f>
        <v>0.16</v>
      </c>
      <c r="D147" s="45" t="n">
        <f aca="false">D97+$AB147*(D72-D97)</f>
        <v>0.16</v>
      </c>
      <c r="E147" s="45" t="n">
        <f aca="false">E97+$AB147*(E72-E97)</f>
        <v>0</v>
      </c>
      <c r="F147" s="45" t="n">
        <f aca="false">F97+$AB147*(F72-F97)</f>
        <v>0.16</v>
      </c>
      <c r="G147" s="45" t="n">
        <f aca="false">G97+$AB147*(G72-G97)</f>
        <v>0.16</v>
      </c>
      <c r="H147" s="45" t="n">
        <f aca="false">H97+$AB147*(H72-H97)</f>
        <v>0.16</v>
      </c>
      <c r="I147" s="45" t="n">
        <f aca="false">I97+$AB147*(I72-I97)</f>
        <v>0</v>
      </c>
      <c r="J147" s="45" t="n">
        <f aca="false">J97+$AB147*(J72-J97)</f>
        <v>0.16</v>
      </c>
      <c r="K147" s="45" t="n">
        <f aca="false">K97+$AB147*(K72-K97)</f>
        <v>0.16</v>
      </c>
      <c r="L147" s="45" t="n">
        <f aca="false">L97+$AB147*(L72-L97)</f>
        <v>0.16</v>
      </c>
      <c r="M147" s="45" t="n">
        <f aca="false">M97+$AB147*(M72-M97)</f>
        <v>0</v>
      </c>
      <c r="N147" s="45" t="n">
        <f aca="false">N97+$AB147*(N72-N97)</f>
        <v>0</v>
      </c>
      <c r="O147" s="45" t="n">
        <f aca="false">O97+$AB147*(O72-O97)</f>
        <v>0</v>
      </c>
      <c r="P147" s="45" t="n">
        <f aca="false">P97+$AB147*(P72-P97)</f>
        <v>0</v>
      </c>
      <c r="Q147" s="45" t="n">
        <f aca="false">Q97+$AB147*(Q72-Q97)</f>
        <v>0</v>
      </c>
      <c r="R147" s="45" t="n">
        <f aca="false">R97+$AB147*(R72-R97)</f>
        <v>0.16</v>
      </c>
      <c r="S147" s="45" t="n">
        <f aca="false">S97+$AB147*(S72-S97)</f>
        <v>0</v>
      </c>
      <c r="T147" s="45" t="n">
        <f aca="false">T97+$AB147*(T72-T97)</f>
        <v>0.16</v>
      </c>
      <c r="U147" s="45" t="n">
        <f aca="false">U97+$AB147*(U72-U97)</f>
        <v>0</v>
      </c>
      <c r="V147" s="45" t="n">
        <f aca="false">V97+$AB147*(V72-V97)</f>
        <v>0.16</v>
      </c>
      <c r="W147" s="45" t="n">
        <f aca="false">W97+$AB147*(W72-W97)</f>
        <v>0.16</v>
      </c>
      <c r="X147" s="45" t="n">
        <f aca="false">X97+$AB147*(X72-X97)</f>
        <v>0.16</v>
      </c>
      <c r="Y147" s="45" t="n">
        <f aca="false">Y97+$AB147*(Y72-Y97)</f>
        <v>0.32</v>
      </c>
      <c r="Z147" s="45" t="n">
        <f aca="false">Z97+$AB147*(Z72-Z97)</f>
        <v>0</v>
      </c>
      <c r="AB147" s="43" t="n">
        <f aca="false">MAX(p_ccf_bl,INDEX(BDC!$U$6:$U$39,$B22)*p_ccf_dg)</f>
        <v>1</v>
      </c>
    </row>
    <row r="148" customFormat="false" ht="15" hidden="false" customHeight="true" outlineLevel="0" collapsed="false">
      <c r="A148" s="10" t="s">
        <v>631</v>
      </c>
      <c r="C148" s="45" t="n">
        <f aca="false">C98+$AB148*(C73-C98)</f>
        <v>0.169565</v>
      </c>
      <c r="D148" s="45" t="n">
        <f aca="false">D98+$AB148*(D73-D98)</f>
        <v>0.169565</v>
      </c>
      <c r="E148" s="45" t="n">
        <f aca="false">E98+$AB148*(E73-E98)</f>
        <v>0.169565</v>
      </c>
      <c r="F148" s="45" t="n">
        <f aca="false">F98+$AB148*(F73-F98)</f>
        <v>0.169565</v>
      </c>
      <c r="G148" s="45" t="n">
        <f aca="false">G98+$AB148*(G73-G98)</f>
        <v>0.169565</v>
      </c>
      <c r="H148" s="45" t="n">
        <f aca="false">H98+$AB148*(H73-H98)</f>
        <v>0.169565</v>
      </c>
      <c r="I148" s="45" t="n">
        <f aca="false">I98+$AB148*(I73-I98)</f>
        <v>0</v>
      </c>
      <c r="J148" s="45" t="n">
        <f aca="false">J98+$AB148*(J73-J98)</f>
        <v>0.169565</v>
      </c>
      <c r="K148" s="45" t="n">
        <f aca="false">K98+$AB148*(K73-K98)</f>
        <v>0</v>
      </c>
      <c r="L148" s="45" t="n">
        <f aca="false">L98+$AB148*(L73-L98)</f>
        <v>0.169565</v>
      </c>
      <c r="M148" s="45" t="n">
        <f aca="false">M98+$AB148*(M73-M98)</f>
        <v>0</v>
      </c>
      <c r="N148" s="45" t="n">
        <f aca="false">N98+$AB148*(N73-N98)</f>
        <v>0</v>
      </c>
      <c r="O148" s="45" t="n">
        <f aca="false">O98+$AB148*(O73-O98)</f>
        <v>0</v>
      </c>
      <c r="P148" s="45" t="n">
        <f aca="false">P98+$AB148*(P73-P98)</f>
        <v>0</v>
      </c>
      <c r="Q148" s="45" t="n">
        <f aca="false">Q98+$AB148*(Q73-Q98)</f>
        <v>0.169565</v>
      </c>
      <c r="R148" s="45" t="n">
        <f aca="false">R98+$AB148*(R73-R98)</f>
        <v>0.169565</v>
      </c>
      <c r="S148" s="45" t="n">
        <f aca="false">S98+$AB148*(S73-S98)</f>
        <v>0.169565</v>
      </c>
      <c r="T148" s="45" t="n">
        <f aca="false">T98+$AB148*(T73-T98)</f>
        <v>0</v>
      </c>
      <c r="U148" s="45" t="n">
        <f aca="false">U98+$AB148*(U73-U98)</f>
        <v>0</v>
      </c>
      <c r="V148" s="45" t="n">
        <f aca="false">V98+$AB148*(V73-V98)</f>
        <v>0.169565</v>
      </c>
      <c r="W148" s="45" t="n">
        <f aca="false">W98+$AB148*(W73-W98)</f>
        <v>0.169565</v>
      </c>
      <c r="X148" s="45" t="n">
        <f aca="false">X98+$AB148*(X73-X98)</f>
        <v>0.169565</v>
      </c>
      <c r="Y148" s="45" t="n">
        <f aca="false">Y98+$AB148*(Y73-Y98)</f>
        <v>0.169565</v>
      </c>
      <c r="Z148" s="45" t="n">
        <f aca="false">Z98+$AB148*(Z73-Z98)</f>
        <v>0</v>
      </c>
      <c r="AB148" s="43" t="n">
        <f aca="false">MAX(p_ccf_bl,INDEX(BDC!$U$6:$U$39,$B23)*p_ccf_dg)</f>
        <v>1</v>
      </c>
    </row>
    <row r="149" customFormat="false" ht="15" hidden="false" customHeight="true" outlineLevel="0" collapsed="false">
      <c r="A149" s="10" t="s">
        <v>655</v>
      </c>
      <c r="C149" s="45" t="n">
        <f aca="false">C99+$AB149*(C74-C99)</f>
        <v>0.061053</v>
      </c>
      <c r="D149" s="45" t="n">
        <f aca="false">D99+$AB149*(D74-D99)</f>
        <v>0.061053</v>
      </c>
      <c r="E149" s="45" t="n">
        <f aca="false">E99+$AB149*(E74-E99)</f>
        <v>0.061053</v>
      </c>
      <c r="F149" s="45" t="n">
        <f aca="false">F99+$AB149*(F74-F99)</f>
        <v>0.061053</v>
      </c>
      <c r="G149" s="45" t="n">
        <f aca="false">G99+$AB149*(G74-G99)</f>
        <v>0.061053</v>
      </c>
      <c r="H149" s="45" t="n">
        <f aca="false">H99+$AB149*(H74-H99)</f>
        <v>0.061053</v>
      </c>
      <c r="I149" s="45" t="n">
        <f aca="false">I99+$AB149*(I74-I99)</f>
        <v>0</v>
      </c>
      <c r="J149" s="45" t="n">
        <f aca="false">J99+$AB149*(J74-J99)</f>
        <v>0</v>
      </c>
      <c r="K149" s="45" t="n">
        <f aca="false">K99+$AB149*(K74-K99)</f>
        <v>0</v>
      </c>
      <c r="L149" s="45" t="n">
        <f aca="false">L99+$AB149*(L74-L99)</f>
        <v>0.061053</v>
      </c>
      <c r="M149" s="45" t="n">
        <f aca="false">M99+$AB149*(M74-M99)</f>
        <v>0</v>
      </c>
      <c r="N149" s="45" t="n">
        <f aca="false">N99+$AB149*(N74-N99)</f>
        <v>0.061053</v>
      </c>
      <c r="O149" s="45" t="n">
        <f aca="false">O99+$AB149*(O74-O99)</f>
        <v>0</v>
      </c>
      <c r="P149" s="45" t="n">
        <f aca="false">P99+$AB149*(P74-P99)</f>
        <v>0.061053</v>
      </c>
      <c r="Q149" s="45" t="n">
        <f aca="false">Q99+$AB149*(Q74-Q99)</f>
        <v>0</v>
      </c>
      <c r="R149" s="45" t="n">
        <f aca="false">R99+$AB149*(R74-R99)</f>
        <v>0.061053</v>
      </c>
      <c r="S149" s="45" t="n">
        <f aca="false">S99+$AB149*(S74-S99)</f>
        <v>0.061053</v>
      </c>
      <c r="T149" s="45" t="n">
        <f aca="false">T99+$AB149*(T74-T99)</f>
        <v>0</v>
      </c>
      <c r="U149" s="45" t="n">
        <f aca="false">U99+$AB149*(U74-U99)</f>
        <v>0</v>
      </c>
      <c r="V149" s="45" t="n">
        <f aca="false">V99+$AB149*(V74-V99)</f>
        <v>0.061053</v>
      </c>
      <c r="W149" s="45" t="n">
        <f aca="false">W99+$AB149*(W74-W99)</f>
        <v>0.061053</v>
      </c>
      <c r="X149" s="45" t="n">
        <f aca="false">X99+$AB149*(X74-X99)</f>
        <v>0</v>
      </c>
      <c r="Y149" s="45" t="n">
        <f aca="false">Y99+$AB149*(Y74-Y99)</f>
        <v>0.122106</v>
      </c>
      <c r="Z149" s="45" t="n">
        <f aca="false">Z99+$AB149*(Z74-Z99)</f>
        <v>0</v>
      </c>
      <c r="AB149" s="43" t="n">
        <f aca="false">MAX(p_ccf_bl,INDEX(BDC!$U$6:$U$39,$B24)*p_ccf_dg)</f>
        <v>1</v>
      </c>
    </row>
    <row r="150" customFormat="false" ht="15" hidden="false" customHeight="true" outlineLevel="0" collapsed="false">
      <c r="A150" s="10" t="s">
        <v>645</v>
      </c>
      <c r="C150" s="45" t="n">
        <f aca="false">C100+$AB150*(C75-C100)</f>
        <v>0.1</v>
      </c>
      <c r="D150" s="45" t="n">
        <f aca="false">D100+$AB150*(D75-D100)</f>
        <v>0</v>
      </c>
      <c r="E150" s="45" t="n">
        <f aca="false">E100+$AB150*(E75-E100)</f>
        <v>0</v>
      </c>
      <c r="F150" s="45" t="n">
        <f aca="false">F100+$AB150*(F75-F100)</f>
        <v>0</v>
      </c>
      <c r="G150" s="45" t="n">
        <f aca="false">G100+$AB150*(G75-G100)</f>
        <v>0</v>
      </c>
      <c r="H150" s="45" t="n">
        <f aca="false">H100+$AB150*(H75-H100)</f>
        <v>0.025</v>
      </c>
      <c r="I150" s="45" t="n">
        <f aca="false">I100+$AB150*(I75-I100)</f>
        <v>0.15</v>
      </c>
      <c r="J150" s="45" t="n">
        <f aca="false">J100+$AB150*(J75-J100)</f>
        <v>0.075</v>
      </c>
      <c r="K150" s="45" t="n">
        <f aca="false">K100+$AB150*(K75-K100)</f>
        <v>0</v>
      </c>
      <c r="L150" s="45" t="n">
        <f aca="false">L100+$AB150*(L75-L100)</f>
        <v>0</v>
      </c>
      <c r="M150" s="45" t="n">
        <f aca="false">M100+$AB150*(M75-M100)</f>
        <v>0</v>
      </c>
      <c r="N150" s="45" t="n">
        <f aca="false">N100+$AB150*(N75-N100)</f>
        <v>0</v>
      </c>
      <c r="O150" s="45" t="n">
        <f aca="false">O100+$AB150*(O75-O100)</f>
        <v>0</v>
      </c>
      <c r="P150" s="45" t="n">
        <f aca="false">P100+$AB150*(P75-P100)</f>
        <v>0.025</v>
      </c>
      <c r="Q150" s="45" t="n">
        <f aca="false">Q100+$AB150*(Q75-Q100)</f>
        <v>0</v>
      </c>
      <c r="R150" s="45" t="n">
        <f aca="false">R100+$AB150*(R75-R100)</f>
        <v>0</v>
      </c>
      <c r="S150" s="45" t="n">
        <f aca="false">S100+$AB150*(S75-S100)</f>
        <v>0.05</v>
      </c>
      <c r="T150" s="45" t="n">
        <f aca="false">T100+$AB150*(T75-T100)</f>
        <v>0</v>
      </c>
      <c r="U150" s="45" t="n">
        <f aca="false">U100+$AB150*(U75-U100)</f>
        <v>0</v>
      </c>
      <c r="V150" s="45" t="n">
        <f aca="false">V100+$AB150*(V75-V100)</f>
        <v>0</v>
      </c>
      <c r="W150" s="45" t="n">
        <f aca="false">W100+$AB150*(W75-W100)</f>
        <v>0</v>
      </c>
      <c r="X150" s="45" t="n">
        <f aca="false">X100+$AB150*(X75-X100)</f>
        <v>0</v>
      </c>
      <c r="Y150" s="45" t="n">
        <f aca="false">Y100+$AB150*(Y75-Y100)</f>
        <v>0.05</v>
      </c>
      <c r="Z150" s="45" t="n">
        <f aca="false">Z100+$AB150*(Z75-Z100)</f>
        <v>0</v>
      </c>
      <c r="AB150" s="43" t="n">
        <f aca="false">MAX(p_ccf_bl,INDEX(BDC!$U$6:$U$39,$B25)*p_ccf_dg)</f>
        <v>1</v>
      </c>
    </row>
    <row r="151" customFormat="false" ht="15" hidden="false" customHeight="true" outlineLevel="0" collapsed="false">
      <c r="A151" s="10" t="s">
        <v>639</v>
      </c>
      <c r="C151" s="45" t="n">
        <f aca="false">C101+$AB151*(C76-C101)</f>
        <v>0.191071</v>
      </c>
      <c r="D151" s="45" t="n">
        <f aca="false">D101+$AB151*(D76-D101)</f>
        <v>0.191071</v>
      </c>
      <c r="E151" s="45" t="n">
        <f aca="false">E101+$AB151*(E76-E101)</f>
        <v>0</v>
      </c>
      <c r="F151" s="45" t="n">
        <f aca="false">F101+$AB151*(F76-F101)</f>
        <v>0</v>
      </c>
      <c r="G151" s="45" t="n">
        <f aca="false">G101+$AB151*(G76-G101)</f>
        <v>0.191071</v>
      </c>
      <c r="H151" s="45" t="n">
        <f aca="false">H101+$AB151*(H76-H101)</f>
        <v>0</v>
      </c>
      <c r="I151" s="45" t="n">
        <f aca="false">I101+$AB151*(I76-I101)</f>
        <v>0</v>
      </c>
      <c r="J151" s="45" t="n">
        <f aca="false">J101+$AB151*(J76-J101)</f>
        <v>0</v>
      </c>
      <c r="K151" s="45" t="n">
        <f aca="false">K101+$AB151*(K76-K101)</f>
        <v>0.191071</v>
      </c>
      <c r="L151" s="45" t="n">
        <f aca="false">L101+$AB151*(L76-L101)</f>
        <v>0.191071</v>
      </c>
      <c r="M151" s="45" t="n">
        <f aca="false">M101+$AB151*(M76-M101)</f>
        <v>0</v>
      </c>
      <c r="N151" s="45" t="n">
        <f aca="false">N101+$AB151*(N76-N101)</f>
        <v>0</v>
      </c>
      <c r="O151" s="45" t="n">
        <f aca="false">O101+$AB151*(O76-O101)</f>
        <v>0</v>
      </c>
      <c r="P151" s="45" t="n">
        <f aca="false">P101+$AB151*(P76-P101)</f>
        <v>0</v>
      </c>
      <c r="Q151" s="45" t="n">
        <f aca="false">Q101+$AB151*(Q76-Q101)</f>
        <v>0</v>
      </c>
      <c r="R151" s="45" t="n">
        <f aca="false">R101+$AB151*(R76-R101)</f>
        <v>0</v>
      </c>
      <c r="S151" s="45" t="n">
        <f aca="false">S101+$AB151*(S76-S101)</f>
        <v>0</v>
      </c>
      <c r="T151" s="45" t="n">
        <f aca="false">T101+$AB151*(T76-T101)</f>
        <v>0.191071</v>
      </c>
      <c r="U151" s="45" t="n">
        <f aca="false">U101+$AB151*(U76-U101)</f>
        <v>0</v>
      </c>
      <c r="V151" s="45" t="n">
        <f aca="false">V101+$AB151*(V76-V101)</f>
        <v>0.191071</v>
      </c>
      <c r="W151" s="45" t="n">
        <f aca="false">W101+$AB151*(W76-W101)</f>
        <v>0.191071</v>
      </c>
      <c r="X151" s="45" t="n">
        <f aca="false">X101+$AB151*(X76-X101)</f>
        <v>0.191071</v>
      </c>
      <c r="Y151" s="45" t="n">
        <f aca="false">Y101+$AB151*(Y76-Y101)</f>
        <v>0.191071</v>
      </c>
      <c r="Z151" s="45" t="n">
        <f aca="false">Z101+$AB151*(Z76-Z101)</f>
        <v>0</v>
      </c>
      <c r="AB151" s="43" t="n">
        <f aca="false">MAX(p_ccf_bl,INDEX(BDC!$U$6:$U$39,$B26)*p_ccf_dg)</f>
        <v>1</v>
      </c>
    </row>
    <row r="152" customFormat="false" ht="15" hidden="false" customHeight="true" outlineLevel="0" collapsed="false">
      <c r="A152" s="10" t="s">
        <v>653</v>
      </c>
      <c r="C152" s="45" t="n">
        <f aca="false">C102+$AB152*(C77-C102)</f>
        <v>0.080263</v>
      </c>
      <c r="D152" s="45" t="n">
        <f aca="false">D102+$AB152*(D77-D102)</f>
        <v>0.080263</v>
      </c>
      <c r="E152" s="45" t="n">
        <f aca="false">E102+$AB152*(E77-E102)</f>
        <v>0.080263</v>
      </c>
      <c r="F152" s="45" t="n">
        <f aca="false">F102+$AB152*(F77-F102)</f>
        <v>0.080263</v>
      </c>
      <c r="G152" s="45" t="n">
        <f aca="false">G102+$AB152*(G77-G102)</f>
        <v>0.080263</v>
      </c>
      <c r="H152" s="45" t="n">
        <f aca="false">H102+$AB152*(H77-H102)</f>
        <v>0.080263</v>
      </c>
      <c r="I152" s="45" t="n">
        <f aca="false">I102+$AB152*(I77-I102)</f>
        <v>0</v>
      </c>
      <c r="J152" s="45" t="n">
        <f aca="false">J102+$AB152*(J77-J102)</f>
        <v>0</v>
      </c>
      <c r="K152" s="45" t="n">
        <f aca="false">K102+$AB152*(K77-K102)</f>
        <v>0.080263</v>
      </c>
      <c r="L152" s="45" t="n">
        <f aca="false">L102+$AB152*(L77-L102)</f>
        <v>0.080263</v>
      </c>
      <c r="M152" s="45" t="n">
        <f aca="false">M102+$AB152*(M77-M102)</f>
        <v>0</v>
      </c>
      <c r="N152" s="45" t="n">
        <f aca="false">N102+$AB152*(N77-N102)</f>
        <v>0.080263</v>
      </c>
      <c r="O152" s="45" t="n">
        <f aca="false">O102+$AB152*(O77-O102)</f>
        <v>0.080263</v>
      </c>
      <c r="P152" s="45" t="n">
        <f aca="false">P102+$AB152*(P77-P102)</f>
        <v>0</v>
      </c>
      <c r="Q152" s="45" t="n">
        <f aca="false">Q102+$AB152*(Q77-Q102)</f>
        <v>0.080263</v>
      </c>
      <c r="R152" s="45" t="n">
        <f aca="false">R102+$AB152*(R77-R102)</f>
        <v>0</v>
      </c>
      <c r="S152" s="45" t="n">
        <f aca="false">S102+$AB152*(S77-S102)</f>
        <v>0</v>
      </c>
      <c r="T152" s="45" t="n">
        <f aca="false">T102+$AB152*(T77-T102)</f>
        <v>0</v>
      </c>
      <c r="U152" s="45" t="n">
        <f aca="false">U102+$AB152*(U77-U102)</f>
        <v>0</v>
      </c>
      <c r="V152" s="45" t="n">
        <f aca="false">V102+$AB152*(V77-V102)</f>
        <v>0.080263</v>
      </c>
      <c r="W152" s="45" t="n">
        <f aca="false">W102+$AB152*(W77-W102)</f>
        <v>0.080263</v>
      </c>
      <c r="X152" s="45" t="n">
        <f aca="false">X102+$AB152*(X77-X102)</f>
        <v>0.080263</v>
      </c>
      <c r="Y152" s="45" t="n">
        <f aca="false">Y102+$AB152*(Y77-Y102)</f>
        <v>0.080263</v>
      </c>
      <c r="Z152" s="45" t="n">
        <f aca="false">Z102+$AB152*(Z77-Z102)</f>
        <v>0</v>
      </c>
      <c r="AB152" s="43" t="n">
        <f aca="false">MAX(p_ccf_bl,INDEX(BDC!$U$6:$U$39,$B27)*p_ccf_dg)</f>
        <v>1</v>
      </c>
    </row>
    <row r="154" customFormat="false" ht="15" hidden="false" customHeight="true" outlineLevel="0" collapsed="false">
      <c r="A154" s="7" t="s">
        <v>682</v>
      </c>
      <c r="C154" s="45" t="n">
        <f aca="false">SUM(C106:C127)-SUM(C31:C52)+SUM(C131:C152)-SUM(C81:C102)</f>
        <v>2.2342052</v>
      </c>
      <c r="D154" s="45" t="n">
        <f aca="false">SUM(D106:D127)-SUM(D31:D52)+SUM(D131:D152)-SUM(D81:D102)</f>
        <v>4.806813</v>
      </c>
      <c r="E154" s="45" t="n">
        <f aca="false">SUM(E106:E127)-SUM(E31:E52)+SUM(E131:E152)-SUM(E81:E102)</f>
        <v>2.7687279</v>
      </c>
      <c r="F154" s="45" t="n">
        <f aca="false">SUM(F106:F127)-SUM(F31:F52)+SUM(F131:F152)-SUM(F81:F102)</f>
        <v>4.6608101</v>
      </c>
      <c r="G154" s="45" t="n">
        <f aca="false">SUM(G106:G127)-SUM(G31:G52)+SUM(G131:G152)-SUM(G81:G102)</f>
        <v>1.653726</v>
      </c>
      <c r="H154" s="45" t="n">
        <f aca="false">SUM(H106:H127)-SUM(H31:H52)+SUM(H131:H152)-SUM(H81:H102)</f>
        <v>2.9527958</v>
      </c>
      <c r="I154" s="45" t="n">
        <f aca="false">SUM(I106:I127)-SUM(I31:I52)+SUM(I131:I152)-SUM(I81:I102)</f>
        <v>0.404874</v>
      </c>
      <c r="J154" s="45" t="n">
        <f aca="false">SUM(J106:J127)-SUM(J31:J52)+SUM(J131:J152)-SUM(J81:J102)</f>
        <v>1.115604</v>
      </c>
      <c r="K154" s="45" t="n">
        <f aca="false">SUM(K106:K127)-SUM(K31:K52)+SUM(K131:K152)-SUM(K81:K102)</f>
        <v>1.739417</v>
      </c>
      <c r="L154" s="45" t="n">
        <f aca="false">SUM(L106:L127)-SUM(L31:L52)+SUM(L131:L152)-SUM(L81:L102)</f>
        <v>1.406398</v>
      </c>
      <c r="M154" s="45" t="n">
        <f aca="false">SUM(M106:M127)-SUM(M31:M52)+SUM(M131:M152)-SUM(M81:M102)</f>
        <v>0.5174497</v>
      </c>
      <c r="N154" s="45" t="n">
        <f aca="false">SUM(N106:N127)-SUM(N31:N52)+SUM(N131:N152)-SUM(N81:N102)</f>
        <v>0.2565403</v>
      </c>
      <c r="O154" s="45" t="n">
        <f aca="false">SUM(O106:O127)-SUM(O31:O52)+SUM(O131:O152)-SUM(O81:O102)</f>
        <v>0.4304045</v>
      </c>
      <c r="P154" s="45" t="n">
        <f aca="false">SUM(P106:P127)-SUM(P31:P52)+SUM(P131:P152)-SUM(P81:P102)</f>
        <v>1.109911</v>
      </c>
      <c r="Q154" s="45" t="n">
        <f aca="false">SUM(Q106:Q127)-SUM(Q31:Q52)+SUM(Q131:Q152)-SUM(Q81:Q102)</f>
        <v>1.270229</v>
      </c>
      <c r="R154" s="45" t="n">
        <f aca="false">SUM(R106:R127)-SUM(R31:R52)+SUM(R131:R152)-SUM(R81:R102)</f>
        <v>2.5343545</v>
      </c>
      <c r="S154" s="45" t="n">
        <f aca="false">SUM(S106:S127)-SUM(S31:S52)+SUM(S131:S152)-SUM(S81:S102)</f>
        <v>5.3847241</v>
      </c>
      <c r="T154" s="45" t="n">
        <f aca="false">SUM(T106:T127)-SUM(T31:T52)+SUM(T131:T152)-SUM(T81:T102)</f>
        <v>3.506521</v>
      </c>
      <c r="U154" s="45" t="n">
        <f aca="false">SUM(U106:U127)-SUM(U31:U52)+SUM(U131:U152)-SUM(U81:U102)</f>
        <v>0.105916</v>
      </c>
      <c r="V154" s="45" t="n">
        <f aca="false">SUM(V106:V127)-SUM(V31:V52)+SUM(V131:V152)-SUM(V81:V102)</f>
        <v>3.2370096</v>
      </c>
      <c r="W154" s="45" t="n">
        <f aca="false">SUM(W106:W127)-SUM(W31:W52)+SUM(W131:W152)-SUM(W81:W102)</f>
        <v>3.009773</v>
      </c>
      <c r="X154" s="45" t="n">
        <f aca="false">SUM(X106:X127)-SUM(X31:X52)+SUM(X131:X152)-SUM(X81:X102)</f>
        <v>1.058773</v>
      </c>
      <c r="Y154" s="45" t="n">
        <f aca="false">SUM(Y106:Y127)-SUM(Y31:Y52)+SUM(Y131:Y152)-SUM(Y81:Y102)</f>
        <v>2.6692462</v>
      </c>
      <c r="Z154" s="45" t="n">
        <f aca="false">SUM(Z106:Z127)-SUM(Z31:Z52)+SUM(Z131:Z152)-SUM(Z81:Z102)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3" min="3" style="1" width="10"/>
    <col collapsed="false" customWidth="true" hidden="false" outlineLevel="0" max="44" min="44" style="1" width="40"/>
    <col collapsed="false" customWidth="true" hidden="false" outlineLevel="0" max="45" min="45" style="1" width="60"/>
  </cols>
  <sheetData>
    <row r="1" customFormat="false" ht="17.25" hidden="false" customHeight="true" outlineLevel="0" collapsed="false">
      <c r="A1" s="5" t="s">
        <v>683</v>
      </c>
    </row>
    <row r="2" customFormat="false" ht="15" hidden="false" customHeight="true" outlineLevel="0" collapsed="false">
      <c r="A2" s="6" t="s">
        <v>684</v>
      </c>
    </row>
    <row r="5" customFormat="false" ht="42" hidden="false" customHeight="true" outlineLevel="0" collapsed="false">
      <c r="A5" s="21" t="s">
        <v>685</v>
      </c>
      <c r="B5" s="21" t="s">
        <v>686</v>
      </c>
      <c r="C5" s="21" t="s">
        <v>687</v>
      </c>
      <c r="D5" s="21" t="s">
        <v>688</v>
      </c>
      <c r="E5" s="21" t="s">
        <v>689</v>
      </c>
      <c r="F5" s="21" t="s">
        <v>690</v>
      </c>
      <c r="G5" s="21" t="s">
        <v>691</v>
      </c>
      <c r="H5" s="21" t="s">
        <v>692</v>
      </c>
      <c r="I5" s="21" t="s">
        <v>693</v>
      </c>
      <c r="J5" s="21" t="s">
        <v>694</v>
      </c>
      <c r="K5" s="21" t="s">
        <v>695</v>
      </c>
      <c r="L5" s="21" t="s">
        <v>696</v>
      </c>
      <c r="M5" s="21" t="s">
        <v>697</v>
      </c>
      <c r="N5" s="21" t="s">
        <v>698</v>
      </c>
      <c r="O5" s="21" t="s">
        <v>699</v>
      </c>
      <c r="P5" s="21" t="s">
        <v>700</v>
      </c>
      <c r="Q5" s="21" t="s">
        <v>701</v>
      </c>
      <c r="R5" s="21" t="s">
        <v>702</v>
      </c>
      <c r="S5" s="21" t="s">
        <v>703</v>
      </c>
      <c r="T5" s="21" t="s">
        <v>496</v>
      </c>
      <c r="U5" s="21" t="s">
        <v>499</v>
      </c>
      <c r="V5" s="21" t="s">
        <v>501</v>
      </c>
      <c r="W5" s="21" t="s">
        <v>503</v>
      </c>
      <c r="X5" s="21" t="s">
        <v>505</v>
      </c>
      <c r="Y5" s="21" t="s">
        <v>507</v>
      </c>
      <c r="Z5" s="21" t="s">
        <v>509</v>
      </c>
      <c r="AA5" s="21" t="s">
        <v>510</v>
      </c>
      <c r="AB5" s="21" t="s">
        <v>512</v>
      </c>
      <c r="AC5" s="21" t="s">
        <v>514</v>
      </c>
      <c r="AD5" s="21" t="s">
        <v>516</v>
      </c>
      <c r="AE5" s="21" t="s">
        <v>518</v>
      </c>
      <c r="AF5" s="21" t="s">
        <v>520</v>
      </c>
      <c r="AG5" s="21" t="s">
        <v>522</v>
      </c>
      <c r="AH5" s="21" t="s">
        <v>525</v>
      </c>
      <c r="AI5" s="21" t="s">
        <v>527</v>
      </c>
      <c r="AJ5" s="21" t="s">
        <v>530</v>
      </c>
      <c r="AK5" s="21" t="s">
        <v>532</v>
      </c>
      <c r="AL5" s="21" t="s">
        <v>534</v>
      </c>
      <c r="AM5" s="21" t="s">
        <v>535</v>
      </c>
      <c r="AN5" s="21" t="s">
        <v>537</v>
      </c>
      <c r="AO5" s="21" t="s">
        <v>538</v>
      </c>
      <c r="AP5" s="21" t="s">
        <v>540</v>
      </c>
      <c r="AQ5" s="21" t="s">
        <v>543</v>
      </c>
      <c r="AR5" s="21" t="s">
        <v>704</v>
      </c>
      <c r="AS5" s="21" t="s">
        <v>705</v>
      </c>
    </row>
    <row r="6" customFormat="false" ht="15" hidden="false" customHeight="true" outlineLevel="0" collapsed="false">
      <c r="A6" s="10" t="n">
        <v>0</v>
      </c>
      <c r="B6" s="10" t="s">
        <v>706</v>
      </c>
      <c r="C6" s="31" t="s">
        <v>707</v>
      </c>
      <c r="D6" s="31"/>
      <c r="E6" s="39" t="n">
        <f aca="false">IF(C6="NONE",0,IFERROR(INDEX(rng_lessee_pd,MATCH(D6,rng_lessee_key,0)),g_pd_unrated))</f>
        <v>0</v>
      </c>
      <c r="F6" s="39" t="n">
        <f aca="false">IF(E6&lt;=0,0,NORMSDIST((NORMSINV(E6)-SQRT(g_rho_ai)*p_z_ai)/SQRT(1-g_rho_ai)))</f>
        <v>0</v>
      </c>
      <c r="G6" s="37" t="n">
        <v>0</v>
      </c>
      <c r="H6" s="37" t="n">
        <v>0</v>
      </c>
      <c r="I6" s="37" t="n">
        <v>0</v>
      </c>
      <c r="J6" s="37" t="n">
        <v>0</v>
      </c>
      <c r="K6" s="28" t="n">
        <v>0</v>
      </c>
      <c r="L6" s="37" t="n">
        <v>0</v>
      </c>
      <c r="M6" s="32" t="n">
        <v>0</v>
      </c>
      <c r="N6" s="43" t="n">
        <f aca="false">G6*(1-H6)</f>
        <v>0</v>
      </c>
      <c r="O6" s="43" t="n">
        <f aca="false">(1-p_gpu_r)^g_t_def</f>
        <v>0.2809</v>
      </c>
      <c r="P6" s="43" t="n">
        <f aca="false">IF(N6&gt;0,MAX(0,1-(1-g_c_gpu)*O6/N6)*(1-I6),0)</f>
        <v>0</v>
      </c>
      <c r="Q6" s="43" t="n">
        <f aca="false">IF(C6="GPU",F6*P6+K6*p_uw_drop,IF(C6="RCF",p_ccf_ai*F6*J6,IF(C6="DC",F6*J6+K6*p_uw_drop+M6/100,IF(C6="UNSEC",F6*J6,IF(C6="MARGIN",F6*MAX(0,G6-(1-p_oai_drop)*(1-g_c_gpu))/G6,IF(C6="ANTH",F6*(L6*0.1+(1-L6)*0.7)+p_uw_drop,0))))))</f>
        <v>0</v>
      </c>
      <c r="R6" s="44" t="n">
        <f aca="false">IF(C6="RCF",1,0)</f>
        <v>0</v>
      </c>
      <c r="S6" s="32" t="n">
        <v>2.3</v>
      </c>
      <c r="T6" s="40" t="n">
        <v>0</v>
      </c>
      <c r="U6" s="40" t="n">
        <v>0</v>
      </c>
      <c r="V6" s="40" t="n">
        <v>0</v>
      </c>
      <c r="W6" s="40" t="n">
        <v>0</v>
      </c>
      <c r="X6" s="40" t="n">
        <v>0</v>
      </c>
      <c r="Y6" s="40" t="n">
        <v>0</v>
      </c>
      <c r="Z6" s="40" t="n">
        <v>0</v>
      </c>
      <c r="AA6" s="40" t="n">
        <v>0</v>
      </c>
      <c r="AB6" s="40" t="n">
        <v>0</v>
      </c>
      <c r="AC6" s="40" t="n">
        <v>0</v>
      </c>
      <c r="AD6" s="40" t="n">
        <v>0</v>
      </c>
      <c r="AE6" s="40" t="n">
        <v>0</v>
      </c>
      <c r="AF6" s="40" t="n">
        <v>0</v>
      </c>
      <c r="AG6" s="40" t="n">
        <v>0</v>
      </c>
      <c r="AH6" s="40" t="n">
        <v>0</v>
      </c>
      <c r="AI6" s="40" t="n">
        <v>0</v>
      </c>
      <c r="AJ6" s="40" t="n">
        <v>0</v>
      </c>
      <c r="AK6" s="40" t="n">
        <v>0</v>
      </c>
      <c r="AL6" s="40" t="n">
        <v>0</v>
      </c>
      <c r="AM6" s="40" t="n">
        <v>0</v>
      </c>
      <c r="AN6" s="40" t="n">
        <v>0</v>
      </c>
      <c r="AO6" s="40" t="n">
        <v>0</v>
      </c>
      <c r="AP6" s="40" t="n">
        <v>0</v>
      </c>
      <c r="AQ6" s="40" t="n">
        <v>0</v>
      </c>
      <c r="AR6" s="6" t="s">
        <v>708</v>
      </c>
      <c r="AS6" s="6" t="s">
        <v>709</v>
      </c>
    </row>
    <row r="7" customFormat="false" ht="15" hidden="false" customHeight="true" outlineLevel="0" collapsed="false">
      <c r="A7" s="10" t="n">
        <v>1</v>
      </c>
      <c r="B7" s="10" t="s">
        <v>710</v>
      </c>
      <c r="C7" s="31" t="s">
        <v>707</v>
      </c>
      <c r="D7" s="31"/>
      <c r="E7" s="39" t="n">
        <f aca="false">IF(C7="NONE",0,IFERROR(INDEX(rng_lessee_pd,MATCH(D7,rng_lessee_key,0)),g_pd_unrated))</f>
        <v>0</v>
      </c>
      <c r="F7" s="39" t="n">
        <f aca="false">IF(E7&lt;=0,0,NORMSDIST((NORMSINV(E7)-SQRT(g_rho_ai)*p_z_ai)/SQRT(1-g_rho_ai)))</f>
        <v>0</v>
      </c>
      <c r="G7" s="37" t="n">
        <v>0</v>
      </c>
      <c r="H7" s="37" t="n">
        <v>0</v>
      </c>
      <c r="I7" s="37" t="n">
        <v>0</v>
      </c>
      <c r="J7" s="37" t="n">
        <v>0</v>
      </c>
      <c r="K7" s="28" t="n">
        <v>0</v>
      </c>
      <c r="L7" s="37" t="n">
        <v>0</v>
      </c>
      <c r="M7" s="32" t="n">
        <v>0</v>
      </c>
      <c r="N7" s="43" t="n">
        <f aca="false">G7*(1-H7)</f>
        <v>0</v>
      </c>
      <c r="O7" s="43" t="n">
        <f aca="false">(1-p_gpu_r)^g_t_def</f>
        <v>0.2809</v>
      </c>
      <c r="P7" s="43" t="n">
        <f aca="false">IF(N7&gt;0,MAX(0,1-(1-g_c_gpu)*O7/N7)*(1-I7),0)</f>
        <v>0</v>
      </c>
      <c r="Q7" s="43" t="n">
        <f aca="false">IF(C7="GPU",F7*P7+K7*p_uw_drop,IF(C7="RCF",p_ccf_ai*F7*J7,IF(C7="DC",F7*J7+K7*p_uw_drop+M7/100,IF(C7="UNSEC",F7*J7,IF(C7="MARGIN",F7*MAX(0,G7-(1-p_oai_drop)*(1-g_c_gpu))/G7,IF(C7="ANTH",F7*(L7*0.1+(1-L7)*0.7)+p_uw_drop,0))))))</f>
        <v>0</v>
      </c>
      <c r="R7" s="44" t="n">
        <f aca="false">IF(C7="RCF",1,0)</f>
        <v>0</v>
      </c>
      <c r="S7" s="32" t="n">
        <v>7.6</v>
      </c>
      <c r="T7" s="40" t="n">
        <v>0</v>
      </c>
      <c r="U7" s="40" t="n">
        <v>0</v>
      </c>
      <c r="V7" s="40" t="n">
        <v>0</v>
      </c>
      <c r="W7" s="40" t="n">
        <v>0</v>
      </c>
      <c r="X7" s="40" t="n">
        <v>0</v>
      </c>
      <c r="Y7" s="40" t="n">
        <v>0</v>
      </c>
      <c r="Z7" s="40" t="n">
        <v>0</v>
      </c>
      <c r="AA7" s="40" t="n">
        <v>0</v>
      </c>
      <c r="AB7" s="40" t="n">
        <v>0</v>
      </c>
      <c r="AC7" s="40" t="n">
        <v>0</v>
      </c>
      <c r="AD7" s="40" t="n">
        <v>0</v>
      </c>
      <c r="AE7" s="40" t="n">
        <v>0</v>
      </c>
      <c r="AF7" s="40" t="n">
        <v>0</v>
      </c>
      <c r="AG7" s="40" t="n">
        <v>0</v>
      </c>
      <c r="AH7" s="40" t="n">
        <v>0</v>
      </c>
      <c r="AI7" s="40" t="n">
        <v>0</v>
      </c>
      <c r="AJ7" s="40" t="n">
        <v>0</v>
      </c>
      <c r="AK7" s="40" t="n">
        <v>0</v>
      </c>
      <c r="AL7" s="40" t="n">
        <v>0</v>
      </c>
      <c r="AM7" s="40" t="n">
        <v>0</v>
      </c>
      <c r="AN7" s="40" t="n">
        <v>0</v>
      </c>
      <c r="AO7" s="40" t="n">
        <v>0</v>
      </c>
      <c r="AP7" s="40" t="n">
        <v>0</v>
      </c>
      <c r="AQ7" s="40" t="n">
        <v>0</v>
      </c>
      <c r="AR7" s="6" t="s">
        <v>708</v>
      </c>
      <c r="AS7" s="6" t="s">
        <v>709</v>
      </c>
    </row>
    <row r="8" customFormat="false" ht="15" hidden="false" customHeight="true" outlineLevel="0" collapsed="false">
      <c r="A8" s="10" t="n">
        <v>2</v>
      </c>
      <c r="B8" s="10" t="s">
        <v>711</v>
      </c>
      <c r="C8" s="31" t="s">
        <v>707</v>
      </c>
      <c r="D8" s="31"/>
      <c r="E8" s="39" t="n">
        <f aca="false">IF(C8="NONE",0,IFERROR(INDEX(rng_lessee_pd,MATCH(D8,rng_lessee_key,0)),g_pd_unrated))</f>
        <v>0</v>
      </c>
      <c r="F8" s="39" t="n">
        <f aca="false">IF(E8&lt;=0,0,NORMSDIST((NORMSINV(E8)-SQRT(g_rho_ai)*p_z_ai)/SQRT(1-g_rho_ai)))</f>
        <v>0</v>
      </c>
      <c r="G8" s="37" t="n">
        <v>0</v>
      </c>
      <c r="H8" s="37" t="n">
        <v>0</v>
      </c>
      <c r="I8" s="37" t="n">
        <v>0</v>
      </c>
      <c r="J8" s="37" t="n">
        <v>0</v>
      </c>
      <c r="K8" s="28" t="n">
        <v>0</v>
      </c>
      <c r="L8" s="37" t="n">
        <v>0</v>
      </c>
      <c r="M8" s="32" t="n">
        <v>0</v>
      </c>
      <c r="N8" s="43" t="n">
        <f aca="false">G8*(1-H8)</f>
        <v>0</v>
      </c>
      <c r="O8" s="43" t="n">
        <f aca="false">(1-p_gpu_r)^g_t_def</f>
        <v>0.2809</v>
      </c>
      <c r="P8" s="43" t="n">
        <f aca="false">IF(N8&gt;0,MAX(0,1-(1-g_c_gpu)*O8/N8)*(1-I8),0)</f>
        <v>0</v>
      </c>
      <c r="Q8" s="43" t="n">
        <f aca="false">IF(C8="GPU",F8*P8+K8*p_uw_drop,IF(C8="RCF",p_ccf_ai*F8*J8,IF(C8="DC",F8*J8+K8*p_uw_drop+M8/100,IF(C8="UNSEC",F8*J8,IF(C8="MARGIN",F8*MAX(0,G8-(1-p_oai_drop)*(1-g_c_gpu))/G8,IF(C8="ANTH",F8*(L8*0.1+(1-L8)*0.7)+p_uw_drop,0))))))</f>
        <v>0</v>
      </c>
      <c r="R8" s="44" t="n">
        <f aca="false">IF(C8="RCF",1,0)</f>
        <v>0</v>
      </c>
      <c r="S8" s="32" t="n">
        <v>3</v>
      </c>
      <c r="T8" s="40" t="n">
        <v>0</v>
      </c>
      <c r="U8" s="40" t="n">
        <v>0</v>
      </c>
      <c r="V8" s="40" t="n">
        <v>0</v>
      </c>
      <c r="W8" s="40" t="n">
        <v>0</v>
      </c>
      <c r="X8" s="40" t="n">
        <v>0</v>
      </c>
      <c r="Y8" s="40" t="n">
        <v>0</v>
      </c>
      <c r="Z8" s="40" t="n">
        <v>0</v>
      </c>
      <c r="AA8" s="40" t="n">
        <v>0</v>
      </c>
      <c r="AB8" s="40" t="n">
        <v>0</v>
      </c>
      <c r="AC8" s="40" t="n">
        <v>0</v>
      </c>
      <c r="AD8" s="40" t="n">
        <v>0</v>
      </c>
      <c r="AE8" s="40" t="n">
        <v>0</v>
      </c>
      <c r="AF8" s="40" t="n">
        <v>0</v>
      </c>
      <c r="AG8" s="40" t="n">
        <v>0</v>
      </c>
      <c r="AH8" s="40" t="n">
        <v>0</v>
      </c>
      <c r="AI8" s="40" t="n">
        <v>0</v>
      </c>
      <c r="AJ8" s="40" t="n">
        <v>0</v>
      </c>
      <c r="AK8" s="40" t="n">
        <v>0</v>
      </c>
      <c r="AL8" s="40" t="n">
        <v>0</v>
      </c>
      <c r="AM8" s="40" t="n">
        <v>0</v>
      </c>
      <c r="AN8" s="40" t="n">
        <v>0</v>
      </c>
      <c r="AO8" s="40" t="n">
        <v>0</v>
      </c>
      <c r="AP8" s="40" t="n">
        <v>0</v>
      </c>
      <c r="AQ8" s="40" t="n">
        <v>0</v>
      </c>
      <c r="AR8" s="6" t="s">
        <v>708</v>
      </c>
      <c r="AS8" s="6" t="s">
        <v>709</v>
      </c>
    </row>
    <row r="9" customFormat="false" ht="15" hidden="false" customHeight="true" outlineLevel="0" collapsed="false">
      <c r="A9" s="10" t="n">
        <v>3</v>
      </c>
      <c r="B9" s="10" t="s">
        <v>712</v>
      </c>
      <c r="C9" s="31" t="s">
        <v>713</v>
      </c>
      <c r="D9" s="31" t="s">
        <v>714</v>
      </c>
      <c r="E9" s="39" t="n">
        <f aca="false">IF(C9="NONE",0,IFERROR(INDEX(rng_lessee_pd,MATCH(D9,rng_lessee_key,0)),g_pd_unrated))</f>
        <v>0.0805</v>
      </c>
      <c r="F9" s="39" t="n">
        <f aca="false">IF(E9&lt;=0,0,NORMSDIST((NORMSINV(E9)-SQRT(g_rho_ai)*p_z_ai)/SQRT(1-g_rho_ai)))</f>
        <v>0.484549968362634</v>
      </c>
      <c r="G9" s="38" t="n">
        <v>0.7</v>
      </c>
      <c r="H9" s="38" t="n">
        <v>0.4</v>
      </c>
      <c r="I9" s="37" t="n">
        <v>0</v>
      </c>
      <c r="J9" s="38" t="n">
        <v>0</v>
      </c>
      <c r="K9" s="28" t="n">
        <v>0</v>
      </c>
      <c r="L9" s="38" t="n">
        <v>0</v>
      </c>
      <c r="M9" s="32" t="n">
        <v>0</v>
      </c>
      <c r="N9" s="43" t="n">
        <f aca="false">G9*(1-H9)</f>
        <v>0.42</v>
      </c>
      <c r="O9" s="43" t="n">
        <f aca="false">(1-p_gpu_r)^g_t_def</f>
        <v>0.2809</v>
      </c>
      <c r="P9" s="43" t="n">
        <f aca="false">IF(N9&gt;0,MAX(0,1-(1-g_c_gpu)*O9/N9)*(1-I9),0)</f>
        <v>0.464952380952381</v>
      </c>
      <c r="Q9" s="43" t="n">
        <f aca="false">IF(C9="GPU",F9*P9+K9*p_uw_drop,IF(C9="RCF",p_ccf_ai*F9*J9,IF(C9="DC",F9*J9+K9*p_uw_drop+M9/100,IF(C9="UNSEC",F9*J9,IF(C9="MARGIN",F9*MAX(0,G9-(1-p_oai_drop)*(1-g_c_gpu))/G9,IF(C9="ANTH",F9*(L9*0.1+(1-L9)*0.7)+p_uw_drop,0))))))</f>
        <v>0.225292661480608</v>
      </c>
      <c r="R9" s="44" t="n">
        <f aca="false">IF(C9="RCF",1,0)</f>
        <v>0</v>
      </c>
      <c r="S9" s="32" t="n">
        <v>2.6</v>
      </c>
      <c r="T9" s="34" t="n">
        <v>0.177</v>
      </c>
      <c r="U9" s="40" t="n">
        <v>0</v>
      </c>
      <c r="V9" s="40" t="n">
        <v>0</v>
      </c>
      <c r="W9" s="34" t="n">
        <v>0.177</v>
      </c>
      <c r="X9" s="34" t="n">
        <v>0.266</v>
      </c>
      <c r="Y9" s="34" t="n">
        <v>0.354</v>
      </c>
      <c r="Z9" s="34" t="n">
        <v>0.177</v>
      </c>
      <c r="AA9" s="40" t="n">
        <v>0</v>
      </c>
      <c r="AB9" s="40" t="n">
        <v>0</v>
      </c>
      <c r="AC9" s="40" t="n">
        <v>0</v>
      </c>
      <c r="AD9" s="40" t="n">
        <v>0</v>
      </c>
      <c r="AE9" s="40" t="n">
        <v>0</v>
      </c>
      <c r="AF9" s="40" t="n">
        <v>0</v>
      </c>
      <c r="AG9" s="40" t="n">
        <v>0</v>
      </c>
      <c r="AH9" s="40" t="n">
        <v>0</v>
      </c>
      <c r="AI9" s="40" t="n">
        <v>0</v>
      </c>
      <c r="AJ9" s="40" t="n">
        <v>0</v>
      </c>
      <c r="AK9" s="34" t="n">
        <v>0.177</v>
      </c>
      <c r="AL9" s="40" t="n">
        <v>0</v>
      </c>
      <c r="AM9" s="34" t="n">
        <v>0.354</v>
      </c>
      <c r="AN9" s="34" t="n">
        <v>0.177</v>
      </c>
      <c r="AO9" s="40" t="n">
        <v>0</v>
      </c>
      <c r="AP9" s="40" t="n">
        <v>0</v>
      </c>
      <c r="AQ9" s="40" t="n">
        <v>0</v>
      </c>
      <c r="AR9" s="6" t="s">
        <v>715</v>
      </c>
      <c r="AS9" s="6" t="s">
        <v>716</v>
      </c>
    </row>
    <row r="10" customFormat="false" ht="15" hidden="false" customHeight="true" outlineLevel="0" collapsed="false">
      <c r="A10" s="10" t="n">
        <v>4</v>
      </c>
      <c r="B10" s="10" t="s">
        <v>717</v>
      </c>
      <c r="C10" s="31" t="s">
        <v>713</v>
      </c>
      <c r="D10" s="31" t="s">
        <v>718</v>
      </c>
      <c r="E10" s="39" t="n">
        <f aca="false">IF(C10="NONE",0,IFERROR(INDEX(rng_lessee_pd,MATCH(D10,rng_lessee_key,0)),g_pd_unrated))</f>
        <v>0.0015</v>
      </c>
      <c r="F10" s="39" t="n">
        <f aca="false">IF(E10&lt;=0,0,NORMSDIST((NORMSINV(E10)-SQRT(g_rho_ai)*p_z_ai)/SQRT(1-g_rho_ai)))</f>
        <v>0.028035005831655</v>
      </c>
      <c r="G10" s="38" t="n">
        <v>0.7</v>
      </c>
      <c r="H10" s="38" t="n">
        <v>0.28</v>
      </c>
      <c r="I10" s="37" t="n">
        <v>0</v>
      </c>
      <c r="J10" s="38" t="n">
        <v>0</v>
      </c>
      <c r="K10" s="28" t="n">
        <v>0</v>
      </c>
      <c r="L10" s="38" t="n">
        <v>0</v>
      </c>
      <c r="M10" s="32" t="n">
        <v>0</v>
      </c>
      <c r="N10" s="43" t="n">
        <f aca="false">G10*(1-H10)</f>
        <v>0.504</v>
      </c>
      <c r="O10" s="43" t="n">
        <f aca="false">(1-p_gpu_r)^g_t_def</f>
        <v>0.2809</v>
      </c>
      <c r="P10" s="43" t="n">
        <f aca="false">IF(N10&gt;0,MAX(0,1-(1-g_c_gpu)*O10/N10)*(1-I10),0)</f>
        <v>0.554126984126984</v>
      </c>
      <c r="Q10" s="43" t="n">
        <f aca="false">IF(C10="GPU",F10*P10+K10*p_uw_drop,IF(C10="RCF",p_ccf_ai*F10*J10,IF(C10="DC",F10*J10+K10*p_uw_drop+M10/100,IF(C10="UNSEC",F10*J10,IF(C10="MARGIN",F10*MAX(0,G10-(1-p_oai_drop)*(1-g_c_gpu))/G10,IF(C10="ANTH",F10*(L10*0.1+(1-L10)*0.7)+p_uw_drop,0))))))</f>
        <v>0.0155349532314774</v>
      </c>
      <c r="R10" s="44" t="n">
        <f aca="false">IF(C10="RCF",1,0)</f>
        <v>0</v>
      </c>
      <c r="S10" s="32" t="n">
        <v>8.5</v>
      </c>
      <c r="T10" s="40" t="n">
        <v>0</v>
      </c>
      <c r="U10" s="40" t="n">
        <v>0</v>
      </c>
      <c r="V10" s="40" t="n">
        <v>0</v>
      </c>
      <c r="W10" s="40" t="n">
        <v>0</v>
      </c>
      <c r="X10" s="40" t="n">
        <v>0</v>
      </c>
      <c r="Y10" s="34" t="n">
        <v>1.417</v>
      </c>
      <c r="Z10" s="40" t="n">
        <v>0</v>
      </c>
      <c r="AA10" s="34" t="n">
        <v>1.417</v>
      </c>
      <c r="AB10" s="40" t="n">
        <v>0</v>
      </c>
      <c r="AC10" s="40" t="n">
        <v>0</v>
      </c>
      <c r="AD10" s="40" t="n">
        <v>0</v>
      </c>
      <c r="AE10" s="40" t="n">
        <v>0</v>
      </c>
      <c r="AF10" s="40" t="n">
        <v>0</v>
      </c>
      <c r="AG10" s="40" t="n">
        <v>0</v>
      </c>
      <c r="AH10" s="40" t="n">
        <v>0</v>
      </c>
      <c r="AI10" s="40" t="n">
        <v>0</v>
      </c>
      <c r="AJ10" s="40" t="n">
        <v>0</v>
      </c>
      <c r="AK10" s="40" t="n">
        <v>0</v>
      </c>
      <c r="AL10" s="40" t="n">
        <v>0</v>
      </c>
      <c r="AM10" s="34" t="n">
        <v>1.417</v>
      </c>
      <c r="AN10" s="40" t="n">
        <v>0</v>
      </c>
      <c r="AO10" s="40" t="n">
        <v>0</v>
      </c>
      <c r="AP10" s="40" t="n">
        <v>0</v>
      </c>
      <c r="AQ10" s="40" t="n">
        <v>0</v>
      </c>
      <c r="AR10" s="6" t="s">
        <v>719</v>
      </c>
      <c r="AS10" s="6" t="s">
        <v>720</v>
      </c>
    </row>
    <row r="11" customFormat="false" ht="15" hidden="false" customHeight="true" outlineLevel="0" collapsed="false">
      <c r="A11" s="10" t="n">
        <v>5</v>
      </c>
      <c r="B11" s="10" t="s">
        <v>721</v>
      </c>
      <c r="C11" s="31" t="s">
        <v>713</v>
      </c>
      <c r="D11" s="31" t="s">
        <v>714</v>
      </c>
      <c r="E11" s="39" t="n">
        <f aca="false">IF(C11="NONE",0,IFERROR(INDEX(rng_lessee_pd,MATCH(D11,rng_lessee_key,0)),g_pd_unrated))</f>
        <v>0.0805</v>
      </c>
      <c r="F11" s="39" t="n">
        <f aca="false">IF(E11&lt;=0,0,NORMSDIST((NORMSINV(E11)-SQRT(g_rho_ai)*p_z_ai)/SQRT(1-g_rho_ai)))</f>
        <v>0.484549968362634</v>
      </c>
      <c r="G11" s="38" t="n">
        <v>0.7</v>
      </c>
      <c r="H11" s="38" t="n">
        <v>0.38</v>
      </c>
      <c r="I11" s="37" t="n">
        <v>0</v>
      </c>
      <c r="J11" s="38" t="n">
        <v>0</v>
      </c>
      <c r="K11" s="28" t="n">
        <v>0</v>
      </c>
      <c r="L11" s="38" t="n">
        <v>0</v>
      </c>
      <c r="M11" s="32" t="n">
        <v>0</v>
      </c>
      <c r="N11" s="43" t="n">
        <f aca="false">G11*(1-H11)</f>
        <v>0.434</v>
      </c>
      <c r="O11" s="43" t="n">
        <f aca="false">(1-p_gpu_r)^g_t_def</f>
        <v>0.2809</v>
      </c>
      <c r="P11" s="43" t="n">
        <f aca="false">IF(N11&gt;0,MAX(0,1-(1-g_c_gpu)*O11/N11)*(1-I11),0)</f>
        <v>0.48221198156682</v>
      </c>
      <c r="Q11" s="43" t="n">
        <f aca="false">IF(C11="GPU",F11*P11+K11*p_uw_drop,IF(C11="RCF",p_ccf_ai*F11*J11,IF(C11="DC",F11*J11+K11*p_uw_drop+M11/100,IF(C11="UNSEC",F11*J11,IF(C11="MARGIN",F11*MAX(0,G11-(1-p_oai_drop)*(1-g_c_gpu))/G11,IF(C11="ANTH",F11*(L11*0.1+(1-L11)*0.7)+p_uw_drop,0))))))</f>
        <v>0.233655800412286</v>
      </c>
      <c r="R11" s="44" t="n">
        <f aca="false">IF(C11="RCF",1,0)</f>
        <v>0</v>
      </c>
      <c r="S11" s="32" t="n">
        <v>3.1</v>
      </c>
      <c r="T11" s="40" t="n">
        <v>0</v>
      </c>
      <c r="U11" s="40" t="n">
        <v>0</v>
      </c>
      <c r="V11" s="40" t="n">
        <v>0</v>
      </c>
      <c r="W11" s="40" t="n">
        <v>0</v>
      </c>
      <c r="X11" s="40" t="n">
        <v>0</v>
      </c>
      <c r="Y11" s="34" t="n">
        <v>1.55</v>
      </c>
      <c r="Z11" s="40" t="n">
        <v>0</v>
      </c>
      <c r="AA11" s="40" t="n">
        <v>0</v>
      </c>
      <c r="AB11" s="40" t="n">
        <v>0</v>
      </c>
      <c r="AC11" s="40" t="n">
        <v>0</v>
      </c>
      <c r="AD11" s="40" t="n">
        <v>0</v>
      </c>
      <c r="AE11" s="40" t="n">
        <v>0</v>
      </c>
      <c r="AF11" s="40" t="n">
        <v>0</v>
      </c>
      <c r="AG11" s="40" t="n">
        <v>0</v>
      </c>
      <c r="AH11" s="40" t="n">
        <v>0</v>
      </c>
      <c r="AI11" s="40" t="n">
        <v>0</v>
      </c>
      <c r="AJ11" s="40" t="n">
        <v>0</v>
      </c>
      <c r="AK11" s="40" t="n">
        <v>0</v>
      </c>
      <c r="AL11" s="40" t="n">
        <v>0</v>
      </c>
      <c r="AM11" s="34" t="n">
        <v>1.55</v>
      </c>
      <c r="AN11" s="40" t="n">
        <v>0</v>
      </c>
      <c r="AO11" s="40" t="n">
        <v>0</v>
      </c>
      <c r="AP11" s="40" t="n">
        <v>0</v>
      </c>
      <c r="AQ11" s="40" t="n">
        <v>0</v>
      </c>
      <c r="AR11" s="6" t="s">
        <v>722</v>
      </c>
      <c r="AS11" s="6" t="s">
        <v>723</v>
      </c>
    </row>
    <row r="12" customFormat="false" ht="15" hidden="false" customHeight="true" outlineLevel="0" collapsed="false">
      <c r="A12" s="10" t="n">
        <v>6</v>
      </c>
      <c r="B12" s="10" t="s">
        <v>724</v>
      </c>
      <c r="C12" s="31" t="s">
        <v>713</v>
      </c>
      <c r="D12" s="31" t="s">
        <v>714</v>
      </c>
      <c r="E12" s="39" t="n">
        <f aca="false">IF(C12="NONE",0,IFERROR(INDEX(rng_lessee_pd,MATCH(D12,rng_lessee_key,0)),g_pd_unrated))</f>
        <v>0.0805</v>
      </c>
      <c r="F12" s="39" t="n">
        <f aca="false">IF(E12&lt;=0,0,NORMSDIST((NORMSINV(E12)-SQRT(g_rho_ai)*p_z_ai)/SQRT(1-g_rho_ai)))</f>
        <v>0.484549968362634</v>
      </c>
      <c r="G12" s="38" t="n">
        <v>0.75</v>
      </c>
      <c r="H12" s="38" t="n">
        <v>0.2</v>
      </c>
      <c r="I12" s="37" t="n">
        <v>0</v>
      </c>
      <c r="J12" s="38" t="n">
        <v>0</v>
      </c>
      <c r="K12" s="28" t="n">
        <v>0</v>
      </c>
      <c r="L12" s="38" t="n">
        <v>0</v>
      </c>
      <c r="M12" s="32" t="n">
        <v>0</v>
      </c>
      <c r="N12" s="43" t="n">
        <f aca="false">G12*(1-H12)</f>
        <v>0.6</v>
      </c>
      <c r="O12" s="43" t="n">
        <f aca="false">(1-p_gpu_r)^g_t_def</f>
        <v>0.2809</v>
      </c>
      <c r="P12" s="43" t="n">
        <f aca="false">IF(N12&gt;0,MAX(0,1-(1-g_c_gpu)*O12/N12)*(1-I12),0)</f>
        <v>0.625466666666667</v>
      </c>
      <c r="Q12" s="43" t="n">
        <f aca="false">IF(C12="GPU",F12*P12+K12*p_uw_drop,IF(C12="RCF",p_ccf_ai*F12*J12,IF(C12="DC",F12*J12+K12*p_uw_drop+M12/100,IF(C12="UNSEC",F12*J12,IF(C12="MARGIN",F12*MAX(0,G12-(1-p_oai_drop)*(1-g_c_gpu))/G12,IF(C12="ANTH",F12*(L12*0.1+(1-L12)*0.7)+p_uw_drop,0))))))</f>
        <v>0.303069853545216</v>
      </c>
      <c r="R12" s="44" t="n">
        <f aca="false">IF(C12="RCF",1,0)</f>
        <v>0</v>
      </c>
      <c r="S12" s="32" t="n">
        <v>2.6</v>
      </c>
      <c r="T12" s="34" t="n">
        <v>1.3</v>
      </c>
      <c r="U12" s="40" t="n">
        <v>0</v>
      </c>
      <c r="V12" s="40" t="n">
        <v>0</v>
      </c>
      <c r="W12" s="40" t="n">
        <v>0</v>
      </c>
      <c r="X12" s="40" t="n">
        <v>0</v>
      </c>
      <c r="Y12" s="40" t="n">
        <v>0</v>
      </c>
      <c r="Z12" s="40" t="n">
        <v>0</v>
      </c>
      <c r="AA12" s="40" t="n">
        <v>0</v>
      </c>
      <c r="AB12" s="40" t="n">
        <v>0</v>
      </c>
      <c r="AC12" s="40" t="n">
        <v>0</v>
      </c>
      <c r="AD12" s="40" t="n">
        <v>0</v>
      </c>
      <c r="AE12" s="40" t="n">
        <v>0</v>
      </c>
      <c r="AF12" s="40" t="n">
        <v>0</v>
      </c>
      <c r="AG12" s="40" t="n">
        <v>0</v>
      </c>
      <c r="AH12" s="40" t="n">
        <v>0</v>
      </c>
      <c r="AI12" s="40" t="n">
        <v>0</v>
      </c>
      <c r="AJ12" s="40" t="n">
        <v>0</v>
      </c>
      <c r="AK12" s="40" t="n">
        <v>0</v>
      </c>
      <c r="AL12" s="40" t="n">
        <v>0</v>
      </c>
      <c r="AM12" s="34" t="n">
        <v>1.3</v>
      </c>
      <c r="AN12" s="40" t="n">
        <v>0</v>
      </c>
      <c r="AO12" s="40" t="n">
        <v>0</v>
      </c>
      <c r="AP12" s="40" t="n">
        <v>0</v>
      </c>
      <c r="AQ12" s="40" t="n">
        <v>0</v>
      </c>
      <c r="AR12" s="6" t="s">
        <v>722</v>
      </c>
      <c r="AS12" s="6" t="s">
        <v>725</v>
      </c>
    </row>
    <row r="13" customFormat="false" ht="15" hidden="false" customHeight="true" outlineLevel="0" collapsed="false">
      <c r="A13" s="10" t="n">
        <v>7</v>
      </c>
      <c r="B13" s="10" t="s">
        <v>726</v>
      </c>
      <c r="C13" s="31" t="s">
        <v>727</v>
      </c>
      <c r="D13" s="31" t="s">
        <v>714</v>
      </c>
      <c r="E13" s="39" t="n">
        <f aca="false">IF(C13="NONE",0,IFERROR(INDEX(rng_lessee_pd,MATCH(D13,rng_lessee_key,0)),g_pd_unrated))</f>
        <v>0.0805</v>
      </c>
      <c r="F13" s="39" t="n">
        <f aca="false">IF(E13&lt;=0,0,NORMSDIST((NORMSINV(E13)-SQRT(g_rho_ai)*p_z_ai)/SQRT(1-g_rho_ai)))</f>
        <v>0.484549968362634</v>
      </c>
      <c r="G13" s="38" t="n">
        <v>0</v>
      </c>
      <c r="H13" s="38" t="n">
        <v>0</v>
      </c>
      <c r="I13" s="37" t="n">
        <v>0</v>
      </c>
      <c r="J13" s="38" t="n">
        <v>0.5</v>
      </c>
      <c r="K13" s="28" t="n">
        <v>0</v>
      </c>
      <c r="L13" s="38" t="n">
        <v>0</v>
      </c>
      <c r="M13" s="32" t="n">
        <v>0</v>
      </c>
      <c r="N13" s="43" t="n">
        <f aca="false">G13*(1-H13)</f>
        <v>0</v>
      </c>
      <c r="O13" s="43" t="n">
        <f aca="false">(1-p_gpu_r)^g_t_def</f>
        <v>0.2809</v>
      </c>
      <c r="P13" s="43" t="n">
        <f aca="false">IF(N13&gt;0,MAX(0,1-(1-g_c_gpu)*O13/N13)*(1-I13),0)</f>
        <v>0</v>
      </c>
      <c r="Q13" s="43" t="n">
        <f aca="false">IF(C13="GPU",F13*P13+K13*p_uw_drop,IF(C13="RCF",p_ccf_ai*F13*J13,IF(C13="DC",F13*J13+K13*p_uw_drop+M13/100,IF(C13="UNSEC",F13*J13,IF(C13="MARGIN",F13*MAX(0,G13-(1-p_oai_drop)*(1-g_c_gpu))/G13,IF(C13="ANTH",F13*(L13*0.1+(1-L13)*0.7)+p_uw_drop,0))))))</f>
        <v>0.242274984181317</v>
      </c>
      <c r="R13" s="44" t="n">
        <f aca="false">IF(C13="RCF",1,0)</f>
        <v>1</v>
      </c>
      <c r="S13" s="32" t="n">
        <v>2.5</v>
      </c>
      <c r="T13" s="34" t="n">
        <v>0.385</v>
      </c>
      <c r="U13" s="40" t="n">
        <v>0</v>
      </c>
      <c r="V13" s="34" t="n">
        <v>0.192</v>
      </c>
      <c r="W13" s="34" t="n">
        <v>0.192</v>
      </c>
      <c r="X13" s="34" t="n">
        <v>0.385</v>
      </c>
      <c r="Y13" s="34" t="n">
        <v>0.385</v>
      </c>
      <c r="Z13" s="40" t="n">
        <v>0</v>
      </c>
      <c r="AA13" s="40" t="n">
        <v>0</v>
      </c>
      <c r="AB13" s="40" t="n">
        <v>0</v>
      </c>
      <c r="AC13" s="40" t="n">
        <v>0</v>
      </c>
      <c r="AD13" s="40" t="n">
        <v>0</v>
      </c>
      <c r="AE13" s="40" t="n">
        <v>0</v>
      </c>
      <c r="AF13" s="40" t="n">
        <v>0</v>
      </c>
      <c r="AG13" s="40" t="n">
        <v>0</v>
      </c>
      <c r="AH13" s="40" t="n">
        <v>0</v>
      </c>
      <c r="AI13" s="34" t="n">
        <v>0.192</v>
      </c>
      <c r="AJ13" s="40" t="n">
        <v>0</v>
      </c>
      <c r="AK13" s="40" t="n">
        <v>0</v>
      </c>
      <c r="AL13" s="40" t="n">
        <v>0</v>
      </c>
      <c r="AM13" s="34" t="n">
        <v>0.385</v>
      </c>
      <c r="AN13" s="34" t="n">
        <v>0.192</v>
      </c>
      <c r="AO13" s="40" t="n">
        <v>0</v>
      </c>
      <c r="AP13" s="40" t="n">
        <v>0</v>
      </c>
      <c r="AQ13" s="40" t="n">
        <v>0</v>
      </c>
      <c r="AR13" s="6" t="s">
        <v>708</v>
      </c>
      <c r="AS13" s="6" t="s">
        <v>728</v>
      </c>
    </row>
    <row r="14" customFormat="false" ht="15" hidden="false" customHeight="true" outlineLevel="0" collapsed="false">
      <c r="A14" s="10" t="n">
        <v>8</v>
      </c>
      <c r="B14" s="10" t="s">
        <v>729</v>
      </c>
      <c r="C14" s="31" t="s">
        <v>707</v>
      </c>
      <c r="D14" s="31"/>
      <c r="E14" s="39" t="n">
        <f aca="false">IF(C14="NONE",0,IFERROR(INDEX(rng_lessee_pd,MATCH(D14,rng_lessee_key,0)),g_pd_unrated))</f>
        <v>0</v>
      </c>
      <c r="F14" s="39" t="n">
        <f aca="false">IF(E14&lt;=0,0,NORMSDIST((NORMSINV(E14)-SQRT(g_rho_ai)*p_z_ai)/SQRT(1-g_rho_ai)))</f>
        <v>0</v>
      </c>
      <c r="G14" s="37" t="n">
        <v>0</v>
      </c>
      <c r="H14" s="37" t="n">
        <v>0</v>
      </c>
      <c r="I14" s="37" t="n">
        <v>0</v>
      </c>
      <c r="J14" s="37" t="n">
        <v>0</v>
      </c>
      <c r="K14" s="28" t="n">
        <v>0</v>
      </c>
      <c r="L14" s="37" t="n">
        <v>0</v>
      </c>
      <c r="M14" s="32" t="n">
        <v>0</v>
      </c>
      <c r="N14" s="43" t="n">
        <f aca="false">G14*(1-H14)</f>
        <v>0</v>
      </c>
      <c r="O14" s="43" t="n">
        <f aca="false">(1-p_gpu_r)^g_t_def</f>
        <v>0.2809</v>
      </c>
      <c r="P14" s="43" t="n">
        <f aca="false">IF(N14&gt;0,MAX(0,1-(1-g_c_gpu)*O14/N14)*(1-I14),0)</f>
        <v>0</v>
      </c>
      <c r="Q14" s="43" t="n">
        <f aca="false">IF(C14="GPU",F14*P14+K14*p_uw_drop,IF(C14="RCF",p_ccf_ai*F14*J14,IF(C14="DC",F14*J14+K14*p_uw_drop+M14/100,IF(C14="UNSEC",F14*J14,IF(C14="MARGIN",F14*MAX(0,G14-(1-p_oai_drop)*(1-g_c_gpu))/G14,IF(C14="ANTH",F14*(L14*0.1+(1-L14)*0.7)+p_uw_drop,0))))))</f>
        <v>0</v>
      </c>
      <c r="R14" s="44" t="n">
        <f aca="false">IF(C14="RCF",1,0)</f>
        <v>0</v>
      </c>
      <c r="S14" s="32" t="n">
        <v>4.8</v>
      </c>
      <c r="T14" s="40" t="n">
        <v>0</v>
      </c>
      <c r="U14" s="40" t="n">
        <v>0</v>
      </c>
      <c r="V14" s="40" t="n">
        <v>0</v>
      </c>
      <c r="W14" s="40" t="n">
        <v>0</v>
      </c>
      <c r="X14" s="40" t="n">
        <v>0</v>
      </c>
      <c r="Y14" s="40" t="n">
        <v>0</v>
      </c>
      <c r="Z14" s="40" t="n">
        <v>0</v>
      </c>
      <c r="AA14" s="40" t="n">
        <v>0</v>
      </c>
      <c r="AB14" s="40" t="n">
        <v>0</v>
      </c>
      <c r="AC14" s="40" t="n">
        <v>0</v>
      </c>
      <c r="AD14" s="40" t="n">
        <v>0</v>
      </c>
      <c r="AE14" s="40" t="n">
        <v>0</v>
      </c>
      <c r="AF14" s="40" t="n">
        <v>0</v>
      </c>
      <c r="AG14" s="40" t="n">
        <v>0</v>
      </c>
      <c r="AH14" s="40" t="n">
        <v>0</v>
      </c>
      <c r="AI14" s="40" t="n">
        <v>0</v>
      </c>
      <c r="AJ14" s="40" t="n">
        <v>0</v>
      </c>
      <c r="AK14" s="40" t="n">
        <v>0</v>
      </c>
      <c r="AL14" s="40" t="n">
        <v>0</v>
      </c>
      <c r="AM14" s="40" t="n">
        <v>0</v>
      </c>
      <c r="AN14" s="40" t="n">
        <v>0</v>
      </c>
      <c r="AO14" s="40" t="n">
        <v>0</v>
      </c>
      <c r="AP14" s="40" t="n">
        <v>0</v>
      </c>
      <c r="AQ14" s="40" t="n">
        <v>0</v>
      </c>
      <c r="AR14" s="6" t="s">
        <v>708</v>
      </c>
      <c r="AS14" s="6" t="s">
        <v>709</v>
      </c>
    </row>
    <row r="15" customFormat="false" ht="15" hidden="false" customHeight="true" outlineLevel="0" collapsed="false">
      <c r="A15" s="10" t="n">
        <v>9</v>
      </c>
      <c r="B15" s="10" t="s">
        <v>730</v>
      </c>
      <c r="C15" s="31" t="s">
        <v>707</v>
      </c>
      <c r="D15" s="31"/>
      <c r="E15" s="39" t="n">
        <f aca="false">IF(C15="NONE",0,IFERROR(INDEX(rng_lessee_pd,MATCH(D15,rng_lessee_key,0)),g_pd_unrated))</f>
        <v>0</v>
      </c>
      <c r="F15" s="39" t="n">
        <f aca="false">IF(E15&lt;=0,0,NORMSDIST((NORMSINV(E15)-SQRT(g_rho_ai)*p_z_ai)/SQRT(1-g_rho_ai)))</f>
        <v>0</v>
      </c>
      <c r="G15" s="37" t="n">
        <v>0</v>
      </c>
      <c r="H15" s="37" t="n">
        <v>0</v>
      </c>
      <c r="I15" s="37" t="n">
        <v>0</v>
      </c>
      <c r="J15" s="37" t="n">
        <v>0</v>
      </c>
      <c r="K15" s="28" t="n">
        <v>0</v>
      </c>
      <c r="L15" s="37" t="n">
        <v>0</v>
      </c>
      <c r="M15" s="32" t="n">
        <v>0</v>
      </c>
      <c r="N15" s="43" t="n">
        <f aca="false">G15*(1-H15)</f>
        <v>0</v>
      </c>
      <c r="O15" s="43" t="n">
        <f aca="false">(1-p_gpu_r)^g_t_def</f>
        <v>0.2809</v>
      </c>
      <c r="P15" s="43" t="n">
        <f aca="false">IF(N15&gt;0,MAX(0,1-(1-g_c_gpu)*O15/N15)*(1-I15),0)</f>
        <v>0</v>
      </c>
      <c r="Q15" s="43" t="n">
        <f aca="false">IF(C15="GPU",F15*P15+K15*p_uw_drop,IF(C15="RCF",p_ccf_ai*F15*J15,IF(C15="DC",F15*J15+K15*p_uw_drop+M15/100,IF(C15="UNSEC",F15*J15,IF(C15="MARGIN",F15*MAX(0,G15-(1-p_oai_drop)*(1-g_c_gpu))/G15,IF(C15="ANTH",F15*(L15*0.1+(1-L15)*0.7)+p_uw_drop,0))))))</f>
        <v>0</v>
      </c>
      <c r="R15" s="44" t="n">
        <f aca="false">IF(C15="RCF",1,0)</f>
        <v>0</v>
      </c>
      <c r="S15" s="32" t="n">
        <v>0.5</v>
      </c>
      <c r="T15" s="40" t="n">
        <v>0</v>
      </c>
      <c r="U15" s="40" t="n">
        <v>0</v>
      </c>
      <c r="V15" s="40" t="n">
        <v>0</v>
      </c>
      <c r="W15" s="40" t="n">
        <v>0</v>
      </c>
      <c r="X15" s="40" t="n">
        <v>0</v>
      </c>
      <c r="Y15" s="40" t="n">
        <v>0</v>
      </c>
      <c r="Z15" s="40" t="n">
        <v>0</v>
      </c>
      <c r="AA15" s="40" t="n">
        <v>0</v>
      </c>
      <c r="AB15" s="40" t="n">
        <v>0</v>
      </c>
      <c r="AC15" s="40" t="n">
        <v>0</v>
      </c>
      <c r="AD15" s="40" t="n">
        <v>0</v>
      </c>
      <c r="AE15" s="40" t="n">
        <v>0</v>
      </c>
      <c r="AF15" s="40" t="n">
        <v>0</v>
      </c>
      <c r="AG15" s="40" t="n">
        <v>0</v>
      </c>
      <c r="AH15" s="40" t="n">
        <v>0</v>
      </c>
      <c r="AI15" s="40" t="n">
        <v>0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6" t="s">
        <v>731</v>
      </c>
      <c r="AS15" s="6" t="s">
        <v>709</v>
      </c>
    </row>
    <row r="16" customFormat="false" ht="15" hidden="false" customHeight="true" outlineLevel="0" collapsed="false">
      <c r="A16" s="10" t="n">
        <v>10</v>
      </c>
      <c r="B16" s="10" t="s">
        <v>732</v>
      </c>
      <c r="C16" s="31" t="s">
        <v>707</v>
      </c>
      <c r="D16" s="31"/>
      <c r="E16" s="39" t="n">
        <f aca="false">IF(C16="NONE",0,IFERROR(INDEX(rng_lessee_pd,MATCH(D16,rng_lessee_key,0)),g_pd_unrated))</f>
        <v>0</v>
      </c>
      <c r="F16" s="39" t="n">
        <f aca="false">IF(E16&lt;=0,0,NORMSDIST((NORMSINV(E16)-SQRT(g_rho_ai)*p_z_ai)/SQRT(1-g_rho_ai)))</f>
        <v>0</v>
      </c>
      <c r="G16" s="37" t="n">
        <v>0</v>
      </c>
      <c r="H16" s="37" t="n">
        <v>0</v>
      </c>
      <c r="I16" s="37" t="n">
        <v>0</v>
      </c>
      <c r="J16" s="37" t="n">
        <v>0</v>
      </c>
      <c r="K16" s="28" t="n">
        <v>0</v>
      </c>
      <c r="L16" s="37" t="n">
        <v>0</v>
      </c>
      <c r="M16" s="32" t="n">
        <v>0</v>
      </c>
      <c r="N16" s="43" t="n">
        <f aca="false">G16*(1-H16)</f>
        <v>0</v>
      </c>
      <c r="O16" s="43" t="n">
        <f aca="false">(1-p_gpu_r)^g_t_def</f>
        <v>0.2809</v>
      </c>
      <c r="P16" s="43" t="n">
        <f aca="false">IF(N16&gt;0,MAX(0,1-(1-g_c_gpu)*O16/N16)*(1-I16),0)</f>
        <v>0</v>
      </c>
      <c r="Q16" s="43" t="n">
        <f aca="false">IF(C16="GPU",F16*P16+K16*p_uw_drop,IF(C16="RCF",p_ccf_ai*F16*J16,IF(C16="DC",F16*J16+K16*p_uw_drop+M16/100,IF(C16="UNSEC",F16*J16,IF(C16="MARGIN",F16*MAX(0,G16-(1-p_oai_drop)*(1-g_c_gpu))/G16,IF(C16="ANTH",F16*(L16*0.1+(1-L16)*0.7)+p_uw_drop,0))))))</f>
        <v>0</v>
      </c>
      <c r="R16" s="44" t="n">
        <f aca="false">IF(C16="RCF",1,0)</f>
        <v>0</v>
      </c>
      <c r="S16" s="32" t="n">
        <v>0.926</v>
      </c>
      <c r="T16" s="40" t="n">
        <v>0</v>
      </c>
      <c r="U16" s="40" t="n">
        <v>0</v>
      </c>
      <c r="V16" s="40" t="n">
        <v>0</v>
      </c>
      <c r="W16" s="40" t="n">
        <v>0</v>
      </c>
      <c r="X16" s="40" t="n">
        <v>0</v>
      </c>
      <c r="Y16" s="40" t="n">
        <v>0</v>
      </c>
      <c r="Z16" s="40" t="n">
        <v>0</v>
      </c>
      <c r="AA16" s="40" t="n">
        <v>0</v>
      </c>
      <c r="AB16" s="40" t="n">
        <v>0</v>
      </c>
      <c r="AC16" s="40" t="n">
        <v>0</v>
      </c>
      <c r="AD16" s="40" t="n">
        <v>0</v>
      </c>
      <c r="AE16" s="40" t="n">
        <v>0</v>
      </c>
      <c r="AF16" s="40" t="n">
        <v>0</v>
      </c>
      <c r="AG16" s="40" t="n">
        <v>0</v>
      </c>
      <c r="AH16" s="40" t="n">
        <v>0</v>
      </c>
      <c r="AI16" s="40" t="n">
        <v>0</v>
      </c>
      <c r="AJ16" s="40" t="n">
        <v>0</v>
      </c>
      <c r="AK16" s="40" t="n">
        <v>0</v>
      </c>
      <c r="AL16" s="40" t="n">
        <v>0</v>
      </c>
      <c r="AM16" s="40" t="n">
        <v>0</v>
      </c>
      <c r="AN16" s="40" t="n">
        <v>0</v>
      </c>
      <c r="AO16" s="40" t="n">
        <v>0</v>
      </c>
      <c r="AP16" s="40" t="n">
        <v>0</v>
      </c>
      <c r="AQ16" s="40" t="n">
        <v>0</v>
      </c>
      <c r="AR16" s="6" t="s">
        <v>733</v>
      </c>
      <c r="AS16" s="6" t="s">
        <v>709</v>
      </c>
    </row>
    <row r="17" customFormat="false" ht="15" hidden="false" customHeight="true" outlineLevel="0" collapsed="false">
      <c r="A17" s="10" t="n">
        <v>11</v>
      </c>
      <c r="B17" s="10" t="s">
        <v>734</v>
      </c>
      <c r="C17" s="31" t="s">
        <v>707</v>
      </c>
      <c r="D17" s="31"/>
      <c r="E17" s="39" t="n">
        <f aca="false">IF(C17="NONE",0,IFERROR(INDEX(rng_lessee_pd,MATCH(D17,rng_lessee_key,0)),g_pd_unrated))</f>
        <v>0</v>
      </c>
      <c r="F17" s="39" t="n">
        <f aca="false">IF(E17&lt;=0,0,NORMSDIST((NORMSINV(E17)-SQRT(g_rho_ai)*p_z_ai)/SQRT(1-g_rho_ai)))</f>
        <v>0</v>
      </c>
      <c r="G17" s="37" t="n">
        <v>0</v>
      </c>
      <c r="H17" s="37" t="n">
        <v>0</v>
      </c>
      <c r="I17" s="37" t="n">
        <v>0</v>
      </c>
      <c r="J17" s="37" t="n">
        <v>0</v>
      </c>
      <c r="K17" s="28" t="n">
        <v>0</v>
      </c>
      <c r="L17" s="37" t="n">
        <v>0</v>
      </c>
      <c r="M17" s="32" t="n">
        <v>0</v>
      </c>
      <c r="N17" s="43" t="n">
        <f aca="false">G17*(1-H17)</f>
        <v>0</v>
      </c>
      <c r="O17" s="43" t="n">
        <f aca="false">(1-p_gpu_r)^g_t_def</f>
        <v>0.2809</v>
      </c>
      <c r="P17" s="43" t="n">
        <f aca="false">IF(N17&gt;0,MAX(0,1-(1-g_c_gpu)*O17/N17)*(1-I17),0)</f>
        <v>0</v>
      </c>
      <c r="Q17" s="43" t="n">
        <f aca="false">IF(C17="GPU",F17*P17+K17*p_uw_drop,IF(C17="RCF",p_ccf_ai*F17*J17,IF(C17="DC",F17*J17+K17*p_uw_drop+M17/100,IF(C17="UNSEC",F17*J17,IF(C17="MARGIN",F17*MAX(0,G17-(1-p_oai_drop)*(1-g_c_gpu))/G17,IF(C17="ANTH",F17*(L17*0.1+(1-L17)*0.7)+p_uw_drop,0))))))</f>
        <v>0</v>
      </c>
      <c r="R17" s="44" t="n">
        <f aca="false">IF(C17="RCF",1,0)</f>
        <v>0</v>
      </c>
      <c r="S17" s="32" t="n">
        <v>1.008</v>
      </c>
      <c r="T17" s="40" t="n">
        <v>0</v>
      </c>
      <c r="U17" s="40" t="n">
        <v>0</v>
      </c>
      <c r="V17" s="40" t="n">
        <v>0</v>
      </c>
      <c r="W17" s="40" t="n">
        <v>0</v>
      </c>
      <c r="X17" s="40" t="n">
        <v>0</v>
      </c>
      <c r="Y17" s="40" t="n">
        <v>0</v>
      </c>
      <c r="Z17" s="40" t="n">
        <v>0</v>
      </c>
      <c r="AA17" s="40" t="n">
        <v>0</v>
      </c>
      <c r="AB17" s="40" t="n">
        <v>0</v>
      </c>
      <c r="AC17" s="40" t="n">
        <v>0</v>
      </c>
      <c r="AD17" s="40" t="n">
        <v>0</v>
      </c>
      <c r="AE17" s="40" t="n">
        <v>0</v>
      </c>
      <c r="AF17" s="40" t="n">
        <v>0</v>
      </c>
      <c r="AG17" s="40" t="n">
        <v>0</v>
      </c>
      <c r="AH17" s="40" t="n">
        <v>0</v>
      </c>
      <c r="AI17" s="40" t="n">
        <v>0</v>
      </c>
      <c r="AJ17" s="40" t="n">
        <v>0</v>
      </c>
      <c r="AK17" s="40" t="n">
        <v>0</v>
      </c>
      <c r="AL17" s="40" t="n">
        <v>0</v>
      </c>
      <c r="AM17" s="40" t="n">
        <v>0</v>
      </c>
      <c r="AN17" s="40" t="n">
        <v>0</v>
      </c>
      <c r="AO17" s="40" t="n">
        <v>0</v>
      </c>
      <c r="AP17" s="40" t="n">
        <v>0</v>
      </c>
      <c r="AQ17" s="40" t="n">
        <v>0</v>
      </c>
      <c r="AR17" s="6" t="s">
        <v>735</v>
      </c>
      <c r="AS17" s="6" t="s">
        <v>709</v>
      </c>
    </row>
    <row r="18" customFormat="false" ht="15" hidden="false" customHeight="true" outlineLevel="0" collapsed="false">
      <c r="A18" s="10" t="n">
        <v>12</v>
      </c>
      <c r="B18" s="10" t="s">
        <v>736</v>
      </c>
      <c r="C18" s="31" t="s">
        <v>713</v>
      </c>
      <c r="D18" s="31" t="s">
        <v>737</v>
      </c>
      <c r="E18" s="39" t="n">
        <f aca="false">IF(C18="NONE",0,IFERROR(INDEX(rng_lessee_pd,MATCH(D18,rng_lessee_key,0)),g_pd_unrated))</f>
        <v>0.0267</v>
      </c>
      <c r="F18" s="39" t="n">
        <f aca="false">IF(E18&lt;=0,0,NORMSDIST((NORMSINV(E18)-SQRT(g_rho_ai)*p_z_ai)/SQRT(1-g_rho_ai)))</f>
        <v>0.250742357084593</v>
      </c>
      <c r="G18" s="38" t="n">
        <v>0.7</v>
      </c>
      <c r="H18" s="38" t="n">
        <v>0.4</v>
      </c>
      <c r="I18" s="37" t="n">
        <v>0</v>
      </c>
      <c r="J18" s="38" t="n">
        <v>0</v>
      </c>
      <c r="K18" s="28" t="n">
        <v>0</v>
      </c>
      <c r="L18" s="38" t="n">
        <v>0</v>
      </c>
      <c r="M18" s="32" t="n">
        <v>0</v>
      </c>
      <c r="N18" s="43" t="n">
        <f aca="false">G18*(1-H18)</f>
        <v>0.42</v>
      </c>
      <c r="O18" s="43" t="n">
        <f aca="false">(1-p_gpu_r)^g_t_def</f>
        <v>0.2809</v>
      </c>
      <c r="P18" s="43" t="n">
        <f aca="false">IF(N18&gt;0,MAX(0,1-(1-g_c_gpu)*O18/N18)*(1-I18),0)</f>
        <v>0.464952380952381</v>
      </c>
      <c r="Q18" s="43" t="n">
        <f aca="false">IF(C18="GPU",F18*P18+K18*p_uw_drop,IF(C18="RCF",p_ccf_ai*F18*J18,IF(C18="DC",F18*J18+K18*p_uw_drop+M18/100,IF(C18="UNSEC",F18*J18,IF(C18="MARGIN",F18*MAX(0,G18-(1-p_oai_drop)*(1-g_c_gpu))/G18,IF(C18="ANTH",F18*(L18*0.1+(1-L18)*0.7)+p_uw_drop,0))))))</f>
        <v>0.116583255932093</v>
      </c>
      <c r="R18" s="44" t="n">
        <f aca="false">IF(C18="RCF",1,0)</f>
        <v>0</v>
      </c>
      <c r="S18" s="32" t="n">
        <v>0.775</v>
      </c>
      <c r="T18" s="40" t="n">
        <v>0</v>
      </c>
      <c r="U18" s="34" t="n">
        <v>0.092</v>
      </c>
      <c r="V18" s="34" t="n">
        <v>0.055</v>
      </c>
      <c r="W18" s="40" t="n">
        <v>0</v>
      </c>
      <c r="X18" s="34" t="n">
        <v>0.037</v>
      </c>
      <c r="Y18" s="34" t="n">
        <v>0.055</v>
      </c>
      <c r="Z18" s="40" t="n">
        <v>0</v>
      </c>
      <c r="AA18" s="40" t="n">
        <v>0</v>
      </c>
      <c r="AB18" s="40" t="n">
        <v>0</v>
      </c>
      <c r="AC18" s="40" t="n">
        <v>0</v>
      </c>
      <c r="AD18" s="40" t="n">
        <v>0</v>
      </c>
      <c r="AE18" s="40" t="n">
        <v>0</v>
      </c>
      <c r="AF18" s="40" t="n">
        <v>0</v>
      </c>
      <c r="AG18" s="40" t="n">
        <v>0</v>
      </c>
      <c r="AH18" s="34" t="n">
        <v>0.092</v>
      </c>
      <c r="AI18" s="34" t="n">
        <v>0.092</v>
      </c>
      <c r="AJ18" s="40" t="n">
        <v>0</v>
      </c>
      <c r="AK18" s="40" t="n">
        <v>0</v>
      </c>
      <c r="AL18" s="40" t="n">
        <v>0</v>
      </c>
      <c r="AM18" s="34" t="n">
        <v>0.148</v>
      </c>
      <c r="AN18" s="40" t="n">
        <v>0</v>
      </c>
      <c r="AO18" s="40" t="n">
        <v>0</v>
      </c>
      <c r="AP18" s="40" t="n">
        <v>0</v>
      </c>
      <c r="AQ18" s="40" t="n">
        <v>0</v>
      </c>
      <c r="AR18" s="6" t="s">
        <v>738</v>
      </c>
      <c r="AS18" s="6" t="s">
        <v>739</v>
      </c>
    </row>
    <row r="19" customFormat="false" ht="15" hidden="false" customHeight="true" outlineLevel="0" collapsed="false">
      <c r="A19" s="10" t="n">
        <v>13</v>
      </c>
      <c r="B19" s="10" t="s">
        <v>740</v>
      </c>
      <c r="C19" s="31" t="s">
        <v>713</v>
      </c>
      <c r="D19" s="31" t="s">
        <v>741</v>
      </c>
      <c r="E19" s="39" t="n">
        <f aca="false">IF(C19="NONE",0,IFERROR(INDEX(rng_lessee_pd,MATCH(D19,rng_lessee_key,0)),g_pd_unrated))</f>
        <v>0.0968</v>
      </c>
      <c r="F19" s="39" t="n">
        <f aca="false">IF(E19&lt;=0,0,NORMSDIST((NORMSINV(E19)-SQRT(g_rho_ai)*p_z_ai)/SQRT(1-g_rho_ai)))</f>
        <v>0.533008075928915</v>
      </c>
      <c r="G19" s="38" t="n">
        <v>0.75</v>
      </c>
      <c r="H19" s="38" t="n">
        <v>0.45</v>
      </c>
      <c r="I19" s="37" t="n">
        <v>0</v>
      </c>
      <c r="J19" s="38" t="n">
        <v>0</v>
      </c>
      <c r="K19" s="28" t="n">
        <v>1</v>
      </c>
      <c r="L19" s="38" t="n">
        <v>0</v>
      </c>
      <c r="M19" s="32" t="n">
        <v>0</v>
      </c>
      <c r="N19" s="43" t="n">
        <f aca="false">G19*(1-H19)</f>
        <v>0.4125</v>
      </c>
      <c r="O19" s="43" t="n">
        <f aca="false">(1-p_gpu_r)^g_t_def</f>
        <v>0.2809</v>
      </c>
      <c r="P19" s="43" t="n">
        <f aca="false">IF(N19&gt;0,MAX(0,1-(1-g_c_gpu)*O19/N19)*(1-I19),0)</f>
        <v>0.455224242424242</v>
      </c>
      <c r="Q19" s="43" t="n">
        <f aca="false">IF(C19="GPU",F19*P19+K19*p_uw_drop,IF(C19="RCF",p_ccf_ai*F19*J19,IF(C19="DC",F19*J19+K19*p_uw_drop+M19/100,IF(C19="UNSEC",F19*J19,IF(C19="MARGIN",F19*MAX(0,G19-(1-p_oai_drop)*(1-g_c_gpu))/G19,IF(C19="ANTH",F19*(L19*0.1+(1-L19)*0.7)+p_uw_drop,0))))))</f>
        <v>0.392638197570744</v>
      </c>
      <c r="R19" s="44" t="n">
        <f aca="false">IF(C19="RCF",1,0)</f>
        <v>0</v>
      </c>
      <c r="S19" s="32" t="n">
        <v>0.509</v>
      </c>
      <c r="T19" s="40" t="n">
        <v>0</v>
      </c>
      <c r="U19" s="40" t="n">
        <v>0</v>
      </c>
      <c r="V19" s="40" t="n">
        <v>0</v>
      </c>
      <c r="W19" s="40" t="n">
        <v>0</v>
      </c>
      <c r="X19" s="34" t="n">
        <v>0.509</v>
      </c>
      <c r="Y19" s="40" t="n">
        <v>0</v>
      </c>
      <c r="Z19" s="40" t="n">
        <v>0</v>
      </c>
      <c r="AA19" s="40" t="n">
        <v>0</v>
      </c>
      <c r="AB19" s="40" t="n">
        <v>0</v>
      </c>
      <c r="AC19" s="40" t="n">
        <v>0</v>
      </c>
      <c r="AD19" s="40" t="n">
        <v>0</v>
      </c>
      <c r="AE19" s="40" t="n">
        <v>0</v>
      </c>
      <c r="AF19" s="40" t="n">
        <v>0</v>
      </c>
      <c r="AG19" s="40" t="n">
        <v>0</v>
      </c>
      <c r="AH19" s="40" t="n">
        <v>0</v>
      </c>
      <c r="AI19" s="40" t="n">
        <v>0</v>
      </c>
      <c r="AJ19" s="40" t="n">
        <v>0</v>
      </c>
      <c r="AK19" s="40" t="n">
        <v>0</v>
      </c>
      <c r="AL19" s="40" t="n">
        <v>0</v>
      </c>
      <c r="AM19" s="40" t="n">
        <v>0</v>
      </c>
      <c r="AN19" s="40" t="n">
        <v>0</v>
      </c>
      <c r="AO19" s="40" t="n">
        <v>0</v>
      </c>
      <c r="AP19" s="40" t="n">
        <v>0</v>
      </c>
      <c r="AQ19" s="40" t="n">
        <v>0</v>
      </c>
      <c r="AR19" s="6" t="s">
        <v>742</v>
      </c>
      <c r="AS19" s="6" t="s">
        <v>743</v>
      </c>
    </row>
    <row r="20" customFormat="false" ht="15" hidden="false" customHeight="true" outlineLevel="0" collapsed="false">
      <c r="A20" s="10" t="n">
        <v>14</v>
      </c>
      <c r="B20" s="10" t="s">
        <v>744</v>
      </c>
      <c r="C20" s="31" t="s">
        <v>707</v>
      </c>
      <c r="D20" s="31"/>
      <c r="E20" s="39" t="n">
        <f aca="false">IF(C20="NONE",0,IFERROR(INDEX(rng_lessee_pd,MATCH(D20,rng_lessee_key,0)),g_pd_unrated))</f>
        <v>0</v>
      </c>
      <c r="F20" s="39" t="n">
        <f aca="false">IF(E20&lt;=0,0,NORMSDIST((NORMSINV(E20)-SQRT(g_rho_ai)*p_z_ai)/SQRT(1-g_rho_ai)))</f>
        <v>0</v>
      </c>
      <c r="G20" s="37" t="n">
        <v>0</v>
      </c>
      <c r="H20" s="37" t="n">
        <v>0</v>
      </c>
      <c r="I20" s="37" t="n">
        <v>0</v>
      </c>
      <c r="J20" s="37" t="n">
        <v>0</v>
      </c>
      <c r="K20" s="28" t="n">
        <v>0</v>
      </c>
      <c r="L20" s="37" t="n">
        <v>0</v>
      </c>
      <c r="M20" s="32" t="n">
        <v>0</v>
      </c>
      <c r="N20" s="43" t="n">
        <f aca="false">G20*(1-H20)</f>
        <v>0</v>
      </c>
      <c r="O20" s="43" t="n">
        <f aca="false">(1-p_gpu_r)^g_t_def</f>
        <v>0.2809</v>
      </c>
      <c r="P20" s="43" t="n">
        <f aca="false">IF(N20&gt;0,MAX(0,1-(1-g_c_gpu)*O20/N20)*(1-I20),0)</f>
        <v>0</v>
      </c>
      <c r="Q20" s="43" t="n">
        <f aca="false">IF(C20="GPU",F20*P20+K20*p_uw_drop,IF(C20="RCF",p_ccf_ai*F20*J20,IF(C20="DC",F20*J20+K20*p_uw_drop+M20/100,IF(C20="UNSEC",F20*J20,IF(C20="MARGIN",F20*MAX(0,G20-(1-p_oai_drop)*(1-g_c_gpu))/G20,IF(C20="ANTH",F20*(L20*0.1+(1-L20)*0.7)+p_uw_drop,0))))))</f>
        <v>0</v>
      </c>
      <c r="R20" s="44" t="n">
        <f aca="false">IF(C20="RCF",1,0)</f>
        <v>0</v>
      </c>
      <c r="S20" s="32" t="n">
        <v>0.225</v>
      </c>
      <c r="T20" s="40" t="n">
        <v>0</v>
      </c>
      <c r="U20" s="40" t="n">
        <v>0</v>
      </c>
      <c r="V20" s="40" t="n">
        <v>0</v>
      </c>
      <c r="W20" s="40" t="n">
        <v>0</v>
      </c>
      <c r="X20" s="40" t="n">
        <v>0</v>
      </c>
      <c r="Y20" s="40" t="n">
        <v>0</v>
      </c>
      <c r="Z20" s="40" t="n">
        <v>0</v>
      </c>
      <c r="AA20" s="40" t="n">
        <v>0</v>
      </c>
      <c r="AB20" s="40" t="n">
        <v>0</v>
      </c>
      <c r="AC20" s="40" t="n">
        <v>0</v>
      </c>
      <c r="AD20" s="40" t="n">
        <v>0</v>
      </c>
      <c r="AE20" s="40" t="n">
        <v>0</v>
      </c>
      <c r="AF20" s="40" t="n">
        <v>0</v>
      </c>
      <c r="AG20" s="40" t="n">
        <v>0</v>
      </c>
      <c r="AH20" s="40" t="n">
        <v>0</v>
      </c>
      <c r="AI20" s="40" t="n">
        <v>0</v>
      </c>
      <c r="AJ20" s="40" t="n">
        <v>0</v>
      </c>
      <c r="AK20" s="40" t="n">
        <v>0</v>
      </c>
      <c r="AL20" s="40" t="n">
        <v>0</v>
      </c>
      <c r="AM20" s="40" t="n">
        <v>0</v>
      </c>
      <c r="AN20" s="40" t="n">
        <v>0</v>
      </c>
      <c r="AO20" s="40" t="n">
        <v>0</v>
      </c>
      <c r="AP20" s="40" t="n">
        <v>0</v>
      </c>
      <c r="AQ20" s="40" t="n">
        <v>0</v>
      </c>
      <c r="AR20" s="6" t="s">
        <v>745</v>
      </c>
      <c r="AS20" s="6" t="s">
        <v>709</v>
      </c>
    </row>
    <row r="21" customFormat="false" ht="15" hidden="false" customHeight="true" outlineLevel="0" collapsed="false">
      <c r="A21" s="10" t="n">
        <v>15</v>
      </c>
      <c r="B21" s="10" t="s">
        <v>746</v>
      </c>
      <c r="C21" s="31" t="s">
        <v>707</v>
      </c>
      <c r="D21" s="31"/>
      <c r="E21" s="39" t="n">
        <f aca="false">IF(C21="NONE",0,IFERROR(INDEX(rng_lessee_pd,MATCH(D21,rng_lessee_key,0)),g_pd_unrated))</f>
        <v>0</v>
      </c>
      <c r="F21" s="39" t="n">
        <f aca="false">IF(E21&lt;=0,0,NORMSDIST((NORMSINV(E21)-SQRT(g_rho_ai)*p_z_ai)/SQRT(1-g_rho_ai)))</f>
        <v>0</v>
      </c>
      <c r="G21" s="37" t="n">
        <v>0</v>
      </c>
      <c r="H21" s="37" t="n">
        <v>0</v>
      </c>
      <c r="I21" s="37" t="n">
        <v>0</v>
      </c>
      <c r="J21" s="37" t="n">
        <v>0</v>
      </c>
      <c r="K21" s="28" t="n">
        <v>0</v>
      </c>
      <c r="L21" s="37" t="n">
        <v>0</v>
      </c>
      <c r="M21" s="32" t="n">
        <v>0</v>
      </c>
      <c r="N21" s="43" t="n">
        <f aca="false">G21*(1-H21)</f>
        <v>0</v>
      </c>
      <c r="O21" s="43" t="n">
        <f aca="false">(1-p_gpu_r)^g_t_def</f>
        <v>0.2809</v>
      </c>
      <c r="P21" s="43" t="n">
        <f aca="false">IF(N21&gt;0,MAX(0,1-(1-g_c_gpu)*O21/N21)*(1-I21),0)</f>
        <v>0</v>
      </c>
      <c r="Q21" s="43" t="n">
        <f aca="false">IF(C21="GPU",F21*P21+K21*p_uw_drop,IF(C21="RCF",p_ccf_ai*F21*J21,IF(C21="DC",F21*J21+K21*p_uw_drop+M21/100,IF(C21="UNSEC",F21*J21,IF(C21="MARGIN",F21*MAX(0,G21-(1-p_oai_drop)*(1-g_c_gpu))/G21,IF(C21="ANTH",F21*(L21*0.1+(1-L21)*0.7)+p_uw_drop,0))))))</f>
        <v>0</v>
      </c>
      <c r="R21" s="44" t="n">
        <f aca="false">IF(C21="RCF",1,0)</f>
        <v>0</v>
      </c>
      <c r="S21" s="32"/>
      <c r="T21" s="40" t="n">
        <v>0</v>
      </c>
      <c r="U21" s="40" t="n">
        <v>0</v>
      </c>
      <c r="V21" s="40" t="n">
        <v>0</v>
      </c>
      <c r="W21" s="40" t="n">
        <v>0</v>
      </c>
      <c r="X21" s="40" t="n">
        <v>0</v>
      </c>
      <c r="Y21" s="40" t="n">
        <v>0</v>
      </c>
      <c r="Z21" s="40" t="n">
        <v>0</v>
      </c>
      <c r="AA21" s="40" t="n">
        <v>0</v>
      </c>
      <c r="AB21" s="40" t="n">
        <v>0</v>
      </c>
      <c r="AC21" s="40" t="n">
        <v>0</v>
      </c>
      <c r="AD21" s="40" t="n">
        <v>0</v>
      </c>
      <c r="AE21" s="40" t="n">
        <v>0</v>
      </c>
      <c r="AF21" s="40" t="n">
        <v>0</v>
      </c>
      <c r="AG21" s="40" t="n">
        <v>0</v>
      </c>
      <c r="AH21" s="40" t="n">
        <v>0</v>
      </c>
      <c r="AI21" s="40" t="n">
        <v>0</v>
      </c>
      <c r="AJ21" s="40" t="n">
        <v>0</v>
      </c>
      <c r="AK21" s="40" t="n">
        <v>0</v>
      </c>
      <c r="AL21" s="40" t="n">
        <v>0</v>
      </c>
      <c r="AM21" s="40" t="n">
        <v>0</v>
      </c>
      <c r="AN21" s="40" t="n">
        <v>0</v>
      </c>
      <c r="AO21" s="40" t="n">
        <v>0</v>
      </c>
      <c r="AP21" s="40" t="n">
        <v>0</v>
      </c>
      <c r="AQ21" s="40" t="n">
        <v>0</v>
      </c>
      <c r="AR21" s="6" t="s">
        <v>747</v>
      </c>
      <c r="AS21" s="6" t="s">
        <v>709</v>
      </c>
    </row>
    <row r="22" customFormat="false" ht="15" hidden="false" customHeight="true" outlineLevel="0" collapsed="false">
      <c r="A22" s="10" t="n">
        <v>16</v>
      </c>
      <c r="B22" s="10" t="s">
        <v>748</v>
      </c>
      <c r="C22" s="31" t="s">
        <v>713</v>
      </c>
      <c r="D22" s="31" t="s">
        <v>749</v>
      </c>
      <c r="E22" s="39" t="n">
        <f aca="false">IF(C22="NONE",0,IFERROR(INDEX(rng_lessee_pd,MATCH(D22,rng_lessee_key,0)),g_pd_unrated))</f>
        <v>0.0805</v>
      </c>
      <c r="F22" s="39" t="n">
        <f aca="false">IF(E22&lt;=0,0,NORMSDIST((NORMSINV(E22)-SQRT(g_rho_ai)*p_z_ai)/SQRT(1-g_rho_ai)))</f>
        <v>0.484549968362634</v>
      </c>
      <c r="G22" s="38" t="n">
        <v>0.75</v>
      </c>
      <c r="H22" s="38" t="n">
        <v>0.1</v>
      </c>
      <c r="I22" s="37" t="n">
        <v>0.26</v>
      </c>
      <c r="J22" s="38" t="n">
        <v>0</v>
      </c>
      <c r="K22" s="28" t="n">
        <v>1</v>
      </c>
      <c r="L22" s="38" t="n">
        <v>0</v>
      </c>
      <c r="M22" s="32" t="n">
        <v>0</v>
      </c>
      <c r="N22" s="43" t="n">
        <f aca="false">G22*(1-H22)</f>
        <v>0.675</v>
      </c>
      <c r="O22" s="43" t="n">
        <f aca="false">(1-p_gpu_r)^g_t_def</f>
        <v>0.2809</v>
      </c>
      <c r="P22" s="43" t="n">
        <f aca="false">IF(N22&gt;0,MAX(0,1-(1-g_c_gpu)*O22/N22)*(1-I22),0)</f>
        <v>0.493640296296296</v>
      </c>
      <c r="Q22" s="43" t="n">
        <f aca="false">IF(C22="GPU",F22*P22+K22*p_uw_drop,IF(C22="RCF",p_ccf_ai*F22*J22,IF(C22="DC",F22*J22+K22*p_uw_drop+M22/100,IF(C22="UNSEC",F22*J22,IF(C22="MARGIN",F22*MAX(0,G22-(1-p_oai_drop)*(1-g_c_gpu))/G22,IF(C22="ANTH",F22*(L22*0.1+(1-L22)*0.7)+p_uw_drop,0))))))</f>
        <v>0.389193389952892</v>
      </c>
      <c r="R22" s="44" t="n">
        <f aca="false">IF(C22="RCF",1,0)</f>
        <v>0</v>
      </c>
      <c r="S22" s="32" t="n">
        <v>5</v>
      </c>
      <c r="T22" s="34" t="n">
        <v>5</v>
      </c>
      <c r="U22" s="40" t="n">
        <v>0</v>
      </c>
      <c r="V22" s="40" t="n">
        <v>0</v>
      </c>
      <c r="W22" s="40" t="n">
        <v>0</v>
      </c>
      <c r="X22" s="40" t="n">
        <v>0</v>
      </c>
      <c r="Y22" s="40" t="n">
        <v>0</v>
      </c>
      <c r="Z22" s="40" t="n">
        <v>0</v>
      </c>
      <c r="AA22" s="40" t="n">
        <v>0</v>
      </c>
      <c r="AB22" s="40" t="n">
        <v>0</v>
      </c>
      <c r="AC22" s="40" t="n">
        <v>0</v>
      </c>
      <c r="AD22" s="40" t="n">
        <v>0</v>
      </c>
      <c r="AE22" s="40" t="n">
        <v>0</v>
      </c>
      <c r="AF22" s="40" t="n">
        <v>0</v>
      </c>
      <c r="AG22" s="40" t="n">
        <v>0</v>
      </c>
      <c r="AH22" s="40" t="n">
        <v>0</v>
      </c>
      <c r="AI22" s="40" t="n">
        <v>0</v>
      </c>
      <c r="AJ22" s="40" t="n">
        <v>0</v>
      </c>
      <c r="AK22" s="40" t="n">
        <v>0</v>
      </c>
      <c r="AL22" s="40" t="n">
        <v>0</v>
      </c>
      <c r="AM22" s="40" t="n">
        <v>0</v>
      </c>
      <c r="AN22" s="40" t="n">
        <v>0</v>
      </c>
      <c r="AO22" s="40" t="n">
        <v>0</v>
      </c>
      <c r="AP22" s="40" t="n">
        <v>0</v>
      </c>
      <c r="AQ22" s="40" t="n">
        <v>0</v>
      </c>
      <c r="AR22" s="6" t="s">
        <v>750</v>
      </c>
      <c r="AS22" s="6" t="s">
        <v>751</v>
      </c>
    </row>
    <row r="23" customFormat="false" ht="15" hidden="false" customHeight="true" outlineLevel="0" collapsed="false">
      <c r="A23" s="10" t="n">
        <v>17</v>
      </c>
      <c r="B23" s="10" t="s">
        <v>752</v>
      </c>
      <c r="C23" s="31" t="s">
        <v>707</v>
      </c>
      <c r="D23" s="31"/>
      <c r="E23" s="39" t="n">
        <f aca="false">IF(C23="NONE",0,IFERROR(INDEX(rng_lessee_pd,MATCH(D23,rng_lessee_key,0)),g_pd_unrated))</f>
        <v>0</v>
      </c>
      <c r="F23" s="39" t="n">
        <f aca="false">IF(E23&lt;=0,0,NORMSDIST((NORMSINV(E23)-SQRT(g_rho_ai)*p_z_ai)/SQRT(1-g_rho_ai)))</f>
        <v>0</v>
      </c>
      <c r="G23" s="37" t="n">
        <v>0</v>
      </c>
      <c r="H23" s="37" t="n">
        <v>0</v>
      </c>
      <c r="I23" s="37" t="n">
        <v>0</v>
      </c>
      <c r="J23" s="37" t="n">
        <v>0</v>
      </c>
      <c r="K23" s="28" t="n">
        <v>0</v>
      </c>
      <c r="L23" s="37" t="n">
        <v>0</v>
      </c>
      <c r="M23" s="32" t="n">
        <v>0</v>
      </c>
      <c r="N23" s="43" t="n">
        <f aca="false">G23*(1-H23)</f>
        <v>0</v>
      </c>
      <c r="O23" s="43" t="n">
        <f aca="false">(1-p_gpu_r)^g_t_def</f>
        <v>0.2809</v>
      </c>
      <c r="P23" s="43" t="n">
        <f aca="false">IF(N23&gt;0,MAX(0,1-(1-g_c_gpu)*O23/N23)*(1-I23),0)</f>
        <v>0</v>
      </c>
      <c r="Q23" s="43" t="n">
        <f aca="false">IF(C23="GPU",F23*P23+K23*p_uw_drop,IF(C23="RCF",p_ccf_ai*F23*J23,IF(C23="DC",F23*J23+K23*p_uw_drop+M23/100,IF(C23="UNSEC",F23*J23,IF(C23="MARGIN",F23*MAX(0,G23-(1-p_oai_drop)*(1-g_c_gpu))/G23,IF(C23="ANTH",F23*(L23*0.1+(1-L23)*0.7)+p_uw_drop,0))))))</f>
        <v>0</v>
      </c>
      <c r="R23" s="44" t="n">
        <f aca="false">IF(C23="RCF",1,0)</f>
        <v>0</v>
      </c>
      <c r="S23" s="32" t="n">
        <v>20</v>
      </c>
      <c r="T23" s="40" t="n">
        <v>0</v>
      </c>
      <c r="U23" s="40" t="n">
        <v>0</v>
      </c>
      <c r="V23" s="40" t="n">
        <v>0</v>
      </c>
      <c r="W23" s="40" t="n">
        <v>0</v>
      </c>
      <c r="X23" s="40" t="n">
        <v>0</v>
      </c>
      <c r="Y23" s="40" t="n">
        <v>0</v>
      </c>
      <c r="Z23" s="40" t="n">
        <v>0</v>
      </c>
      <c r="AA23" s="40" t="n">
        <v>0</v>
      </c>
      <c r="AB23" s="40" t="n">
        <v>0</v>
      </c>
      <c r="AC23" s="40" t="n">
        <v>0</v>
      </c>
      <c r="AD23" s="40" t="n">
        <v>0</v>
      </c>
      <c r="AE23" s="40" t="n">
        <v>0</v>
      </c>
      <c r="AF23" s="40" t="n">
        <v>0</v>
      </c>
      <c r="AG23" s="40" t="n">
        <v>0</v>
      </c>
      <c r="AH23" s="40" t="n">
        <v>0</v>
      </c>
      <c r="AI23" s="40" t="n">
        <v>0</v>
      </c>
      <c r="AJ23" s="40" t="n">
        <v>0</v>
      </c>
      <c r="AK23" s="40" t="n">
        <v>0</v>
      </c>
      <c r="AL23" s="40" t="n">
        <v>0</v>
      </c>
      <c r="AM23" s="40" t="n">
        <v>0</v>
      </c>
      <c r="AN23" s="40" t="n">
        <v>0</v>
      </c>
      <c r="AO23" s="40" t="n">
        <v>0</v>
      </c>
      <c r="AP23" s="40" t="n">
        <v>0</v>
      </c>
      <c r="AQ23" s="40" t="n">
        <v>0</v>
      </c>
      <c r="AR23" s="6" t="s">
        <v>753</v>
      </c>
      <c r="AS23" s="6" t="s">
        <v>709</v>
      </c>
    </row>
    <row r="24" customFormat="false" ht="15" hidden="false" customHeight="true" outlineLevel="0" collapsed="false">
      <c r="A24" s="10" t="n">
        <v>18</v>
      </c>
      <c r="B24" s="10" t="s">
        <v>754</v>
      </c>
      <c r="C24" s="31" t="s">
        <v>707</v>
      </c>
      <c r="D24" s="31"/>
      <c r="E24" s="39" t="n">
        <f aca="false">IF(C24="NONE",0,IFERROR(INDEX(rng_lessee_pd,MATCH(D24,rng_lessee_key,0)),g_pd_unrated))</f>
        <v>0</v>
      </c>
      <c r="F24" s="39" t="n">
        <f aca="false">IF(E24&lt;=0,0,NORMSDIST((NORMSINV(E24)-SQRT(g_rho_ai)*p_z_ai)/SQRT(1-g_rho_ai)))</f>
        <v>0</v>
      </c>
      <c r="G24" s="37" t="n">
        <v>0</v>
      </c>
      <c r="H24" s="37" t="n">
        <v>0</v>
      </c>
      <c r="I24" s="37" t="n">
        <v>0</v>
      </c>
      <c r="J24" s="37" t="n">
        <v>0</v>
      </c>
      <c r="K24" s="28" t="n">
        <v>0</v>
      </c>
      <c r="L24" s="37" t="n">
        <v>0</v>
      </c>
      <c r="M24" s="32" t="n">
        <v>0</v>
      </c>
      <c r="N24" s="43" t="n">
        <f aca="false">G24*(1-H24)</f>
        <v>0</v>
      </c>
      <c r="O24" s="43" t="n">
        <f aca="false">(1-p_gpu_r)^g_t_def</f>
        <v>0.2809</v>
      </c>
      <c r="P24" s="43" t="n">
        <f aca="false">IF(N24&gt;0,MAX(0,1-(1-g_c_gpu)*O24/N24)*(1-I24),0)</f>
        <v>0</v>
      </c>
      <c r="Q24" s="43" t="n">
        <f aca="false">IF(C24="GPU",F24*P24+K24*p_uw_drop,IF(C24="RCF",p_ccf_ai*F24*J24,IF(C24="DC",F24*J24+K24*p_uw_drop+M24/100,IF(C24="UNSEC",F24*J24,IF(C24="MARGIN",F24*MAX(0,G24-(1-p_oai_drop)*(1-g_c_gpu))/G24,IF(C24="ANTH",F24*(L24*0.1+(1-L24)*0.7)+p_uw_drop,0))))))</f>
        <v>0</v>
      </c>
      <c r="R24" s="44" t="n">
        <f aca="false">IF(C24="RCF",1,0)</f>
        <v>0</v>
      </c>
      <c r="S24" s="32" t="n">
        <v>6.9</v>
      </c>
      <c r="T24" s="40" t="n">
        <v>0</v>
      </c>
      <c r="U24" s="40" t="n">
        <v>0</v>
      </c>
      <c r="V24" s="40" t="n">
        <v>0</v>
      </c>
      <c r="W24" s="40" t="n">
        <v>0</v>
      </c>
      <c r="X24" s="40" t="n">
        <v>0</v>
      </c>
      <c r="Y24" s="40" t="n">
        <v>0</v>
      </c>
      <c r="Z24" s="40" t="n">
        <v>0</v>
      </c>
      <c r="AA24" s="40" t="n">
        <v>0</v>
      </c>
      <c r="AB24" s="40" t="n">
        <v>0</v>
      </c>
      <c r="AC24" s="40" t="n">
        <v>0</v>
      </c>
      <c r="AD24" s="40" t="n">
        <v>0</v>
      </c>
      <c r="AE24" s="40" t="n">
        <v>0</v>
      </c>
      <c r="AF24" s="40" t="n">
        <v>0</v>
      </c>
      <c r="AG24" s="40" t="n">
        <v>0</v>
      </c>
      <c r="AH24" s="40" t="n">
        <v>0</v>
      </c>
      <c r="AI24" s="40" t="n">
        <v>0</v>
      </c>
      <c r="AJ24" s="40" t="n">
        <v>0</v>
      </c>
      <c r="AK24" s="40" t="n">
        <v>0</v>
      </c>
      <c r="AL24" s="40" t="n">
        <v>0</v>
      </c>
      <c r="AM24" s="40" t="n">
        <v>0</v>
      </c>
      <c r="AN24" s="40" t="n">
        <v>0</v>
      </c>
      <c r="AO24" s="40" t="n">
        <v>0</v>
      </c>
      <c r="AP24" s="40" t="n">
        <v>0</v>
      </c>
      <c r="AQ24" s="40" t="n">
        <v>0</v>
      </c>
      <c r="AR24" s="6" t="s">
        <v>755</v>
      </c>
      <c r="AS24" s="6" t="s">
        <v>709</v>
      </c>
    </row>
    <row r="25" customFormat="false" ht="15" hidden="false" customHeight="true" outlineLevel="0" collapsed="false">
      <c r="A25" s="10" t="n">
        <v>19</v>
      </c>
      <c r="B25" s="10" t="s">
        <v>756</v>
      </c>
      <c r="C25" s="31" t="s">
        <v>707</v>
      </c>
      <c r="D25" s="31"/>
      <c r="E25" s="39" t="n">
        <f aca="false">IF(C25="NONE",0,IFERROR(INDEX(rng_lessee_pd,MATCH(D25,rng_lessee_key,0)),g_pd_unrated))</f>
        <v>0</v>
      </c>
      <c r="F25" s="39" t="n">
        <f aca="false">IF(E25&lt;=0,0,NORMSDIST((NORMSINV(E25)-SQRT(g_rho_ai)*p_z_ai)/SQRT(1-g_rho_ai)))</f>
        <v>0</v>
      </c>
      <c r="G25" s="37" t="n">
        <v>0</v>
      </c>
      <c r="H25" s="37" t="n">
        <v>0</v>
      </c>
      <c r="I25" s="37" t="n">
        <v>0</v>
      </c>
      <c r="J25" s="37" t="n">
        <v>0</v>
      </c>
      <c r="K25" s="28" t="n">
        <v>0</v>
      </c>
      <c r="L25" s="37" t="n">
        <v>0</v>
      </c>
      <c r="M25" s="32" t="n">
        <v>0</v>
      </c>
      <c r="N25" s="43" t="n">
        <f aca="false">G25*(1-H25)</f>
        <v>0</v>
      </c>
      <c r="O25" s="43" t="n">
        <f aca="false">(1-p_gpu_r)^g_t_def</f>
        <v>0.2809</v>
      </c>
      <c r="P25" s="43" t="n">
        <f aca="false">IF(N25&gt;0,MAX(0,1-(1-g_c_gpu)*O25/N25)*(1-I25),0)</f>
        <v>0</v>
      </c>
      <c r="Q25" s="43" t="n">
        <f aca="false">IF(C25="GPU",F25*P25+K25*p_uw_drop,IF(C25="RCF",p_ccf_ai*F25*J25,IF(C25="DC",F25*J25+K25*p_uw_drop+M25/100,IF(C25="UNSEC",F25*J25,IF(C25="MARGIN",F25*MAX(0,G25-(1-p_oai_drop)*(1-g_c_gpu))/G25,IF(C25="ANTH",F25*(L25*0.1+(1-L25)*0.7)+p_uw_drop,0))))))</f>
        <v>0</v>
      </c>
      <c r="R25" s="44" t="n">
        <f aca="false">IF(C25="RCF",1,0)</f>
        <v>0</v>
      </c>
      <c r="S25" s="32" t="n">
        <v>40</v>
      </c>
      <c r="T25" s="40" t="n">
        <v>0</v>
      </c>
      <c r="U25" s="40" t="n">
        <v>0</v>
      </c>
      <c r="V25" s="40" t="n">
        <v>0</v>
      </c>
      <c r="W25" s="40" t="n">
        <v>0</v>
      </c>
      <c r="X25" s="40" t="n">
        <v>0</v>
      </c>
      <c r="Y25" s="40" t="n">
        <v>0</v>
      </c>
      <c r="Z25" s="40" t="n">
        <v>0</v>
      </c>
      <c r="AA25" s="40" t="n">
        <v>0</v>
      </c>
      <c r="AB25" s="40" t="n">
        <v>0</v>
      </c>
      <c r="AC25" s="40" t="n">
        <v>0</v>
      </c>
      <c r="AD25" s="40" t="n">
        <v>0</v>
      </c>
      <c r="AE25" s="40" t="n">
        <v>0</v>
      </c>
      <c r="AF25" s="40" t="n">
        <v>0</v>
      </c>
      <c r="AG25" s="40" t="n">
        <v>0</v>
      </c>
      <c r="AH25" s="40" t="n">
        <v>0</v>
      </c>
      <c r="AI25" s="40" t="n">
        <v>0</v>
      </c>
      <c r="AJ25" s="40" t="n">
        <v>0</v>
      </c>
      <c r="AK25" s="40" t="n">
        <v>0</v>
      </c>
      <c r="AL25" s="40" t="n">
        <v>0</v>
      </c>
      <c r="AM25" s="40" t="n">
        <v>0</v>
      </c>
      <c r="AN25" s="40" t="n">
        <v>0</v>
      </c>
      <c r="AO25" s="40" t="n">
        <v>0</v>
      </c>
      <c r="AP25" s="40" t="n">
        <v>0</v>
      </c>
      <c r="AQ25" s="40" t="n">
        <v>0</v>
      </c>
      <c r="AR25" s="6" t="s">
        <v>755</v>
      </c>
      <c r="AS25" s="6" t="s">
        <v>709</v>
      </c>
    </row>
    <row r="26" customFormat="false" ht="15" hidden="false" customHeight="true" outlineLevel="0" collapsed="false">
      <c r="A26" s="10" t="n">
        <v>20</v>
      </c>
      <c r="B26" s="10" t="s">
        <v>757</v>
      </c>
      <c r="C26" s="31" t="s">
        <v>707</v>
      </c>
      <c r="D26" s="31"/>
      <c r="E26" s="39" t="n">
        <f aca="false">IF(C26="NONE",0,IFERROR(INDEX(rng_lessee_pd,MATCH(D26,rng_lessee_key,0)),g_pd_unrated))</f>
        <v>0</v>
      </c>
      <c r="F26" s="39" t="n">
        <f aca="false">IF(E26&lt;=0,0,NORMSDIST((NORMSINV(E26)-SQRT(g_rho_ai)*p_z_ai)/SQRT(1-g_rho_ai)))</f>
        <v>0</v>
      </c>
      <c r="G26" s="37" t="n">
        <v>0</v>
      </c>
      <c r="H26" s="37" t="n">
        <v>0</v>
      </c>
      <c r="I26" s="37" t="n">
        <v>0</v>
      </c>
      <c r="J26" s="37" t="n">
        <v>0</v>
      </c>
      <c r="K26" s="28" t="n">
        <v>0</v>
      </c>
      <c r="L26" s="37" t="n">
        <v>0</v>
      </c>
      <c r="M26" s="32" t="n">
        <v>0</v>
      </c>
      <c r="N26" s="43" t="n">
        <f aca="false">G26*(1-H26)</f>
        <v>0</v>
      </c>
      <c r="O26" s="43" t="n">
        <f aca="false">(1-p_gpu_r)^g_t_def</f>
        <v>0.2809</v>
      </c>
      <c r="P26" s="43" t="n">
        <f aca="false">IF(N26&gt;0,MAX(0,1-(1-g_c_gpu)*O26/N26)*(1-I26),0)</f>
        <v>0</v>
      </c>
      <c r="Q26" s="43" t="n">
        <f aca="false">IF(C26="GPU",F26*P26+K26*p_uw_drop,IF(C26="RCF",p_ccf_ai*F26*J26,IF(C26="DC",F26*J26+K26*p_uw_drop+M26/100,IF(C26="UNSEC",F26*J26,IF(C26="MARGIN",F26*MAX(0,G26-(1-p_oai_drop)*(1-g_c_gpu))/G26,IF(C26="ANTH",F26*(L26*0.1+(1-L26)*0.7)+p_uw_drop,0))))))</f>
        <v>0</v>
      </c>
      <c r="R26" s="44" t="n">
        <f aca="false">IF(C26="RCF",1,0)</f>
        <v>0</v>
      </c>
      <c r="S26" s="32" t="n">
        <v>35</v>
      </c>
      <c r="T26" s="40" t="n">
        <v>0</v>
      </c>
      <c r="U26" s="40" t="n">
        <v>0</v>
      </c>
      <c r="V26" s="40" t="n">
        <v>0</v>
      </c>
      <c r="W26" s="40" t="n">
        <v>0</v>
      </c>
      <c r="X26" s="40" t="n">
        <v>0</v>
      </c>
      <c r="Y26" s="40" t="n">
        <v>0</v>
      </c>
      <c r="Z26" s="40" t="n">
        <v>0</v>
      </c>
      <c r="AA26" s="40" t="n">
        <v>0</v>
      </c>
      <c r="AB26" s="40" t="n">
        <v>0</v>
      </c>
      <c r="AC26" s="40" t="n">
        <v>0</v>
      </c>
      <c r="AD26" s="40" t="n">
        <v>0</v>
      </c>
      <c r="AE26" s="40" t="n">
        <v>0</v>
      </c>
      <c r="AF26" s="40" t="n">
        <v>0</v>
      </c>
      <c r="AG26" s="40" t="n">
        <v>0</v>
      </c>
      <c r="AH26" s="40" t="n">
        <v>0</v>
      </c>
      <c r="AI26" s="40" t="n">
        <v>0</v>
      </c>
      <c r="AJ26" s="40" t="n">
        <v>0</v>
      </c>
      <c r="AK26" s="40" t="n">
        <v>0</v>
      </c>
      <c r="AL26" s="40" t="n">
        <v>0</v>
      </c>
      <c r="AM26" s="40" t="n">
        <v>0</v>
      </c>
      <c r="AN26" s="40" t="n">
        <v>0</v>
      </c>
      <c r="AO26" s="40" t="n">
        <v>0</v>
      </c>
      <c r="AP26" s="40" t="n">
        <v>0</v>
      </c>
      <c r="AQ26" s="40" t="n">
        <v>0</v>
      </c>
      <c r="AR26" s="6" t="s">
        <v>758</v>
      </c>
      <c r="AS26" s="6" t="s">
        <v>709</v>
      </c>
    </row>
    <row r="27" customFormat="false" ht="15" hidden="false" customHeight="true" outlineLevel="0" collapsed="false">
      <c r="A27" s="10" t="n">
        <v>21</v>
      </c>
      <c r="B27" s="10" t="s">
        <v>759</v>
      </c>
      <c r="C27" s="31" t="s">
        <v>749</v>
      </c>
      <c r="D27" s="31" t="s">
        <v>749</v>
      </c>
      <c r="E27" s="39" t="n">
        <f aca="false">IF(C27="NONE",0,IFERROR(INDEX(rng_lessee_pd,MATCH(D27,rng_lessee_key,0)),g_pd_unrated))</f>
        <v>0.0805</v>
      </c>
      <c r="F27" s="39" t="n">
        <f aca="false">IF(E27&lt;=0,0,NORMSDIST((NORMSINV(E27)-SQRT(g_rho_ai)*p_z_ai)/SQRT(1-g_rho_ai)))</f>
        <v>0.484549968362634</v>
      </c>
      <c r="G27" s="38" t="n">
        <v>0</v>
      </c>
      <c r="H27" s="38" t="n">
        <v>0</v>
      </c>
      <c r="I27" s="37" t="n">
        <v>0</v>
      </c>
      <c r="J27" s="38" t="n">
        <v>0</v>
      </c>
      <c r="K27" s="28" t="n">
        <v>1</v>
      </c>
      <c r="L27" s="38" t="n">
        <v>0.823529411764706</v>
      </c>
      <c r="M27" s="32" t="n">
        <v>0</v>
      </c>
      <c r="N27" s="43" t="n">
        <f aca="false">G27*(1-H27)</f>
        <v>0</v>
      </c>
      <c r="O27" s="43" t="n">
        <f aca="false">(1-p_gpu_r)^g_t_def</f>
        <v>0.2809</v>
      </c>
      <c r="P27" s="43" t="n">
        <f aca="false">IF(N27&gt;0,MAX(0,1-(1-g_c_gpu)*O27/N27)*(1-I27),0)</f>
        <v>0</v>
      </c>
      <c r="Q27" s="43" t="n">
        <f aca="false">IF(C27="GPU",F27*P27+K27*p_uw_drop,IF(C27="RCF",p_ccf_ai*F27*J27,IF(C27="DC",F27*J27+K27*p_uw_drop+M27/100,IF(C27="UNSEC",F27*J27,IF(C27="MARGIN",F27*MAX(0,G27-(1-p_oai_drop)*(1-g_c_gpu))/G27,IF(C27="ANTH",F27*(L27*0.1+(1-L27)*0.7)+p_uw_drop,0))))))</f>
        <v>0.249760287604072</v>
      </c>
      <c r="R27" s="44" t="n">
        <f aca="false">IF(C27="RCF",1,0)</f>
        <v>0</v>
      </c>
      <c r="S27" s="32" t="n">
        <v>60</v>
      </c>
      <c r="T27" s="40" t="n">
        <v>0</v>
      </c>
      <c r="U27" s="34" t="n">
        <v>17</v>
      </c>
      <c r="V27" s="34" t="n">
        <v>17</v>
      </c>
      <c r="W27" s="40" t="n">
        <v>0</v>
      </c>
      <c r="X27" s="40" t="n">
        <v>0</v>
      </c>
      <c r="Y27" s="34" t="n">
        <v>17</v>
      </c>
      <c r="Z27" s="40" t="n">
        <v>0</v>
      </c>
      <c r="AA27" s="40" t="n">
        <v>0</v>
      </c>
      <c r="AB27" s="40" t="n">
        <v>0</v>
      </c>
      <c r="AC27" s="40" t="n">
        <v>0</v>
      </c>
      <c r="AD27" s="40" t="n">
        <v>0</v>
      </c>
      <c r="AE27" s="40" t="n">
        <v>0</v>
      </c>
      <c r="AF27" s="40" t="n">
        <v>0</v>
      </c>
      <c r="AG27" s="40" t="n">
        <v>0</v>
      </c>
      <c r="AH27" s="40" t="n">
        <v>0</v>
      </c>
      <c r="AI27" s="40" t="n">
        <v>0</v>
      </c>
      <c r="AJ27" s="40" t="n">
        <v>0</v>
      </c>
      <c r="AK27" s="40" t="n">
        <v>0</v>
      </c>
      <c r="AL27" s="40" t="n">
        <v>0</v>
      </c>
      <c r="AM27" s="40" t="n">
        <v>0</v>
      </c>
      <c r="AN27" s="40" t="n">
        <v>0</v>
      </c>
      <c r="AO27" s="40" t="n">
        <v>0</v>
      </c>
      <c r="AP27" s="40" t="n">
        <v>0</v>
      </c>
      <c r="AQ27" s="40" t="n">
        <v>0</v>
      </c>
      <c r="AR27" s="6" t="s">
        <v>760</v>
      </c>
      <c r="AS27" s="6" t="s">
        <v>761</v>
      </c>
    </row>
    <row r="28" customFormat="false" ht="15" hidden="false" customHeight="true" outlineLevel="0" collapsed="false">
      <c r="A28" s="10" t="n">
        <v>22</v>
      </c>
      <c r="B28" s="10" t="s">
        <v>762</v>
      </c>
      <c r="C28" s="31" t="s">
        <v>707</v>
      </c>
      <c r="D28" s="31"/>
      <c r="E28" s="39" t="n">
        <f aca="false">IF(C28="NONE",0,IFERROR(INDEX(rng_lessee_pd,MATCH(D28,rng_lessee_key,0)),g_pd_unrated))</f>
        <v>0</v>
      </c>
      <c r="F28" s="39" t="n">
        <f aca="false">IF(E28&lt;=0,0,NORMSDIST((NORMSINV(E28)-SQRT(g_rho_ai)*p_z_ai)/SQRT(1-g_rho_ai)))</f>
        <v>0</v>
      </c>
      <c r="G28" s="37" t="n">
        <v>0</v>
      </c>
      <c r="H28" s="37" t="n">
        <v>0</v>
      </c>
      <c r="I28" s="37" t="n">
        <v>0</v>
      </c>
      <c r="J28" s="37" t="n">
        <v>0</v>
      </c>
      <c r="K28" s="28" t="n">
        <v>0</v>
      </c>
      <c r="L28" s="37" t="n">
        <v>0</v>
      </c>
      <c r="M28" s="32" t="n">
        <v>0</v>
      </c>
      <c r="N28" s="43" t="n">
        <f aca="false">G28*(1-H28)</f>
        <v>0</v>
      </c>
      <c r="O28" s="43" t="n">
        <f aca="false">(1-p_gpu_r)^g_t_def</f>
        <v>0.2809</v>
      </c>
      <c r="P28" s="43" t="n">
        <f aca="false">IF(N28&gt;0,MAX(0,1-(1-g_c_gpu)*O28/N28)*(1-I28),0)</f>
        <v>0</v>
      </c>
      <c r="Q28" s="43" t="n">
        <f aca="false">IF(C28="GPU",F28*P28+K28*p_uw_drop,IF(C28="RCF",p_ccf_ai*F28*J28,IF(C28="DC",F28*J28+K28*p_uw_drop+M28/100,IF(C28="UNSEC",F28*J28,IF(C28="MARGIN",F28*MAX(0,G28-(1-p_oai_drop)*(1-g_c_gpu))/G28,IF(C28="ANTH",F28*(L28*0.1+(1-L28)*0.7)+p_uw_drop,0))))))</f>
        <v>0</v>
      </c>
      <c r="R28" s="44" t="n">
        <f aca="false">IF(C28="RCF",1,0)</f>
        <v>0</v>
      </c>
      <c r="S28" s="32" t="n">
        <v>42</v>
      </c>
      <c r="T28" s="40" t="n">
        <v>0</v>
      </c>
      <c r="U28" s="40" t="n">
        <v>0</v>
      </c>
      <c r="V28" s="40" t="n">
        <v>0</v>
      </c>
      <c r="W28" s="40" t="n">
        <v>0</v>
      </c>
      <c r="X28" s="40" t="n">
        <v>0</v>
      </c>
      <c r="Y28" s="40" t="n">
        <v>0</v>
      </c>
      <c r="Z28" s="40" t="n">
        <v>0</v>
      </c>
      <c r="AA28" s="40" t="n">
        <v>0</v>
      </c>
      <c r="AB28" s="40" t="n">
        <v>0</v>
      </c>
      <c r="AC28" s="40" t="n">
        <v>0</v>
      </c>
      <c r="AD28" s="40" t="n">
        <v>0</v>
      </c>
      <c r="AE28" s="40" t="n">
        <v>0</v>
      </c>
      <c r="AF28" s="40" t="n">
        <v>0</v>
      </c>
      <c r="AG28" s="40" t="n">
        <v>0</v>
      </c>
      <c r="AH28" s="40" t="n">
        <v>0</v>
      </c>
      <c r="AI28" s="40" t="n">
        <v>0</v>
      </c>
      <c r="AJ28" s="40" t="n">
        <v>0</v>
      </c>
      <c r="AK28" s="40" t="n">
        <v>0</v>
      </c>
      <c r="AL28" s="40" t="n">
        <v>0</v>
      </c>
      <c r="AM28" s="40" t="n">
        <v>0</v>
      </c>
      <c r="AN28" s="40" t="n">
        <v>0</v>
      </c>
      <c r="AO28" s="40" t="n">
        <v>0</v>
      </c>
      <c r="AP28" s="40" t="n">
        <v>0</v>
      </c>
      <c r="AQ28" s="40" t="n">
        <v>0</v>
      </c>
      <c r="AR28" s="6" t="s">
        <v>750</v>
      </c>
      <c r="AS28" s="6" t="s">
        <v>709</v>
      </c>
    </row>
    <row r="29" customFormat="false" ht="15" hidden="false" customHeight="true" outlineLevel="0" collapsed="false">
      <c r="A29" s="10" t="n">
        <v>23</v>
      </c>
      <c r="B29" s="10" t="s">
        <v>763</v>
      </c>
      <c r="C29" s="31" t="s">
        <v>727</v>
      </c>
      <c r="D29" s="31" t="s">
        <v>749</v>
      </c>
      <c r="E29" s="39" t="n">
        <f aca="false">IF(C29="NONE",0,IFERROR(INDEX(rng_lessee_pd,MATCH(D29,rng_lessee_key,0)),g_pd_unrated))</f>
        <v>0.0805</v>
      </c>
      <c r="F29" s="39" t="n">
        <f aca="false">IF(E29&lt;=0,0,NORMSDIST((NORMSINV(E29)-SQRT(g_rho_ai)*p_z_ai)/SQRT(1-g_rho_ai)))</f>
        <v>0.484549968362634</v>
      </c>
      <c r="G29" s="38" t="n">
        <v>0</v>
      </c>
      <c r="H29" s="38" t="n">
        <v>0</v>
      </c>
      <c r="I29" s="37" t="n">
        <v>0</v>
      </c>
      <c r="J29" s="38" t="n">
        <v>0.75</v>
      </c>
      <c r="K29" s="28" t="n">
        <v>0</v>
      </c>
      <c r="L29" s="38" t="n">
        <v>0</v>
      </c>
      <c r="M29" s="32" t="n">
        <v>0</v>
      </c>
      <c r="N29" s="43" t="n">
        <f aca="false">G29*(1-H29)</f>
        <v>0</v>
      </c>
      <c r="O29" s="43" t="n">
        <f aca="false">(1-p_gpu_r)^g_t_def</f>
        <v>0.2809</v>
      </c>
      <c r="P29" s="43" t="n">
        <f aca="false">IF(N29&gt;0,MAX(0,1-(1-g_c_gpu)*O29/N29)*(1-I29),0)</f>
        <v>0</v>
      </c>
      <c r="Q29" s="43" t="n">
        <f aca="false">IF(C29="GPU",F29*P29+K29*p_uw_drop,IF(C29="RCF",p_ccf_ai*F29*J29,IF(C29="DC",F29*J29+K29*p_uw_drop+M29/100,IF(C29="UNSEC",F29*J29,IF(C29="MARGIN",F29*MAX(0,G29-(1-p_oai_drop)*(1-g_c_gpu))/G29,IF(C29="ANTH",F29*(L29*0.1+(1-L29)*0.7)+p_uw_drop,0))))))</f>
        <v>0.363412476271976</v>
      </c>
      <c r="R29" s="44" t="n">
        <f aca="false">IF(C29="RCF",1,0)</f>
        <v>1</v>
      </c>
      <c r="S29" s="32" t="n">
        <v>15</v>
      </c>
      <c r="T29" s="34" t="n">
        <v>1.25</v>
      </c>
      <c r="U29" s="34" t="n">
        <v>1</v>
      </c>
      <c r="V29" s="34" t="n">
        <v>1.25</v>
      </c>
      <c r="W29" s="34" t="n">
        <v>1</v>
      </c>
      <c r="X29" s="34" t="n">
        <v>1.25</v>
      </c>
      <c r="Y29" s="34" t="n">
        <v>1.25</v>
      </c>
      <c r="Z29" s="40" t="n">
        <v>0</v>
      </c>
      <c r="AA29" s="40" t="n">
        <v>0</v>
      </c>
      <c r="AB29" s="40" t="n">
        <v>0</v>
      </c>
      <c r="AC29" s="40" t="n">
        <v>0</v>
      </c>
      <c r="AD29" s="40" t="n">
        <v>0</v>
      </c>
      <c r="AE29" s="40" t="n">
        <v>0</v>
      </c>
      <c r="AF29" s="40" t="n">
        <v>0</v>
      </c>
      <c r="AG29" s="34" t="n">
        <v>1</v>
      </c>
      <c r="AH29" s="40" t="n">
        <v>0</v>
      </c>
      <c r="AI29" s="34" t="n">
        <v>1</v>
      </c>
      <c r="AJ29" s="34" t="n">
        <v>0.625</v>
      </c>
      <c r="AK29" s="40" t="n">
        <v>0</v>
      </c>
      <c r="AL29" s="34" t="n">
        <v>0.625</v>
      </c>
      <c r="AM29" s="34" t="n">
        <v>0.625</v>
      </c>
      <c r="AN29" s="34" t="n">
        <v>0.625</v>
      </c>
      <c r="AO29" s="34" t="n">
        <v>0.625</v>
      </c>
      <c r="AP29" s="34" t="n">
        <v>1</v>
      </c>
      <c r="AQ29" s="40" t="n">
        <v>0</v>
      </c>
      <c r="AR29" s="6" t="s">
        <v>750</v>
      </c>
      <c r="AS29" s="6" t="s">
        <v>764</v>
      </c>
    </row>
    <row r="30" customFormat="false" ht="15" hidden="false" customHeight="true" outlineLevel="0" collapsed="false">
      <c r="A30" s="10" t="n">
        <v>24</v>
      </c>
      <c r="B30" s="10" t="s">
        <v>765</v>
      </c>
      <c r="C30" s="31" t="s">
        <v>766</v>
      </c>
      <c r="D30" s="31" t="s">
        <v>749</v>
      </c>
      <c r="E30" s="39" t="n">
        <f aca="false">IF(C30="NONE",0,IFERROR(INDEX(rng_lessee_pd,MATCH(D30,rng_lessee_key,0)),g_pd_unrated))</f>
        <v>0.0805</v>
      </c>
      <c r="F30" s="39" t="n">
        <f aca="false">IF(E30&lt;=0,0,NORMSDIST((NORMSINV(E30)-SQRT(g_rho_ai)*p_z_ai)/SQRT(1-g_rho_ai)))</f>
        <v>0.484549968362634</v>
      </c>
      <c r="G30" s="38" t="n">
        <v>0</v>
      </c>
      <c r="H30" s="38" t="n">
        <v>0</v>
      </c>
      <c r="I30" s="37" t="n">
        <v>0</v>
      </c>
      <c r="J30" s="38" t="n">
        <v>0.4</v>
      </c>
      <c r="K30" s="28" t="n">
        <v>1</v>
      </c>
      <c r="L30" s="38" t="n">
        <v>0</v>
      </c>
      <c r="M30" s="32" t="n">
        <v>0</v>
      </c>
      <c r="N30" s="43" t="n">
        <f aca="false">G30*(1-H30)</f>
        <v>0</v>
      </c>
      <c r="O30" s="43" t="n">
        <f aca="false">(1-p_gpu_r)^g_t_def</f>
        <v>0.2809</v>
      </c>
      <c r="P30" s="43" t="n">
        <f aca="false">IF(N30&gt;0,MAX(0,1-(1-g_c_gpu)*O30/N30)*(1-I30),0)</f>
        <v>0</v>
      </c>
      <c r="Q30" s="43" t="n">
        <f aca="false">IF(C30="GPU",F30*P30+K30*p_uw_drop,IF(C30="RCF",p_ccf_ai*F30*J30,IF(C30="DC",F30*J30+K30*p_uw_drop+M30/100,IF(C30="UNSEC",F30*J30,IF(C30="MARGIN",F30*MAX(0,G30-(1-p_oai_drop)*(1-g_c_gpu))/G30,IF(C30="ANTH",F30*(L30*0.1+(1-L30)*0.7)+p_uw_drop,0))))))</f>
        <v>0.343819987345054</v>
      </c>
      <c r="R30" s="44" t="n">
        <f aca="false">IF(C30="RCF",1,0)</f>
        <v>0</v>
      </c>
      <c r="S30" s="32" t="n">
        <v>15</v>
      </c>
      <c r="T30" s="40" t="n">
        <v>0</v>
      </c>
      <c r="U30" s="40" t="n">
        <v>0</v>
      </c>
      <c r="V30" s="40" t="n">
        <v>0</v>
      </c>
      <c r="W30" s="40" t="n">
        <v>0</v>
      </c>
      <c r="X30" s="40" t="n">
        <v>0</v>
      </c>
      <c r="Y30" s="34" t="n">
        <v>5</v>
      </c>
      <c r="Z30" s="40" t="n">
        <v>0</v>
      </c>
      <c r="AA30" s="40" t="n">
        <v>0</v>
      </c>
      <c r="AB30" s="40" t="n">
        <v>0</v>
      </c>
      <c r="AC30" s="40" t="n">
        <v>0</v>
      </c>
      <c r="AD30" s="40" t="n">
        <v>0</v>
      </c>
      <c r="AE30" s="40" t="n">
        <v>0</v>
      </c>
      <c r="AF30" s="40" t="n">
        <v>0</v>
      </c>
      <c r="AG30" s="40" t="n">
        <v>0</v>
      </c>
      <c r="AH30" s="40" t="n">
        <v>0</v>
      </c>
      <c r="AI30" s="40" t="n">
        <v>0</v>
      </c>
      <c r="AJ30" s="40" t="n">
        <v>0</v>
      </c>
      <c r="AK30" s="40" t="n">
        <v>0</v>
      </c>
      <c r="AL30" s="40" t="n">
        <v>0</v>
      </c>
      <c r="AM30" s="40" t="n">
        <v>0</v>
      </c>
      <c r="AN30" s="40" t="n">
        <v>0</v>
      </c>
      <c r="AO30" s="40" t="n">
        <v>0</v>
      </c>
      <c r="AP30" s="40" t="n">
        <v>0</v>
      </c>
      <c r="AQ30" s="40" t="n">
        <v>0</v>
      </c>
      <c r="AR30" s="6" t="s">
        <v>767</v>
      </c>
      <c r="AS30" s="6" t="s">
        <v>768</v>
      </c>
    </row>
    <row r="31" customFormat="false" ht="15" hidden="false" customHeight="true" outlineLevel="0" collapsed="false">
      <c r="A31" s="10" t="n">
        <v>25</v>
      </c>
      <c r="B31" s="10" t="s">
        <v>769</v>
      </c>
      <c r="C31" s="31" t="s">
        <v>707</v>
      </c>
      <c r="D31" s="31"/>
      <c r="E31" s="39" t="n">
        <f aca="false">IF(C31="NONE",0,IFERROR(INDEX(rng_lessee_pd,MATCH(D31,rng_lessee_key,0)),g_pd_unrated))</f>
        <v>0</v>
      </c>
      <c r="F31" s="39" t="n">
        <f aca="false">IF(E31&lt;=0,0,NORMSDIST((NORMSINV(E31)-SQRT(g_rho_ai)*p_z_ai)/SQRT(1-g_rho_ai)))</f>
        <v>0</v>
      </c>
      <c r="G31" s="37" t="n">
        <v>0</v>
      </c>
      <c r="H31" s="37" t="n">
        <v>0</v>
      </c>
      <c r="I31" s="37" t="n">
        <v>0</v>
      </c>
      <c r="J31" s="37" t="n">
        <v>0</v>
      </c>
      <c r="K31" s="28" t="n">
        <v>0</v>
      </c>
      <c r="L31" s="37" t="n">
        <v>0</v>
      </c>
      <c r="M31" s="32" t="n">
        <v>0</v>
      </c>
      <c r="N31" s="43" t="n">
        <f aca="false">G31*(1-H31)</f>
        <v>0</v>
      </c>
      <c r="O31" s="43" t="n">
        <f aca="false">(1-p_gpu_r)^g_t_def</f>
        <v>0.2809</v>
      </c>
      <c r="P31" s="43" t="n">
        <f aca="false">IF(N31&gt;0,MAX(0,1-(1-g_c_gpu)*O31/N31)*(1-I31),0)</f>
        <v>0</v>
      </c>
      <c r="Q31" s="43" t="n">
        <f aca="false">IF(C31="GPU",F31*P31+K31*p_uw_drop,IF(C31="RCF",p_ccf_ai*F31*J31,IF(C31="DC",F31*J31+K31*p_uw_drop+M31/100,IF(C31="UNSEC",F31*J31,IF(C31="MARGIN",F31*MAX(0,G31-(1-p_oai_drop)*(1-g_c_gpu))/G31,IF(C31="ANTH",F31*(L31*0.1+(1-L31)*0.7)+p_uw_drop,0))))))</f>
        <v>0</v>
      </c>
      <c r="R31" s="44" t="n">
        <f aca="false">IF(C31="RCF",1,0)</f>
        <v>0</v>
      </c>
      <c r="S31" s="32" t="n">
        <v>27.3</v>
      </c>
      <c r="T31" s="40" t="n">
        <v>0</v>
      </c>
      <c r="U31" s="40" t="n">
        <v>0</v>
      </c>
      <c r="V31" s="40" t="n">
        <v>0</v>
      </c>
      <c r="W31" s="40" t="n">
        <v>0</v>
      </c>
      <c r="X31" s="40" t="n">
        <v>0</v>
      </c>
      <c r="Y31" s="40" t="n">
        <v>0</v>
      </c>
      <c r="Z31" s="40" t="n">
        <v>0</v>
      </c>
      <c r="AA31" s="40" t="n">
        <v>0</v>
      </c>
      <c r="AB31" s="40" t="n">
        <v>0</v>
      </c>
      <c r="AC31" s="40" t="n">
        <v>0</v>
      </c>
      <c r="AD31" s="40" t="n">
        <v>0</v>
      </c>
      <c r="AE31" s="40" t="n">
        <v>0</v>
      </c>
      <c r="AF31" s="40" t="n">
        <v>0</v>
      </c>
      <c r="AG31" s="40" t="n">
        <v>0</v>
      </c>
      <c r="AH31" s="40" t="n">
        <v>0</v>
      </c>
      <c r="AI31" s="40" t="n">
        <v>0</v>
      </c>
      <c r="AJ31" s="40" t="n">
        <v>0</v>
      </c>
      <c r="AK31" s="40" t="n">
        <v>0</v>
      </c>
      <c r="AL31" s="40" t="n">
        <v>0</v>
      </c>
      <c r="AM31" s="40" t="n">
        <v>0</v>
      </c>
      <c r="AN31" s="40" t="n">
        <v>0</v>
      </c>
      <c r="AO31" s="40" t="n">
        <v>0</v>
      </c>
      <c r="AP31" s="40" t="n">
        <v>0</v>
      </c>
      <c r="AQ31" s="40" t="n">
        <v>0</v>
      </c>
      <c r="AR31" s="6" t="s">
        <v>770</v>
      </c>
      <c r="AS31" s="6" t="s">
        <v>709</v>
      </c>
    </row>
    <row r="32" customFormat="false" ht="15" hidden="false" customHeight="true" outlineLevel="0" collapsed="false">
      <c r="A32" s="10" t="n">
        <v>26</v>
      </c>
      <c r="B32" s="10" t="s">
        <v>771</v>
      </c>
      <c r="C32" s="31" t="s">
        <v>707</v>
      </c>
      <c r="D32" s="31"/>
      <c r="E32" s="39" t="n">
        <f aca="false">IF(C32="NONE",0,IFERROR(INDEX(rng_lessee_pd,MATCH(D32,rng_lessee_key,0)),g_pd_unrated))</f>
        <v>0</v>
      </c>
      <c r="F32" s="39" t="n">
        <f aca="false">IF(E32&lt;=0,0,NORMSDIST((NORMSINV(E32)-SQRT(g_rho_ai)*p_z_ai)/SQRT(1-g_rho_ai)))</f>
        <v>0</v>
      </c>
      <c r="G32" s="37" t="n">
        <v>0</v>
      </c>
      <c r="H32" s="37" t="n">
        <v>0</v>
      </c>
      <c r="I32" s="37" t="n">
        <v>0</v>
      </c>
      <c r="J32" s="37" t="n">
        <v>0</v>
      </c>
      <c r="K32" s="28" t="n">
        <v>0</v>
      </c>
      <c r="L32" s="37" t="n">
        <v>0</v>
      </c>
      <c r="M32" s="32" t="n">
        <v>0</v>
      </c>
      <c r="N32" s="43" t="n">
        <f aca="false">G32*(1-H32)</f>
        <v>0</v>
      </c>
      <c r="O32" s="43" t="n">
        <f aca="false">(1-p_gpu_r)^g_t_def</f>
        <v>0.2809</v>
      </c>
      <c r="P32" s="43" t="n">
        <f aca="false">IF(N32&gt;0,MAX(0,1-(1-g_c_gpu)*O32/N32)*(1-I32),0)</f>
        <v>0</v>
      </c>
      <c r="Q32" s="43" t="n">
        <f aca="false">IF(C32="GPU",F32*P32+K32*p_uw_drop,IF(C32="RCF",p_ccf_ai*F32*J32,IF(C32="DC",F32*J32+K32*p_uw_drop+M32/100,IF(C32="UNSEC",F32*J32,IF(C32="MARGIN",F32*MAX(0,G32-(1-p_oai_drop)*(1-g_c_gpu))/G32,IF(C32="ANTH",F32*(L32*0.1+(1-L32)*0.7)+p_uw_drop,0))))))</f>
        <v>0</v>
      </c>
      <c r="R32" s="44" t="n">
        <f aca="false">IF(C32="RCF",1,0)</f>
        <v>0</v>
      </c>
      <c r="S32" s="32" t="n">
        <v>12.3</v>
      </c>
      <c r="T32" s="40" t="n">
        <v>0</v>
      </c>
      <c r="U32" s="40" t="n">
        <v>0</v>
      </c>
      <c r="V32" s="40" t="n">
        <v>0</v>
      </c>
      <c r="W32" s="40" t="n">
        <v>0</v>
      </c>
      <c r="X32" s="40" t="n">
        <v>0</v>
      </c>
      <c r="Y32" s="40" t="n">
        <v>0</v>
      </c>
      <c r="Z32" s="40" t="n">
        <v>0</v>
      </c>
      <c r="AA32" s="40" t="n">
        <v>0</v>
      </c>
      <c r="AB32" s="40" t="n">
        <v>0</v>
      </c>
      <c r="AC32" s="40" t="n">
        <v>0</v>
      </c>
      <c r="AD32" s="40" t="n">
        <v>0</v>
      </c>
      <c r="AE32" s="40" t="n">
        <v>0</v>
      </c>
      <c r="AF32" s="40" t="n">
        <v>0</v>
      </c>
      <c r="AG32" s="40" t="n">
        <v>0</v>
      </c>
      <c r="AH32" s="40" t="n">
        <v>0</v>
      </c>
      <c r="AI32" s="40" t="n">
        <v>0</v>
      </c>
      <c r="AJ32" s="40" t="n">
        <v>0</v>
      </c>
      <c r="AK32" s="40" t="n">
        <v>0</v>
      </c>
      <c r="AL32" s="40" t="n">
        <v>0</v>
      </c>
      <c r="AM32" s="40" t="n">
        <v>0</v>
      </c>
      <c r="AN32" s="40" t="n">
        <v>0</v>
      </c>
      <c r="AO32" s="40" t="n">
        <v>0</v>
      </c>
      <c r="AP32" s="40" t="n">
        <v>0</v>
      </c>
      <c r="AQ32" s="40" t="n">
        <v>0</v>
      </c>
      <c r="AR32" s="6" t="s">
        <v>772</v>
      </c>
      <c r="AS32" s="6" t="s">
        <v>709</v>
      </c>
    </row>
    <row r="33" customFormat="false" ht="15" hidden="false" customHeight="true" outlineLevel="0" collapsed="false">
      <c r="A33" s="10" t="n">
        <v>27</v>
      </c>
      <c r="B33" s="10" t="s">
        <v>773</v>
      </c>
      <c r="C33" s="31" t="s">
        <v>766</v>
      </c>
      <c r="D33" s="31" t="s">
        <v>774</v>
      </c>
      <c r="E33" s="39" t="n">
        <f aca="false">IF(C33="NONE",0,IFERROR(INDEX(rng_lessee_pd,MATCH(D33,rng_lessee_key,0)),g_pd_unrated))</f>
        <v>0.0117</v>
      </c>
      <c r="F33" s="39" t="n">
        <f aca="false">IF(E33&lt;=0,0,NORMSDIST((NORMSINV(E33)-SQRT(g_rho_ai)*p_z_ai)/SQRT(1-g_rho_ai)))</f>
        <v>0.141689882760721</v>
      </c>
      <c r="G33" s="38" t="n">
        <v>0</v>
      </c>
      <c r="H33" s="38" t="n">
        <v>0</v>
      </c>
      <c r="I33" s="37" t="n">
        <v>0</v>
      </c>
      <c r="J33" s="38" t="n">
        <v>0.35</v>
      </c>
      <c r="K33" s="28" t="n">
        <v>0</v>
      </c>
      <c r="L33" s="38" t="n">
        <v>0</v>
      </c>
      <c r="M33" s="32" t="n">
        <v>0</v>
      </c>
      <c r="N33" s="43" t="n">
        <f aca="false">G33*(1-H33)</f>
        <v>0</v>
      </c>
      <c r="O33" s="43" t="n">
        <f aca="false">(1-p_gpu_r)^g_t_def</f>
        <v>0.2809</v>
      </c>
      <c r="P33" s="43" t="n">
        <f aca="false">IF(N33&gt;0,MAX(0,1-(1-g_c_gpu)*O33/N33)*(1-I33),0)</f>
        <v>0</v>
      </c>
      <c r="Q33" s="43" t="n">
        <f aca="false">IF(C33="GPU",F33*P33+K33*p_uw_drop,IF(C33="RCF",p_ccf_ai*F33*J33,IF(C33="DC",F33*J33+K33*p_uw_drop+M33/100,IF(C33="UNSEC",F33*J33,IF(C33="MARGIN",F33*MAX(0,G33-(1-p_oai_drop)*(1-g_c_gpu))/G33,IF(C33="ANTH",F33*(L33*0.1+(1-L33)*0.7)+p_uw_drop,0))))))</f>
        <v>0.0495914589662525</v>
      </c>
      <c r="R33" s="44" t="n">
        <f aca="false">IF(C33="RCF",1,0)</f>
        <v>0</v>
      </c>
      <c r="S33" s="32" t="n">
        <v>38</v>
      </c>
      <c r="T33" s="34" t="n">
        <v>1.45</v>
      </c>
      <c r="U33" s="40" t="n">
        <v>0</v>
      </c>
      <c r="V33" s="40" t="n">
        <v>0</v>
      </c>
      <c r="W33" s="40" t="n">
        <v>0</v>
      </c>
      <c r="X33" s="40" t="n">
        <v>0</v>
      </c>
      <c r="Y33" s="40" t="n">
        <v>0</v>
      </c>
      <c r="Z33" s="40" t="n">
        <v>0</v>
      </c>
      <c r="AA33" s="40" t="n">
        <v>0</v>
      </c>
      <c r="AB33" s="40" t="n">
        <v>0</v>
      </c>
      <c r="AC33" s="40" t="n">
        <v>0</v>
      </c>
      <c r="AD33" s="40" t="n">
        <v>0</v>
      </c>
      <c r="AE33" s="40" t="n">
        <v>0</v>
      </c>
      <c r="AF33" s="40" t="n">
        <v>0</v>
      </c>
      <c r="AG33" s="40" t="n">
        <v>0</v>
      </c>
      <c r="AH33" s="40" t="n">
        <v>0</v>
      </c>
      <c r="AI33" s="40" t="n">
        <v>0</v>
      </c>
      <c r="AJ33" s="40" t="n">
        <v>0</v>
      </c>
      <c r="AK33" s="40" t="n">
        <v>0</v>
      </c>
      <c r="AL33" s="40" t="n">
        <v>0</v>
      </c>
      <c r="AM33" s="34" t="n">
        <v>1.45</v>
      </c>
      <c r="AN33" s="40" t="n">
        <v>0</v>
      </c>
      <c r="AO33" s="40" t="n">
        <v>0</v>
      </c>
      <c r="AP33" s="40" t="n">
        <v>0</v>
      </c>
      <c r="AQ33" s="40" t="n">
        <v>0</v>
      </c>
      <c r="AR33" s="6" t="s">
        <v>775</v>
      </c>
      <c r="AS33" s="6" t="s">
        <v>776</v>
      </c>
    </row>
    <row r="34" customFormat="false" ht="15" hidden="false" customHeight="true" outlineLevel="0" collapsed="false">
      <c r="A34" s="10" t="n">
        <v>28</v>
      </c>
      <c r="B34" s="10" t="s">
        <v>777</v>
      </c>
      <c r="C34" s="31" t="s">
        <v>766</v>
      </c>
      <c r="D34" s="31" t="s">
        <v>774</v>
      </c>
      <c r="E34" s="39" t="n">
        <f aca="false">IF(C34="NONE",0,IFERROR(INDEX(rng_lessee_pd,MATCH(D34,rng_lessee_key,0)),g_pd_unrated))</f>
        <v>0.0117</v>
      </c>
      <c r="F34" s="39" t="n">
        <f aca="false">IF(E34&lt;=0,0,NORMSDIST((NORMSINV(E34)-SQRT(g_rho_ai)*p_z_ai)/SQRT(1-g_rho_ai)))</f>
        <v>0.141689882760721</v>
      </c>
      <c r="G34" s="38" t="n">
        <v>0</v>
      </c>
      <c r="H34" s="38" t="n">
        <v>0</v>
      </c>
      <c r="I34" s="37" t="n">
        <v>0</v>
      </c>
      <c r="J34" s="38" t="n">
        <v>0.35</v>
      </c>
      <c r="K34" s="28" t="n">
        <v>1</v>
      </c>
      <c r="L34" s="38" t="n">
        <v>0</v>
      </c>
      <c r="M34" s="32" t="n">
        <v>10</v>
      </c>
      <c r="N34" s="43" t="n">
        <f aca="false">G34*(1-H34)</f>
        <v>0</v>
      </c>
      <c r="O34" s="43" t="n">
        <f aca="false">(1-p_gpu_r)^g_t_def</f>
        <v>0.2809</v>
      </c>
      <c r="P34" s="43" t="n">
        <f aca="false">IF(N34&gt;0,MAX(0,1-(1-g_c_gpu)*O34/N34)*(1-I34),0)</f>
        <v>0</v>
      </c>
      <c r="Q34" s="43" t="n">
        <f aca="false">IF(C34="GPU",F34*P34+K34*p_uw_drop,IF(C34="RCF",p_ccf_ai*F34*J34,IF(C34="DC",F34*J34+K34*p_uw_drop+M34/100,IF(C34="UNSEC",F34*J34,IF(C34="MARGIN",F34*MAX(0,G34-(1-p_oai_drop)*(1-g_c_gpu))/G34,IF(C34="ANTH",F34*(L34*0.1+(1-L34)*0.7)+p_uw_drop,0))))))</f>
        <v>0.299591458966253</v>
      </c>
      <c r="R34" s="44" t="n">
        <f aca="false">IF(C34="RCF",1,0)</f>
        <v>0</v>
      </c>
      <c r="S34" s="32" t="n">
        <v>18</v>
      </c>
      <c r="T34" s="40" t="n">
        <v>0</v>
      </c>
      <c r="U34" s="40" t="n">
        <v>0</v>
      </c>
      <c r="V34" s="40" t="n">
        <v>0</v>
      </c>
      <c r="W34" s="40" t="n">
        <v>0</v>
      </c>
      <c r="X34" s="34" t="n">
        <v>1.5</v>
      </c>
      <c r="Y34" s="40" t="n">
        <v>0</v>
      </c>
      <c r="Z34" s="40" t="n">
        <v>0</v>
      </c>
      <c r="AA34" s="40" t="n">
        <v>0</v>
      </c>
      <c r="AB34" s="40" t="n">
        <v>0</v>
      </c>
      <c r="AC34" s="40" t="n">
        <v>0</v>
      </c>
      <c r="AD34" s="40" t="n">
        <v>0</v>
      </c>
      <c r="AE34" s="40" t="n">
        <v>0</v>
      </c>
      <c r="AF34" s="40" t="n">
        <v>0</v>
      </c>
      <c r="AG34" s="40" t="n">
        <v>0</v>
      </c>
      <c r="AH34" s="40" t="n">
        <v>0</v>
      </c>
      <c r="AI34" s="40" t="n">
        <v>0</v>
      </c>
      <c r="AJ34" s="34" t="n">
        <v>1.5</v>
      </c>
      <c r="AK34" s="40" t="n">
        <v>0</v>
      </c>
      <c r="AL34" s="40" t="n">
        <v>0</v>
      </c>
      <c r="AM34" s="34" t="n">
        <v>1.5</v>
      </c>
      <c r="AN34" s="34" t="n">
        <v>1.5</v>
      </c>
      <c r="AO34" s="40" t="n">
        <v>0</v>
      </c>
      <c r="AP34" s="40" t="n">
        <v>0</v>
      </c>
      <c r="AQ34" s="34" t="n">
        <v>0.75</v>
      </c>
      <c r="AR34" s="6" t="s">
        <v>775</v>
      </c>
      <c r="AS34" s="6" t="s">
        <v>778</v>
      </c>
    </row>
    <row r="35" customFormat="false" ht="15" hidden="false" customHeight="true" outlineLevel="0" collapsed="false">
      <c r="A35" s="10" t="n">
        <v>29</v>
      </c>
      <c r="B35" s="10" t="s">
        <v>779</v>
      </c>
      <c r="C35" s="31" t="s">
        <v>766</v>
      </c>
      <c r="D35" s="31" t="s">
        <v>774</v>
      </c>
      <c r="E35" s="39" t="n">
        <f aca="false">IF(C35="NONE",0,IFERROR(INDEX(rng_lessee_pd,MATCH(D35,rng_lessee_key,0)),g_pd_unrated))</f>
        <v>0.0117</v>
      </c>
      <c r="F35" s="39" t="n">
        <f aca="false">IF(E35&lt;=0,0,NORMSDIST((NORMSINV(E35)-SQRT(g_rho_ai)*p_z_ai)/SQRT(1-g_rho_ai)))</f>
        <v>0.141689882760721</v>
      </c>
      <c r="G35" s="38" t="n">
        <v>0</v>
      </c>
      <c r="H35" s="38" t="n">
        <v>0</v>
      </c>
      <c r="I35" s="37" t="n">
        <v>0</v>
      </c>
      <c r="J35" s="38" t="n">
        <v>0.35</v>
      </c>
      <c r="K35" s="28" t="n">
        <v>0</v>
      </c>
      <c r="L35" s="38" t="n">
        <v>0</v>
      </c>
      <c r="M35" s="32" t="n">
        <v>0</v>
      </c>
      <c r="N35" s="43" t="n">
        <f aca="false">G35*(1-H35)</f>
        <v>0</v>
      </c>
      <c r="O35" s="43" t="n">
        <f aca="false">(1-p_gpu_r)^g_t_def</f>
        <v>0.2809</v>
      </c>
      <c r="P35" s="43" t="n">
        <f aca="false">IF(N35&gt;0,MAX(0,1-(1-g_c_gpu)*O35/N35)*(1-I35),0)</f>
        <v>0</v>
      </c>
      <c r="Q35" s="43" t="n">
        <f aca="false">IF(C35="GPU",F35*P35+K35*p_uw_drop,IF(C35="RCF",p_ccf_ai*F35*J35,IF(C35="DC",F35*J35+K35*p_uw_drop+M35/100,IF(C35="UNSEC",F35*J35,IF(C35="MARGIN",F35*MAX(0,G35-(1-p_oai_drop)*(1-g_c_gpu))/G35,IF(C35="ANTH",F35*(L35*0.1+(1-L35)*0.7)+p_uw_drop,0))))))</f>
        <v>0.0495914589662525</v>
      </c>
      <c r="R35" s="44" t="n">
        <f aca="false">IF(C35="RCF",1,0)</f>
        <v>0</v>
      </c>
      <c r="S35" s="32" t="n">
        <v>9.4</v>
      </c>
      <c r="T35" s="34" t="n">
        <v>4.075</v>
      </c>
      <c r="U35" s="40" t="n">
        <v>0</v>
      </c>
      <c r="V35" s="40" t="n">
        <v>0</v>
      </c>
      <c r="W35" s="40" t="n">
        <v>0</v>
      </c>
      <c r="X35" s="40" t="n">
        <v>0</v>
      </c>
      <c r="Y35" s="40" t="n">
        <v>0</v>
      </c>
      <c r="Z35" s="40" t="n">
        <v>0</v>
      </c>
      <c r="AA35" s="40" t="n">
        <v>0</v>
      </c>
      <c r="AB35" s="40" t="n">
        <v>0</v>
      </c>
      <c r="AC35" s="40" t="n">
        <v>0</v>
      </c>
      <c r="AD35" s="40" t="n">
        <v>0</v>
      </c>
      <c r="AE35" s="40" t="n">
        <v>0</v>
      </c>
      <c r="AF35" s="40" t="n">
        <v>0</v>
      </c>
      <c r="AG35" s="40" t="n">
        <v>0</v>
      </c>
      <c r="AH35" s="40" t="n">
        <v>0</v>
      </c>
      <c r="AI35" s="40" t="n">
        <v>0</v>
      </c>
      <c r="AJ35" s="40" t="n">
        <v>0</v>
      </c>
      <c r="AK35" s="40" t="n">
        <v>0</v>
      </c>
      <c r="AL35" s="40" t="n">
        <v>0</v>
      </c>
      <c r="AM35" s="40" t="n">
        <v>0</v>
      </c>
      <c r="AN35" s="40" t="n">
        <v>0</v>
      </c>
      <c r="AO35" s="40" t="n">
        <v>0</v>
      </c>
      <c r="AP35" s="40" t="n">
        <v>0</v>
      </c>
      <c r="AQ35" s="40" t="n">
        <v>0</v>
      </c>
      <c r="AR35" s="6" t="s">
        <v>775</v>
      </c>
      <c r="AS35" s="6" t="s">
        <v>780</v>
      </c>
    </row>
    <row r="36" customFormat="false" ht="15" hidden="false" customHeight="true" outlineLevel="0" collapsed="false">
      <c r="A36" s="10" t="n">
        <v>30</v>
      </c>
      <c r="B36" s="10" t="s">
        <v>781</v>
      </c>
      <c r="C36" s="31" t="s">
        <v>707</v>
      </c>
      <c r="D36" s="31"/>
      <c r="E36" s="39" t="n">
        <f aca="false">IF(C36="NONE",0,IFERROR(INDEX(rng_lessee_pd,MATCH(D36,rng_lessee_key,0)),g_pd_unrated))</f>
        <v>0</v>
      </c>
      <c r="F36" s="39" t="n">
        <f aca="false">IF(E36&lt;=0,0,NORMSDIST((NORMSINV(E36)-SQRT(g_rho_ai)*p_z_ai)/SQRT(1-g_rho_ai)))</f>
        <v>0</v>
      </c>
      <c r="G36" s="37" t="n">
        <v>0</v>
      </c>
      <c r="H36" s="37" t="n">
        <v>0</v>
      </c>
      <c r="I36" s="37" t="n">
        <v>0</v>
      </c>
      <c r="J36" s="37" t="n">
        <v>0</v>
      </c>
      <c r="K36" s="28" t="n">
        <v>0</v>
      </c>
      <c r="L36" s="37" t="n">
        <v>0</v>
      </c>
      <c r="M36" s="32" t="n">
        <v>0</v>
      </c>
      <c r="N36" s="43" t="n">
        <f aca="false">G36*(1-H36)</f>
        <v>0</v>
      </c>
      <c r="O36" s="43" t="n">
        <f aca="false">(1-p_gpu_r)^g_t_def</f>
        <v>0.2809</v>
      </c>
      <c r="P36" s="43" t="n">
        <f aca="false">IF(N36&gt;0,MAX(0,1-(1-g_c_gpu)*O36/N36)*(1-I36),0)</f>
        <v>0</v>
      </c>
      <c r="Q36" s="43" t="n">
        <f aca="false">IF(C36="GPU",F36*P36+K36*p_uw_drop,IF(C36="RCF",p_ccf_ai*F36*J36,IF(C36="DC",F36*J36+K36*p_uw_drop+M36/100,IF(C36="UNSEC",F36*J36,IF(C36="MARGIN",F36*MAX(0,G36-(1-p_oai_drop)*(1-g_c_gpu))/G36,IF(C36="ANTH",F36*(L36*0.1+(1-L36)*0.7)+p_uw_drop,0))))))</f>
        <v>0</v>
      </c>
      <c r="R36" s="44" t="n">
        <f aca="false">IF(C36="RCF",1,0)</f>
        <v>0</v>
      </c>
      <c r="S36" s="32" t="n">
        <v>16.3</v>
      </c>
      <c r="T36" s="40" t="n">
        <v>0</v>
      </c>
      <c r="U36" s="40" t="n">
        <v>0</v>
      </c>
      <c r="V36" s="40" t="n">
        <v>0</v>
      </c>
      <c r="W36" s="40" t="n">
        <v>0</v>
      </c>
      <c r="X36" s="40" t="n">
        <v>0</v>
      </c>
      <c r="Y36" s="40" t="n">
        <v>0</v>
      </c>
      <c r="Z36" s="40" t="n">
        <v>0</v>
      </c>
      <c r="AA36" s="40" t="n">
        <v>0</v>
      </c>
      <c r="AB36" s="40" t="n">
        <v>0</v>
      </c>
      <c r="AC36" s="40" t="n">
        <v>0</v>
      </c>
      <c r="AD36" s="40" t="n">
        <v>0</v>
      </c>
      <c r="AE36" s="40" t="n">
        <v>0</v>
      </c>
      <c r="AF36" s="40" t="n">
        <v>0</v>
      </c>
      <c r="AG36" s="40" t="n">
        <v>0</v>
      </c>
      <c r="AH36" s="40" t="n">
        <v>0</v>
      </c>
      <c r="AI36" s="40" t="n">
        <v>0</v>
      </c>
      <c r="AJ36" s="40" t="n">
        <v>0</v>
      </c>
      <c r="AK36" s="40" t="n">
        <v>0</v>
      </c>
      <c r="AL36" s="40" t="n">
        <v>0</v>
      </c>
      <c r="AM36" s="40" t="n">
        <v>0</v>
      </c>
      <c r="AN36" s="40" t="n">
        <v>0</v>
      </c>
      <c r="AO36" s="40" t="n">
        <v>0</v>
      </c>
      <c r="AP36" s="40" t="n">
        <v>0</v>
      </c>
      <c r="AQ36" s="40" t="n">
        <v>0</v>
      </c>
      <c r="AR36" s="6" t="s">
        <v>775</v>
      </c>
      <c r="AS36" s="6" t="s">
        <v>709</v>
      </c>
    </row>
    <row r="37" customFormat="false" ht="15" hidden="false" customHeight="true" outlineLevel="0" collapsed="false">
      <c r="A37" s="10" t="n">
        <v>31</v>
      </c>
      <c r="B37" s="10" t="s">
        <v>782</v>
      </c>
      <c r="C37" s="31" t="s">
        <v>707</v>
      </c>
      <c r="D37" s="31"/>
      <c r="E37" s="39" t="n">
        <f aca="false">IF(C37="NONE",0,IFERROR(INDEX(rng_lessee_pd,MATCH(D37,rng_lessee_key,0)),g_pd_unrated))</f>
        <v>0</v>
      </c>
      <c r="F37" s="39" t="n">
        <f aca="false">IF(E37&lt;=0,0,NORMSDIST((NORMSINV(E37)-SQRT(g_rho_ai)*p_z_ai)/SQRT(1-g_rho_ai)))</f>
        <v>0</v>
      </c>
      <c r="G37" s="37" t="n">
        <v>0</v>
      </c>
      <c r="H37" s="37" t="n">
        <v>0</v>
      </c>
      <c r="I37" s="37" t="n">
        <v>0</v>
      </c>
      <c r="J37" s="37" t="n">
        <v>0</v>
      </c>
      <c r="K37" s="28" t="n">
        <v>0</v>
      </c>
      <c r="L37" s="37" t="n">
        <v>0</v>
      </c>
      <c r="M37" s="32" t="n">
        <v>0</v>
      </c>
      <c r="N37" s="43" t="n">
        <f aca="false">G37*(1-H37)</f>
        <v>0</v>
      </c>
      <c r="O37" s="43" t="n">
        <f aca="false">(1-p_gpu_r)^g_t_def</f>
        <v>0.2809</v>
      </c>
      <c r="P37" s="43" t="n">
        <f aca="false">IF(N37&gt;0,MAX(0,1-(1-g_c_gpu)*O37/N37)*(1-I37),0)</f>
        <v>0</v>
      </c>
      <c r="Q37" s="43" t="n">
        <f aca="false">IF(C37="GPU",F37*P37+K37*p_uw_drop,IF(C37="RCF",p_ccf_ai*F37*J37,IF(C37="DC",F37*J37+K37*p_uw_drop+M37/100,IF(C37="UNSEC",F37*J37,IF(C37="MARGIN",F37*MAX(0,G37-(1-p_oai_drop)*(1-g_c_gpu))/G37,IF(C37="ANTH",F37*(L37*0.1+(1-L37)*0.7)+p_uw_drop,0))))))</f>
        <v>0</v>
      </c>
      <c r="R37" s="44" t="n">
        <f aca="false">IF(C37="RCF",1,0)</f>
        <v>0</v>
      </c>
      <c r="S37" s="32" t="n">
        <v>105</v>
      </c>
      <c r="T37" s="40" t="n">
        <v>0</v>
      </c>
      <c r="U37" s="40" t="n">
        <v>0</v>
      </c>
      <c r="V37" s="40" t="n">
        <v>0</v>
      </c>
      <c r="W37" s="40" t="n">
        <v>0</v>
      </c>
      <c r="X37" s="40" t="n">
        <v>0</v>
      </c>
      <c r="Y37" s="40" t="n">
        <v>0</v>
      </c>
      <c r="Z37" s="40" t="n">
        <v>0</v>
      </c>
      <c r="AA37" s="40" t="n">
        <v>0</v>
      </c>
      <c r="AB37" s="40" t="n">
        <v>0</v>
      </c>
      <c r="AC37" s="40" t="n">
        <v>0</v>
      </c>
      <c r="AD37" s="40" t="n">
        <v>0</v>
      </c>
      <c r="AE37" s="40" t="n">
        <v>0</v>
      </c>
      <c r="AF37" s="40" t="n">
        <v>0</v>
      </c>
      <c r="AG37" s="40" t="n">
        <v>0</v>
      </c>
      <c r="AH37" s="40" t="n">
        <v>0</v>
      </c>
      <c r="AI37" s="40" t="n">
        <v>0</v>
      </c>
      <c r="AJ37" s="40" t="n">
        <v>0</v>
      </c>
      <c r="AK37" s="40" t="n">
        <v>0</v>
      </c>
      <c r="AL37" s="40" t="n">
        <v>0</v>
      </c>
      <c r="AM37" s="40" t="n">
        <v>0</v>
      </c>
      <c r="AN37" s="40" t="n">
        <v>0</v>
      </c>
      <c r="AO37" s="40" t="n">
        <v>0</v>
      </c>
      <c r="AP37" s="40" t="n">
        <v>0</v>
      </c>
      <c r="AQ37" s="40" t="n">
        <v>0</v>
      </c>
      <c r="AR37" s="6" t="s">
        <v>783</v>
      </c>
      <c r="AS37" s="6" t="s">
        <v>709</v>
      </c>
    </row>
    <row r="38" customFormat="false" ht="15" hidden="false" customHeight="true" outlineLevel="0" collapsed="false">
      <c r="A38" s="10" t="n">
        <v>32</v>
      </c>
      <c r="B38" s="10" t="s">
        <v>784</v>
      </c>
      <c r="C38" s="31" t="s">
        <v>707</v>
      </c>
      <c r="D38" s="31"/>
      <c r="E38" s="39" t="n">
        <f aca="false">IF(C38="NONE",0,IFERROR(INDEX(rng_lessee_pd,MATCH(D38,rng_lessee_key,0)),g_pd_unrated))</f>
        <v>0</v>
      </c>
      <c r="F38" s="39" t="n">
        <f aca="false">IF(E38&lt;=0,0,NORMSDIST((NORMSINV(E38)-SQRT(g_rho_ai)*p_z_ai)/SQRT(1-g_rho_ai)))</f>
        <v>0</v>
      </c>
      <c r="G38" s="37" t="n">
        <v>0</v>
      </c>
      <c r="H38" s="37" t="n">
        <v>0</v>
      </c>
      <c r="I38" s="37" t="n">
        <v>0</v>
      </c>
      <c r="J38" s="37" t="n">
        <v>0</v>
      </c>
      <c r="K38" s="28" t="n">
        <v>0</v>
      </c>
      <c r="L38" s="37" t="n">
        <v>0</v>
      </c>
      <c r="M38" s="32" t="n">
        <v>0</v>
      </c>
      <c r="N38" s="43" t="n">
        <f aca="false">G38*(1-H38)</f>
        <v>0</v>
      </c>
      <c r="O38" s="43" t="n">
        <f aca="false">(1-p_gpu_r)^g_t_def</f>
        <v>0.2809</v>
      </c>
      <c r="P38" s="43" t="n">
        <f aca="false">IF(N38&gt;0,MAX(0,1-(1-g_c_gpu)*O38/N38)*(1-I38),0)</f>
        <v>0</v>
      </c>
      <c r="Q38" s="43" t="n">
        <f aca="false">IF(C38="GPU",F38*P38+K38*p_uw_drop,IF(C38="RCF",p_ccf_ai*F38*J38,IF(C38="DC",F38*J38+K38*p_uw_drop+M38/100,IF(C38="UNSEC",F38*J38,IF(C38="MARGIN",F38*MAX(0,G38-(1-p_oai_drop)*(1-g_c_gpu))/G38,IF(C38="ANTH",F38*(L38*0.1+(1-L38)*0.7)+p_uw_drop,0))))))</f>
        <v>0</v>
      </c>
      <c r="R38" s="44" t="n">
        <f aca="false">IF(C38="RCF",1,0)</f>
        <v>0</v>
      </c>
      <c r="S38" s="32" t="n">
        <v>3.2</v>
      </c>
      <c r="T38" s="40" t="n">
        <v>0</v>
      </c>
      <c r="U38" s="40" t="n">
        <v>0</v>
      </c>
      <c r="V38" s="40" t="n">
        <v>0</v>
      </c>
      <c r="W38" s="40" t="n">
        <v>0</v>
      </c>
      <c r="X38" s="40" t="n">
        <v>0</v>
      </c>
      <c r="Y38" s="40" t="n">
        <v>0</v>
      </c>
      <c r="Z38" s="40" t="n">
        <v>0</v>
      </c>
      <c r="AA38" s="40" t="n">
        <v>0</v>
      </c>
      <c r="AB38" s="40" t="n">
        <v>0</v>
      </c>
      <c r="AC38" s="40" t="n">
        <v>0</v>
      </c>
      <c r="AD38" s="40" t="n">
        <v>0</v>
      </c>
      <c r="AE38" s="40" t="n">
        <v>0</v>
      </c>
      <c r="AF38" s="40" t="n">
        <v>0</v>
      </c>
      <c r="AG38" s="40" t="n">
        <v>0</v>
      </c>
      <c r="AH38" s="40" t="n">
        <v>0</v>
      </c>
      <c r="AI38" s="40" t="n">
        <v>0</v>
      </c>
      <c r="AJ38" s="40" t="n">
        <v>0</v>
      </c>
      <c r="AK38" s="40" t="n">
        <v>0</v>
      </c>
      <c r="AL38" s="40" t="n">
        <v>0</v>
      </c>
      <c r="AM38" s="40" t="n">
        <v>0</v>
      </c>
      <c r="AN38" s="40" t="n">
        <v>0</v>
      </c>
      <c r="AO38" s="40" t="n">
        <v>0</v>
      </c>
      <c r="AP38" s="40" t="n">
        <v>0</v>
      </c>
      <c r="AQ38" s="40" t="n">
        <v>0</v>
      </c>
      <c r="AR38" s="6" t="s">
        <v>785</v>
      </c>
      <c r="AS38" s="6" t="s">
        <v>709</v>
      </c>
    </row>
    <row r="39" customFormat="false" ht="15" hidden="false" customHeight="true" outlineLevel="0" collapsed="false">
      <c r="A39" s="10" t="n">
        <v>33</v>
      </c>
      <c r="B39" s="10" t="s">
        <v>786</v>
      </c>
      <c r="C39" s="31" t="s">
        <v>707</v>
      </c>
      <c r="D39" s="31"/>
      <c r="E39" s="39" t="n">
        <f aca="false">IF(C39="NONE",0,IFERROR(INDEX(rng_lessee_pd,MATCH(D39,rng_lessee_key,0)),g_pd_unrated))</f>
        <v>0</v>
      </c>
      <c r="F39" s="39" t="n">
        <f aca="false">IF(E39&lt;=0,0,NORMSDIST((NORMSINV(E39)-SQRT(g_rho_ai)*p_z_ai)/SQRT(1-g_rho_ai)))</f>
        <v>0</v>
      </c>
      <c r="G39" s="37" t="n">
        <v>0</v>
      </c>
      <c r="H39" s="37" t="n">
        <v>0</v>
      </c>
      <c r="I39" s="37" t="n">
        <v>0</v>
      </c>
      <c r="J39" s="37" t="n">
        <v>0</v>
      </c>
      <c r="K39" s="28" t="n">
        <v>0</v>
      </c>
      <c r="L39" s="37" t="n">
        <v>0</v>
      </c>
      <c r="M39" s="32" t="n">
        <v>0</v>
      </c>
      <c r="N39" s="43" t="n">
        <f aca="false">G39*(1-H39)</f>
        <v>0</v>
      </c>
      <c r="O39" s="43" t="n">
        <f aca="false">(1-p_gpu_r)^g_t_def</f>
        <v>0.2809</v>
      </c>
      <c r="P39" s="43" t="n">
        <f aca="false">IF(N39&gt;0,MAX(0,1-(1-g_c_gpu)*O39/N39)*(1-I39),0)</f>
        <v>0</v>
      </c>
      <c r="Q39" s="43" t="n">
        <f aca="false">IF(C39="GPU",F39*P39+K39*p_uw_drop,IF(C39="RCF",p_ccf_ai*F39*J39,IF(C39="DC",F39*J39+K39*p_uw_drop+M39/100,IF(C39="UNSEC",F39*J39,IF(C39="MARGIN",F39*MAX(0,G39-(1-p_oai_drop)*(1-g_c_gpu))/G39,IF(C39="ANTH",F39*(L39*0.1+(1-L39)*0.7)+p_uw_drop,0))))))</f>
        <v>0</v>
      </c>
      <c r="R39" s="44" t="n">
        <f aca="false">IF(C39="RCF",1,0)</f>
        <v>0</v>
      </c>
      <c r="S39" s="32" t="n">
        <v>3.8</v>
      </c>
      <c r="T39" s="40" t="n">
        <v>0</v>
      </c>
      <c r="U39" s="40" t="n">
        <v>0</v>
      </c>
      <c r="V39" s="40" t="n">
        <v>0</v>
      </c>
      <c r="W39" s="40" t="n">
        <v>0</v>
      </c>
      <c r="X39" s="40" t="n">
        <v>0</v>
      </c>
      <c r="Y39" s="40" t="n">
        <v>0</v>
      </c>
      <c r="Z39" s="40" t="n">
        <v>0</v>
      </c>
      <c r="AA39" s="40" t="n">
        <v>0</v>
      </c>
      <c r="AB39" s="40" t="n">
        <v>0</v>
      </c>
      <c r="AC39" s="40" t="n">
        <v>0</v>
      </c>
      <c r="AD39" s="40" t="n">
        <v>0</v>
      </c>
      <c r="AE39" s="40" t="n">
        <v>0</v>
      </c>
      <c r="AF39" s="40" t="n">
        <v>0</v>
      </c>
      <c r="AG39" s="40" t="n">
        <v>0</v>
      </c>
      <c r="AH39" s="40" t="n">
        <v>0</v>
      </c>
      <c r="AI39" s="40" t="n">
        <v>0</v>
      </c>
      <c r="AJ39" s="40" t="n">
        <v>0</v>
      </c>
      <c r="AK39" s="40" t="n">
        <v>0</v>
      </c>
      <c r="AL39" s="40" t="n">
        <v>0</v>
      </c>
      <c r="AM39" s="40" t="n">
        <v>0</v>
      </c>
      <c r="AN39" s="40" t="n">
        <v>0</v>
      </c>
      <c r="AO39" s="40" t="n">
        <v>0</v>
      </c>
      <c r="AP39" s="40" t="n">
        <v>0</v>
      </c>
      <c r="AQ39" s="40" t="n">
        <v>0</v>
      </c>
      <c r="AR39" s="6" t="s">
        <v>787</v>
      </c>
      <c r="AS39" s="6" t="s">
        <v>709</v>
      </c>
    </row>
    <row r="40" customFormat="false" ht="15" hidden="false" customHeight="true" outlineLevel="0" collapsed="false">
      <c r="A40" s="10" t="n">
        <v>34</v>
      </c>
      <c r="B40" s="10" t="s">
        <v>788</v>
      </c>
      <c r="C40" s="31" t="s">
        <v>789</v>
      </c>
      <c r="D40" s="31" t="s">
        <v>790</v>
      </c>
      <c r="E40" s="39" t="n">
        <f aca="false">IF(C40="NONE",0,IFERROR(INDEX(rng_lessee_pd,MATCH(D40,rng_lessee_key,0)),g_pd_unrated))</f>
        <v>0.015</v>
      </c>
      <c r="F40" s="39" t="n">
        <f aca="false">IF(E40&lt;=0,0,NORMSDIST((NORMSINV(E40)-SQRT(g_rho_ai)*p_z_ai)/SQRT(1-g_rho_ai)))</f>
        <v>0.169253363293726</v>
      </c>
      <c r="G40" s="38" t="n">
        <v>0</v>
      </c>
      <c r="H40" s="38" t="n">
        <v>0</v>
      </c>
      <c r="I40" s="37" t="n">
        <v>0</v>
      </c>
      <c r="J40" s="38" t="n">
        <v>0.45</v>
      </c>
      <c r="K40" s="28" t="n">
        <v>0</v>
      </c>
      <c r="L40" s="38" t="n">
        <v>0</v>
      </c>
      <c r="M40" s="32" t="n">
        <v>0</v>
      </c>
      <c r="N40" s="43" t="n">
        <f aca="false">G40*(1-H40)</f>
        <v>0</v>
      </c>
      <c r="O40" s="43" t="n">
        <f aca="false">(1-p_gpu_r)^g_t_def</f>
        <v>0.2809</v>
      </c>
      <c r="P40" s="43" t="n">
        <f aca="false">IF(N40&gt;0,MAX(0,1-(1-g_c_gpu)*O40/N40)*(1-I40),0)</f>
        <v>0</v>
      </c>
      <c r="Q40" s="43" t="n">
        <f aca="false">IF(C40="GPU",F40*P40+K40*p_uw_drop,IF(C40="RCF",p_ccf_ai*F40*J40,IF(C40="DC",F40*J40+K40*p_uw_drop+M40/100,IF(C40="UNSEC",F40*J40,IF(C40="MARGIN",F40*MAX(0,G40-(1-p_oai_drop)*(1-g_c_gpu))/G40,IF(C40="ANTH",F40*(L40*0.1+(1-L40)*0.7)+p_uw_drop,0))))))</f>
        <v>0.0761640134821766</v>
      </c>
      <c r="R40" s="44" t="n">
        <f aca="false">IF(C40="RCF",1,0)</f>
        <v>0</v>
      </c>
      <c r="S40" s="32" t="n">
        <v>40</v>
      </c>
      <c r="T40" s="34" t="n">
        <v>4</v>
      </c>
      <c r="U40" s="40" t="n">
        <v>0</v>
      </c>
      <c r="V40" s="40" t="n">
        <v>0</v>
      </c>
      <c r="W40" s="40" t="n">
        <v>0</v>
      </c>
      <c r="X40" s="34" t="n">
        <v>4</v>
      </c>
      <c r="Y40" s="40" t="n">
        <v>0</v>
      </c>
      <c r="Z40" s="40" t="n">
        <v>0</v>
      </c>
      <c r="AA40" s="40" t="n">
        <v>0</v>
      </c>
      <c r="AB40" s="40" t="n">
        <v>0</v>
      </c>
      <c r="AC40" s="40" t="n">
        <v>0</v>
      </c>
      <c r="AD40" s="40" t="n">
        <v>0</v>
      </c>
      <c r="AE40" s="40" t="n">
        <v>0</v>
      </c>
      <c r="AF40" s="40" t="n">
        <v>0</v>
      </c>
      <c r="AG40" s="40" t="n">
        <v>0</v>
      </c>
      <c r="AH40" s="34" t="n">
        <v>1.5</v>
      </c>
      <c r="AI40" s="40" t="n">
        <v>0</v>
      </c>
      <c r="AJ40" s="34" t="n">
        <v>1.5</v>
      </c>
      <c r="AK40" s="40" t="n">
        <v>0</v>
      </c>
      <c r="AL40" s="40" t="n">
        <v>0</v>
      </c>
      <c r="AM40" s="34" t="n">
        <v>4</v>
      </c>
      <c r="AN40" s="34" t="n">
        <v>4</v>
      </c>
      <c r="AO40" s="34" t="n">
        <v>4</v>
      </c>
      <c r="AP40" s="40" t="n">
        <v>0</v>
      </c>
      <c r="AQ40" s="40" t="n">
        <v>0</v>
      </c>
      <c r="AR40" s="6" t="s">
        <v>791</v>
      </c>
      <c r="AS40" s="6" t="s">
        <v>792</v>
      </c>
    </row>
    <row r="41" customFormat="false" ht="15" hidden="false" customHeight="true" outlineLevel="0" collapsed="false">
      <c r="A41" s="10" t="n">
        <v>35</v>
      </c>
      <c r="B41" s="10" t="s">
        <v>793</v>
      </c>
      <c r="C41" s="31" t="s">
        <v>794</v>
      </c>
      <c r="D41" s="31" t="s">
        <v>790</v>
      </c>
      <c r="E41" s="39" t="n">
        <f aca="false">IF(C41="NONE",0,IFERROR(INDEX(rng_lessee_pd,MATCH(D41,rng_lessee_key,0)),g_pd_unrated))</f>
        <v>0.015</v>
      </c>
      <c r="F41" s="39" t="n">
        <f aca="false">IF(E41&lt;=0,0,NORMSDIST((NORMSINV(E41)-SQRT(g_rho_ai)*p_z_ai)/SQRT(1-g_rho_ai)))</f>
        <v>0.169253363293726</v>
      </c>
      <c r="G41" s="38" t="n">
        <v>0.112</v>
      </c>
      <c r="H41" s="38" t="n">
        <v>0</v>
      </c>
      <c r="I41" s="37" t="n">
        <v>0</v>
      </c>
      <c r="J41" s="38" t="n">
        <v>0</v>
      </c>
      <c r="K41" s="28" t="n">
        <v>0</v>
      </c>
      <c r="L41" s="38" t="n">
        <v>0</v>
      </c>
      <c r="M41" s="32" t="n">
        <v>0</v>
      </c>
      <c r="N41" s="43" t="n">
        <f aca="false">G41*(1-H41)</f>
        <v>0.112</v>
      </c>
      <c r="O41" s="43" t="n">
        <f aca="false">(1-p_gpu_r)^g_t_def</f>
        <v>0.2809</v>
      </c>
      <c r="P41" s="43" t="n">
        <f aca="false">IF(N41&gt;0,MAX(0,1-(1-g_c_gpu)*O41/N41)*(1-I41),0)</f>
        <v>0</v>
      </c>
      <c r="Q41" s="43" t="n">
        <f aca="false">IF(C41="GPU",F41*P41+K41*p_uw_drop,IF(C41="RCF",p_ccf_ai*F41*J41,IF(C41="DC",F41*J41+K41*p_uw_drop+M41/100,IF(C41="UNSEC",F41*J41,IF(C41="MARGIN",F41*MAX(0,G41-(1-p_oai_drop)*(1-g_c_gpu))/G41,IF(C41="ANTH",F41*(L41*0.1+(1-L41)*0.7)+p_uw_drop,0))))))</f>
        <v>0</v>
      </c>
      <c r="R41" s="44" t="n">
        <f aca="false">IF(C41="RCF",1,0)</f>
        <v>0</v>
      </c>
      <c r="S41" s="32" t="n">
        <v>10</v>
      </c>
      <c r="T41" s="34" t="n">
        <v>2</v>
      </c>
      <c r="U41" s="40" t="n">
        <v>0</v>
      </c>
      <c r="V41" s="40" t="n">
        <v>0</v>
      </c>
      <c r="W41" s="40" t="n">
        <v>0</v>
      </c>
      <c r="X41" s="34" t="n">
        <v>2</v>
      </c>
      <c r="Y41" s="40" t="n">
        <v>0</v>
      </c>
      <c r="Z41" s="40" t="n">
        <v>0</v>
      </c>
      <c r="AA41" s="40" t="n">
        <v>0</v>
      </c>
      <c r="AB41" s="40" t="n">
        <v>0</v>
      </c>
      <c r="AC41" s="40" t="n">
        <v>0</v>
      </c>
      <c r="AD41" s="40" t="n">
        <v>0</v>
      </c>
      <c r="AE41" s="40" t="n">
        <v>0</v>
      </c>
      <c r="AF41" s="40" t="n">
        <v>0</v>
      </c>
      <c r="AG41" s="40" t="n">
        <v>0</v>
      </c>
      <c r="AH41" s="40" t="n">
        <v>0</v>
      </c>
      <c r="AI41" s="40" t="n">
        <v>0</v>
      </c>
      <c r="AJ41" s="40" t="n">
        <v>0</v>
      </c>
      <c r="AK41" s="40" t="n">
        <v>0</v>
      </c>
      <c r="AL41" s="40" t="n">
        <v>0</v>
      </c>
      <c r="AM41" s="40" t="n">
        <v>0</v>
      </c>
      <c r="AN41" s="34" t="n">
        <v>2</v>
      </c>
      <c r="AO41" s="34" t="n">
        <v>2</v>
      </c>
      <c r="AP41" s="40" t="n">
        <v>0</v>
      </c>
      <c r="AQ41" s="40" t="n">
        <v>0</v>
      </c>
      <c r="AR41" s="6" t="s">
        <v>791</v>
      </c>
      <c r="AS41" s="6" t="s">
        <v>795</v>
      </c>
    </row>
    <row r="42" customFormat="false" ht="15" hidden="false" customHeight="true" outlineLevel="0" collapsed="false">
      <c r="A42" s="10" t="n">
        <v>36</v>
      </c>
      <c r="B42" s="10" t="s">
        <v>796</v>
      </c>
      <c r="C42" s="31" t="s">
        <v>707</v>
      </c>
      <c r="D42" s="31"/>
      <c r="E42" s="39" t="n">
        <f aca="false">IF(C42="NONE",0,IFERROR(INDEX(rng_lessee_pd,MATCH(D42,rng_lessee_key,0)),g_pd_unrated))</f>
        <v>0</v>
      </c>
      <c r="F42" s="39" t="n">
        <f aca="false">IF(E42&lt;=0,0,NORMSDIST((NORMSINV(E42)-SQRT(g_rho_ai)*p_z_ai)/SQRT(1-g_rho_ai)))</f>
        <v>0</v>
      </c>
      <c r="G42" s="37" t="n">
        <v>0</v>
      </c>
      <c r="H42" s="37" t="n">
        <v>0</v>
      </c>
      <c r="I42" s="37" t="n">
        <v>0</v>
      </c>
      <c r="J42" s="37" t="n">
        <v>0</v>
      </c>
      <c r="K42" s="28" t="n">
        <v>0</v>
      </c>
      <c r="L42" s="37" t="n">
        <v>0</v>
      </c>
      <c r="M42" s="32" t="n">
        <v>0</v>
      </c>
      <c r="N42" s="43" t="n">
        <f aca="false">G42*(1-H42)</f>
        <v>0</v>
      </c>
      <c r="O42" s="43" t="n">
        <f aca="false">(1-p_gpu_r)^g_t_def</f>
        <v>0.2809</v>
      </c>
      <c r="P42" s="43" t="n">
        <f aca="false">IF(N42&gt;0,MAX(0,1-(1-g_c_gpu)*O42/N42)*(1-I42),0)</f>
        <v>0</v>
      </c>
      <c r="Q42" s="43" t="n">
        <f aca="false">IF(C42="GPU",F42*P42+K42*p_uw_drop,IF(C42="RCF",p_ccf_ai*F42*J42,IF(C42="DC",F42*J42+K42*p_uw_drop+M42/100,IF(C42="UNSEC",F42*J42,IF(C42="MARGIN",F42*MAX(0,G42-(1-p_oai_drop)*(1-g_c_gpu))/G42,IF(C42="ANTH",F42*(L42*0.1+(1-L42)*0.7)+p_uw_drop,0))))))</f>
        <v>0</v>
      </c>
      <c r="R42" s="44" t="n">
        <f aca="false">IF(C42="RCF",1,0)</f>
        <v>0</v>
      </c>
      <c r="S42" s="32" t="n">
        <v>20</v>
      </c>
      <c r="T42" s="40" t="n">
        <v>0</v>
      </c>
      <c r="U42" s="40" t="n">
        <v>0</v>
      </c>
      <c r="V42" s="40" t="n">
        <v>0</v>
      </c>
      <c r="W42" s="40" t="n">
        <v>0</v>
      </c>
      <c r="X42" s="40" t="n">
        <v>0</v>
      </c>
      <c r="Y42" s="40" t="n">
        <v>0</v>
      </c>
      <c r="Z42" s="40" t="n">
        <v>0</v>
      </c>
      <c r="AA42" s="40" t="n">
        <v>0</v>
      </c>
      <c r="AB42" s="40" t="n">
        <v>0</v>
      </c>
      <c r="AC42" s="40" t="n">
        <v>0</v>
      </c>
      <c r="AD42" s="40" t="n">
        <v>0</v>
      </c>
      <c r="AE42" s="40" t="n">
        <v>0</v>
      </c>
      <c r="AF42" s="40" t="n">
        <v>0</v>
      </c>
      <c r="AG42" s="40" t="n">
        <v>0</v>
      </c>
      <c r="AH42" s="40" t="n">
        <v>0</v>
      </c>
      <c r="AI42" s="40" t="n">
        <v>0</v>
      </c>
      <c r="AJ42" s="40" t="n">
        <v>0</v>
      </c>
      <c r="AK42" s="40" t="n">
        <v>0</v>
      </c>
      <c r="AL42" s="40" t="n">
        <v>0</v>
      </c>
      <c r="AM42" s="40" t="n">
        <v>0</v>
      </c>
      <c r="AN42" s="40" t="n">
        <v>0</v>
      </c>
      <c r="AO42" s="40" t="n">
        <v>0</v>
      </c>
      <c r="AP42" s="40" t="n">
        <v>0</v>
      </c>
      <c r="AQ42" s="40" t="n">
        <v>0</v>
      </c>
      <c r="AR42" s="6" t="s">
        <v>755</v>
      </c>
      <c r="AS42" s="6" t="s">
        <v>709</v>
      </c>
    </row>
    <row r="43" customFormat="false" ht="15" hidden="false" customHeight="true" outlineLevel="0" collapsed="false">
      <c r="A43" s="10" t="n">
        <v>37</v>
      </c>
      <c r="B43" s="10" t="s">
        <v>797</v>
      </c>
      <c r="C43" s="31" t="s">
        <v>707</v>
      </c>
      <c r="D43" s="31"/>
      <c r="E43" s="39" t="n">
        <f aca="false">IF(C43="NONE",0,IFERROR(INDEX(rng_lessee_pd,MATCH(D43,rng_lessee_key,0)),g_pd_unrated))</f>
        <v>0</v>
      </c>
      <c r="F43" s="39" t="n">
        <f aca="false">IF(E43&lt;=0,0,NORMSDIST((NORMSINV(E43)-SQRT(g_rho_ai)*p_z_ai)/SQRT(1-g_rho_ai)))</f>
        <v>0</v>
      </c>
      <c r="G43" s="37" t="n">
        <v>0</v>
      </c>
      <c r="H43" s="37" t="n">
        <v>0</v>
      </c>
      <c r="I43" s="37" t="n">
        <v>0</v>
      </c>
      <c r="J43" s="37" t="n">
        <v>0</v>
      </c>
      <c r="K43" s="28" t="n">
        <v>0</v>
      </c>
      <c r="L43" s="37" t="n">
        <v>0</v>
      </c>
      <c r="M43" s="32" t="n">
        <v>0</v>
      </c>
      <c r="N43" s="43" t="n">
        <f aca="false">G43*(1-H43)</f>
        <v>0</v>
      </c>
      <c r="O43" s="43" t="n">
        <f aca="false">(1-p_gpu_r)^g_t_def</f>
        <v>0.2809</v>
      </c>
      <c r="P43" s="43" t="n">
        <f aca="false">IF(N43&gt;0,MAX(0,1-(1-g_c_gpu)*O43/N43)*(1-I43),0)</f>
        <v>0</v>
      </c>
      <c r="Q43" s="43" t="n">
        <f aca="false">IF(C43="GPU",F43*P43+K43*p_uw_drop,IF(C43="RCF",p_ccf_ai*F43*J43,IF(C43="DC",F43*J43+K43*p_uw_drop+M43/100,IF(C43="UNSEC",F43*J43,IF(C43="MARGIN",F43*MAX(0,G43-(1-p_oai_drop)*(1-g_c_gpu))/G43,IF(C43="ANTH",F43*(L43*0.1+(1-L43)*0.7)+p_uw_drop,0))))))</f>
        <v>0</v>
      </c>
      <c r="R43" s="44" t="n">
        <f aca="false">IF(C43="RCF",1,0)</f>
        <v>0</v>
      </c>
      <c r="S43" s="32" t="n">
        <v>0.869</v>
      </c>
      <c r="T43" s="40" t="n">
        <v>0</v>
      </c>
      <c r="U43" s="40" t="n">
        <v>0</v>
      </c>
      <c r="V43" s="40" t="n">
        <v>0</v>
      </c>
      <c r="W43" s="40" t="n">
        <v>0</v>
      </c>
      <c r="X43" s="40" t="n">
        <v>0</v>
      </c>
      <c r="Y43" s="40" t="n">
        <v>0</v>
      </c>
      <c r="Z43" s="40" t="n">
        <v>0</v>
      </c>
      <c r="AA43" s="40" t="n">
        <v>0</v>
      </c>
      <c r="AB43" s="40" t="n">
        <v>0</v>
      </c>
      <c r="AC43" s="40" t="n">
        <v>0</v>
      </c>
      <c r="AD43" s="40" t="n">
        <v>0</v>
      </c>
      <c r="AE43" s="40" t="n">
        <v>0</v>
      </c>
      <c r="AF43" s="40" t="n">
        <v>0</v>
      </c>
      <c r="AG43" s="40" t="n">
        <v>0</v>
      </c>
      <c r="AH43" s="40" t="n">
        <v>0</v>
      </c>
      <c r="AI43" s="40" t="n">
        <v>0</v>
      </c>
      <c r="AJ43" s="40" t="n">
        <v>0</v>
      </c>
      <c r="AK43" s="40" t="n">
        <v>0</v>
      </c>
      <c r="AL43" s="40" t="n">
        <v>0</v>
      </c>
      <c r="AM43" s="40" t="n">
        <v>0</v>
      </c>
      <c r="AN43" s="40" t="n">
        <v>0</v>
      </c>
      <c r="AO43" s="40" t="n">
        <v>0</v>
      </c>
      <c r="AP43" s="40" t="n">
        <v>0</v>
      </c>
      <c r="AQ43" s="40" t="n">
        <v>0</v>
      </c>
      <c r="AR43" s="6" t="s">
        <v>798</v>
      </c>
      <c r="AS43" s="6" t="s">
        <v>709</v>
      </c>
    </row>
    <row r="44" customFormat="false" ht="15" hidden="false" customHeight="true" outlineLevel="0" collapsed="false">
      <c r="A44" s="10" t="n">
        <v>38</v>
      </c>
      <c r="B44" s="10" t="s">
        <v>799</v>
      </c>
      <c r="C44" s="31" t="s">
        <v>707</v>
      </c>
      <c r="D44" s="31"/>
      <c r="E44" s="39" t="n">
        <f aca="false">IF(C44="NONE",0,IFERROR(INDEX(rng_lessee_pd,MATCH(D44,rng_lessee_key,0)),g_pd_unrated))</f>
        <v>0</v>
      </c>
      <c r="F44" s="39" t="n">
        <f aca="false">IF(E44&lt;=0,0,NORMSDIST((NORMSINV(E44)-SQRT(g_rho_ai)*p_z_ai)/SQRT(1-g_rho_ai)))</f>
        <v>0</v>
      </c>
      <c r="G44" s="37" t="n">
        <v>0</v>
      </c>
      <c r="H44" s="37" t="n">
        <v>0</v>
      </c>
      <c r="I44" s="37" t="n">
        <v>0</v>
      </c>
      <c r="J44" s="37" t="n">
        <v>0</v>
      </c>
      <c r="K44" s="28" t="n">
        <v>0</v>
      </c>
      <c r="L44" s="37" t="n">
        <v>0</v>
      </c>
      <c r="M44" s="32" t="n">
        <v>0</v>
      </c>
      <c r="N44" s="43" t="n">
        <f aca="false">G44*(1-H44)</f>
        <v>0</v>
      </c>
      <c r="O44" s="43" t="n">
        <f aca="false">(1-p_gpu_r)^g_t_def</f>
        <v>0.2809</v>
      </c>
      <c r="P44" s="43" t="n">
        <f aca="false">IF(N44&gt;0,MAX(0,1-(1-g_c_gpu)*O44/N44)*(1-I44),0)</f>
        <v>0</v>
      </c>
      <c r="Q44" s="43" t="n">
        <f aca="false">IF(C44="GPU",F44*P44+K44*p_uw_drop,IF(C44="RCF",p_ccf_ai*F44*J44,IF(C44="DC",F44*J44+K44*p_uw_drop+M44/100,IF(C44="UNSEC",F44*J44,IF(C44="MARGIN",F44*MAX(0,G44-(1-p_oai_drop)*(1-g_c_gpu))/G44,IF(C44="ANTH",F44*(L44*0.1+(1-L44)*0.7)+p_uw_drop,0))))))</f>
        <v>0</v>
      </c>
      <c r="R44" s="44" t="n">
        <f aca="false">IF(C44="RCF",1,0)</f>
        <v>0</v>
      </c>
      <c r="S44" s="32" t="n">
        <v>0.407</v>
      </c>
      <c r="T44" s="40" t="n">
        <v>0</v>
      </c>
      <c r="U44" s="40" t="n">
        <v>0</v>
      </c>
      <c r="V44" s="40" t="n">
        <v>0</v>
      </c>
      <c r="W44" s="40" t="n">
        <v>0</v>
      </c>
      <c r="X44" s="40" t="n">
        <v>0</v>
      </c>
      <c r="Y44" s="40" t="n">
        <v>0</v>
      </c>
      <c r="Z44" s="40" t="n">
        <v>0</v>
      </c>
      <c r="AA44" s="40" t="n">
        <v>0</v>
      </c>
      <c r="AB44" s="40" t="n">
        <v>0</v>
      </c>
      <c r="AC44" s="40" t="n">
        <v>0</v>
      </c>
      <c r="AD44" s="40" t="n">
        <v>0</v>
      </c>
      <c r="AE44" s="40" t="n">
        <v>0</v>
      </c>
      <c r="AF44" s="40" t="n">
        <v>0</v>
      </c>
      <c r="AG44" s="40" t="n">
        <v>0</v>
      </c>
      <c r="AH44" s="40" t="n">
        <v>0</v>
      </c>
      <c r="AI44" s="40" t="n">
        <v>0</v>
      </c>
      <c r="AJ44" s="40" t="n">
        <v>0</v>
      </c>
      <c r="AK44" s="40" t="n">
        <v>0</v>
      </c>
      <c r="AL44" s="40" t="n">
        <v>0</v>
      </c>
      <c r="AM44" s="40" t="n">
        <v>0</v>
      </c>
      <c r="AN44" s="40" t="n">
        <v>0</v>
      </c>
      <c r="AO44" s="40" t="n">
        <v>0</v>
      </c>
      <c r="AP44" s="40" t="n">
        <v>0</v>
      </c>
      <c r="AQ44" s="40" t="n">
        <v>0</v>
      </c>
      <c r="AR44" s="6" t="s">
        <v>800</v>
      </c>
      <c r="AS44" s="6" t="s">
        <v>709</v>
      </c>
    </row>
    <row r="46" customFormat="false" ht="15" hidden="false" customHeight="true" outlineLevel="0" collapsed="false">
      <c r="B46" s="7" t="s">
        <v>801</v>
      </c>
      <c r="T46" s="35" t="n">
        <f aca="false">SUM(T6:T44)</f>
        <v>19.637</v>
      </c>
      <c r="U46" s="35" t="n">
        <f aca="false">SUM(U6:U44)</f>
        <v>18.092</v>
      </c>
      <c r="V46" s="35" t="n">
        <f aca="false">SUM(V6:V44)</f>
        <v>18.497</v>
      </c>
      <c r="W46" s="35" t="n">
        <f aca="false">SUM(W6:W44)</f>
        <v>1.369</v>
      </c>
      <c r="X46" s="35" t="n">
        <f aca="false">SUM(X6:X44)</f>
        <v>9.947</v>
      </c>
      <c r="Y46" s="35" t="n">
        <f aca="false">SUM(Y6:Y44)</f>
        <v>27.011</v>
      </c>
      <c r="Z46" s="35" t="n">
        <f aca="false">SUM(Z6:Z44)</f>
        <v>0.177</v>
      </c>
      <c r="AA46" s="35" t="n">
        <f aca="false">SUM(AA6:AA44)</f>
        <v>1.417</v>
      </c>
      <c r="AB46" s="35" t="n">
        <f aca="false">SUM(AB6:AB44)</f>
        <v>0</v>
      </c>
      <c r="AC46" s="35" t="n">
        <f aca="false">SUM(AC6:AC44)</f>
        <v>0</v>
      </c>
      <c r="AD46" s="35" t="n">
        <f aca="false">SUM(AD6:AD44)</f>
        <v>0</v>
      </c>
      <c r="AE46" s="35" t="n">
        <f aca="false">SUM(AE6:AE44)</f>
        <v>0</v>
      </c>
      <c r="AF46" s="35" t="n">
        <f aca="false">SUM(AF6:AF44)</f>
        <v>0</v>
      </c>
      <c r="AG46" s="35" t="n">
        <f aca="false">SUM(AG6:AG44)</f>
        <v>1</v>
      </c>
      <c r="AH46" s="35" t="n">
        <f aca="false">SUM(AH6:AH44)</f>
        <v>1.592</v>
      </c>
      <c r="AI46" s="35" t="n">
        <f aca="false">SUM(AI6:AI44)</f>
        <v>1.284</v>
      </c>
      <c r="AJ46" s="35" t="n">
        <f aca="false">SUM(AJ6:AJ44)</f>
        <v>3.625</v>
      </c>
      <c r="AK46" s="35" t="n">
        <f aca="false">SUM(AK6:AK44)</f>
        <v>0.177</v>
      </c>
      <c r="AL46" s="35" t="n">
        <f aca="false">SUM(AL6:AL44)</f>
        <v>0.625</v>
      </c>
      <c r="AM46" s="35" t="n">
        <f aca="false">SUM(AM6:AM44)</f>
        <v>12.729</v>
      </c>
      <c r="AN46" s="35" t="n">
        <f aca="false">SUM(AN6:AN44)</f>
        <v>8.494</v>
      </c>
      <c r="AO46" s="35" t="n">
        <f aca="false">SUM(AO6:AO44)</f>
        <v>6.625</v>
      </c>
      <c r="AP46" s="35" t="n">
        <f aca="false">SUM(AP6:AP44)</f>
        <v>1</v>
      </c>
      <c r="AQ46" s="35" t="n">
        <f aca="false">SUM(AQ6:AQ44)</f>
        <v>0.75</v>
      </c>
    </row>
    <row r="47" customFormat="false" ht="15" hidden="false" customHeight="true" outlineLevel="0" collapsed="false">
      <c r="B47" s="6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7" min="5" style="1" width="13"/>
    <col collapsed="false" customWidth="true" hidden="false" outlineLevel="0" max="11" min="8" style="1" width="11"/>
  </cols>
  <sheetData>
    <row r="1" customFormat="false" ht="17.25" hidden="false" customHeight="true" outlineLevel="0" collapsed="false">
      <c r="A1" s="5" t="s">
        <v>803</v>
      </c>
    </row>
    <row r="2" customFormat="false" ht="15" hidden="false" customHeight="true" outlineLevel="0" collapsed="false">
      <c r="A2" s="6" t="s">
        <v>804</v>
      </c>
    </row>
    <row r="5" customFormat="false" ht="42" hidden="false" customHeight="true" outlineLevel="0" collapsed="false">
      <c r="A5" s="21" t="s">
        <v>805</v>
      </c>
      <c r="B5" s="21" t="s">
        <v>806</v>
      </c>
      <c r="C5" s="21" t="s">
        <v>807</v>
      </c>
      <c r="D5" s="21" t="s">
        <v>808</v>
      </c>
      <c r="E5" s="21" t="s">
        <v>809</v>
      </c>
      <c r="F5" s="21" t="s">
        <v>810</v>
      </c>
      <c r="G5" s="21" t="s">
        <v>811</v>
      </c>
      <c r="H5" s="21" t="s">
        <v>812</v>
      </c>
      <c r="I5" s="21" t="s">
        <v>813</v>
      </c>
      <c r="J5" s="21" t="s">
        <v>814</v>
      </c>
      <c r="K5" s="21" t="s">
        <v>815</v>
      </c>
    </row>
    <row r="6" customFormat="false" ht="15" hidden="false" customHeight="true" outlineLevel="0" collapsed="false">
      <c r="A6" s="10" t="s">
        <v>816</v>
      </c>
      <c r="B6" s="37" t="n">
        <v>0.07</v>
      </c>
      <c r="C6" s="33" t="n">
        <v>0.0805</v>
      </c>
      <c r="D6" s="39" t="n">
        <f aca="false">MIN(0.999,C6+p_hid)</f>
        <v>0.1425</v>
      </c>
      <c r="E6" s="39" t="n">
        <f aca="false">NORMSDIST((NORMSINV(D6)-SQRT(g_rho)*p_z)/SQRT(1-g_rho))</f>
        <v>0.521790865110884</v>
      </c>
      <c r="F6" s="39" t="n">
        <f aca="false">NORMSDIST((NORMSINV(MIN(0.999,D6*p_m_sw))-SQRT(g_rho)*p_z)/SQRT(1-g_rho))</f>
        <v>0.730689327160873</v>
      </c>
      <c r="G6" s="39" t="n">
        <f aca="false">NORMSDIST(NORMSINV(C6)/SQRT(1-g_rho))</f>
        <v>0.0585379014920759</v>
      </c>
      <c r="H6" s="37" t="n">
        <v>0.019</v>
      </c>
      <c r="I6" s="37" t="n">
        <v>0.021</v>
      </c>
      <c r="J6" s="37" t="n">
        <v>0.043</v>
      </c>
      <c r="K6" s="37" t="n">
        <v>0.039</v>
      </c>
    </row>
    <row r="7" customFormat="false" ht="15" hidden="false" customHeight="true" outlineLevel="0" collapsed="false">
      <c r="A7" s="10" t="s">
        <v>817</v>
      </c>
      <c r="B7" s="37" t="n">
        <v>0.24</v>
      </c>
      <c r="C7" s="33" t="n">
        <v>0.0968</v>
      </c>
      <c r="D7" s="39" t="n">
        <f aca="false">MIN(0.999,C7+p_hid)</f>
        <v>0.1588</v>
      </c>
      <c r="E7" s="39" t="n">
        <f aca="false">NORMSDIST((NORMSINV(D7)-SQRT(g_rho)*p_z)/SQRT(1-g_rho))</f>
        <v>0.55275882246353</v>
      </c>
      <c r="F7" s="39" t="n">
        <f aca="false">NORMSDIST((NORMSINV(MIN(0.999,D7*p_m_sw))-SQRT(g_rho)*p_z)/SQRT(1-g_rho))</f>
        <v>0.764108688583407</v>
      </c>
      <c r="G7" s="39" t="n">
        <f aca="false">NORMSDIST(NORMSINV(C7)/SQRT(1-g_rho))</f>
        <v>0.0730497943696082</v>
      </c>
      <c r="H7" s="37" t="n">
        <v>0.043</v>
      </c>
      <c r="I7" s="37" t="n">
        <v>0.031</v>
      </c>
      <c r="J7" s="37" t="n">
        <v>0.127</v>
      </c>
      <c r="K7" s="37" t="n">
        <v>0.089</v>
      </c>
    </row>
    <row r="8" customFormat="false" ht="15" hidden="false" customHeight="true" outlineLevel="0" collapsed="false">
      <c r="A8" s="10" t="s">
        <v>818</v>
      </c>
      <c r="B8" s="37" t="n">
        <v>0.44</v>
      </c>
      <c r="C8" s="33" t="n">
        <v>0.1594</v>
      </c>
      <c r="D8" s="39" t="n">
        <f aca="false">MIN(0.999,C8+p_hid)</f>
        <v>0.2214</v>
      </c>
      <c r="E8" s="39" t="n">
        <f aca="false">NORMSDIST((NORMSINV(D8)-SQRT(g_rho)*p_z)/SQRT(1-g_rho))</f>
        <v>0.652448157728585</v>
      </c>
      <c r="F8" s="39" t="n">
        <f aca="false">NORMSDIST((NORMSINV(MIN(0.999,D8*p_m_sw))-SQRT(g_rho)*p_z)/SQRT(1-g_rho))</f>
        <v>0.861954810766066</v>
      </c>
      <c r="G8" s="39" t="n">
        <f aca="false">NORMSDIST(NORMSINV(C8)/SQRT(1-g_rho))</f>
        <v>0.132511333135831</v>
      </c>
      <c r="H8" s="37" t="n">
        <v>0.135</v>
      </c>
      <c r="I8" s="37" t="n">
        <v>0.06</v>
      </c>
      <c r="J8" s="37" t="n">
        <v>0.237</v>
      </c>
      <c r="K8" s="37" t="n">
        <v>0.089</v>
      </c>
    </row>
    <row r="9" customFormat="false" ht="15" hidden="false" customHeight="true" outlineLevel="0" collapsed="false">
      <c r="A9" s="10" t="s">
        <v>819</v>
      </c>
      <c r="B9" s="37" t="n">
        <v>0.09</v>
      </c>
      <c r="C9" s="33" t="n">
        <v>0.4132</v>
      </c>
      <c r="D9" s="39" t="n">
        <f aca="false">MIN(0.999,C9+p_hid)</f>
        <v>0.4752</v>
      </c>
      <c r="E9" s="39" t="n">
        <f aca="false">NORMSDIST((NORMSINV(D9)-SQRT(g_rho)*p_z)/SQRT(1-g_rho))</f>
        <v>0.881090009968564</v>
      </c>
      <c r="F9" s="39" t="n">
        <f aca="false">NORMSDIST((NORMSINV(MIN(0.999,D9*p_m_sw))-SQRT(g_rho)*p_z)/SQRT(1-g_rho))</f>
        <v>0.999010454908526</v>
      </c>
      <c r="G9" s="39" t="n">
        <f aca="false">NORMSDIST(NORMSINV(C9)/SQRT(1-g_rho))</f>
        <v>0.403147559992711</v>
      </c>
      <c r="H9" s="37" t="n">
        <v>0.53</v>
      </c>
      <c r="I9" s="37" t="n">
        <v>0.307</v>
      </c>
      <c r="J9" s="37" t="n">
        <v>0.607</v>
      </c>
      <c r="K9" s="37" t="n">
        <v>0.309</v>
      </c>
    </row>
    <row r="10" customFormat="false" ht="15" hidden="false" customHeight="true" outlineLevel="0" collapsed="false">
      <c r="A10" s="10" t="s">
        <v>820</v>
      </c>
      <c r="B10" s="37" t="n">
        <v>0.16</v>
      </c>
      <c r="C10" s="33" t="n">
        <v>0.4132</v>
      </c>
      <c r="D10" s="39" t="n">
        <f aca="false">MIN(0.999,C10+p_hid)</f>
        <v>0.4752</v>
      </c>
      <c r="E10" s="39" t="n">
        <f aca="false">NORMSDIST((NORMSINV(D10)-SQRT(g_rho)*p_z)/SQRT(1-g_rho))</f>
        <v>0.881090009968564</v>
      </c>
      <c r="F10" s="39" t="n">
        <f aca="false">NORMSDIST((NORMSINV(MIN(0.999,D10*p_m_sw))-SQRT(g_rho)*p_z)/SQRT(1-g_rho))</f>
        <v>0.999010454908526</v>
      </c>
      <c r="G10" s="39" t="n">
        <f aca="false">NORMSDIST(NORMSINV(C10)/SQRT(1-g_rho))</f>
        <v>0.403147559992711</v>
      </c>
      <c r="H10" s="37" t="n">
        <v>0.53</v>
      </c>
      <c r="I10" s="37" t="n">
        <v>0.307</v>
      </c>
      <c r="J10" s="37" t="n">
        <v>0.607</v>
      </c>
      <c r="K10" s="37" t="n">
        <v>0.309</v>
      </c>
    </row>
    <row r="12" customFormat="false" ht="15" hidden="false" customHeight="true" outlineLevel="0" collapsed="false">
      <c r="A12" s="6" t="s">
        <v>821</v>
      </c>
    </row>
    <row r="14" customFormat="false" ht="42" hidden="false" customHeight="true" outlineLevel="0" collapsed="false">
      <c r="A14" s="21" t="s">
        <v>822</v>
      </c>
      <c r="B14" s="21" t="s">
        <v>823</v>
      </c>
      <c r="C14" s="21" t="s">
        <v>363</v>
      </c>
    </row>
    <row r="15" customFormat="false" ht="15" hidden="false" customHeight="true" outlineLevel="0" collapsed="false">
      <c r="A15" s="10" t="s">
        <v>824</v>
      </c>
      <c r="B15" s="10" t="s">
        <v>825</v>
      </c>
      <c r="C15" s="43" t="n">
        <f aca="false">SUMPRODUCT(B6:B10,E6:E10)</f>
        <v>0.676537169841728</v>
      </c>
    </row>
    <row r="16" customFormat="false" ht="15" hidden="false" customHeight="true" outlineLevel="0" collapsed="false">
      <c r="A16" s="10" t="s">
        <v>826</v>
      </c>
      <c r="B16" s="10" t="s">
        <v>827</v>
      </c>
      <c r="C16" s="43" t="n">
        <f aca="false">SUMPRODUCT(B6:B10,F6:F10)</f>
        <v>0.863547068625479</v>
      </c>
    </row>
    <row r="17" customFormat="false" ht="15" hidden="false" customHeight="true" outlineLevel="0" collapsed="false">
      <c r="A17" s="10" t="s">
        <v>828</v>
      </c>
      <c r="B17" s="10" t="s">
        <v>829</v>
      </c>
      <c r="C17" s="43" t="n">
        <f aca="false">SUMPRODUCT(B6:B10,G6:G10)</f>
        <v>0.180721480331094</v>
      </c>
    </row>
    <row r="18" customFormat="false" ht="15" hidden="false" customHeight="true" outlineLevel="0" collapsed="false">
      <c r="A18" s="10" t="s">
        <v>830</v>
      </c>
      <c r="B18" s="10" t="s">
        <v>831</v>
      </c>
      <c r="C18" s="43" t="n">
        <f aca="false">CE_PDg*p_lgd_gen-CE_PDb*g_lgd_gen_b</f>
        <v>0.275016066804981</v>
      </c>
    </row>
    <row r="19" customFormat="false" ht="15" hidden="false" customHeight="true" outlineLevel="0" collapsed="false">
      <c r="A19" s="10" t="s">
        <v>832</v>
      </c>
      <c r="B19" s="10" t="s">
        <v>833</v>
      </c>
      <c r="C19" s="43" t="n">
        <f aca="false">CE_PDs*p_lgd_sw-CE_PDb*g_lgd_sw_b</f>
        <v>0.514122207872288</v>
      </c>
    </row>
    <row r="20" customFormat="false" ht="15" hidden="false" customHeight="true" outlineLevel="0" collapsed="false">
      <c r="A20" s="10" t="s">
        <v>834</v>
      </c>
      <c r="B20" s="10" t="s">
        <v>835</v>
      </c>
      <c r="C20" s="43" t="n">
        <f aca="false">(1-CE_PDg)*p_ds/10000*g_dur_s</f>
        <v>0.0679271943332372</v>
      </c>
    </row>
    <row r="21" customFormat="false" ht="15" hidden="false" customHeight="true" outlineLevel="0" collapsed="false">
      <c r="A21" s="10" t="s">
        <v>836</v>
      </c>
      <c r="B21" s="10" t="s">
        <v>837</v>
      </c>
      <c r="C21" s="43" t="n">
        <f aca="false">(1-CE_PDs)*(p_ds+p_ds_sw)/10000*g_dur_s</f>
        <v>0.0409358794123563</v>
      </c>
    </row>
    <row r="22" customFormat="false" ht="15" hidden="false" customHeight="true" outlineLevel="0" collapsed="false">
      <c r="A22" s="10" t="s">
        <v>838</v>
      </c>
      <c r="B22" s="10" t="s">
        <v>839</v>
      </c>
      <c r="C22" s="43" t="n">
        <f aca="false">SUMPRODUCT(BDC!C6:C39,BDC!D6:D39)/SUM(BDC!C6:C39)</f>
        <v>0.196200440875453</v>
      </c>
    </row>
    <row r="23" customFormat="false" ht="15" hidden="false" customHeight="true" outlineLevel="0" collapsed="false">
      <c r="A23" s="10" t="s">
        <v>840</v>
      </c>
      <c r="B23" s="10" t="s">
        <v>841</v>
      </c>
      <c r="C23" s="43" t="n">
        <f aca="false">SUMPRODUCT(BDC!C6:C39,BDC!M6:M39)/SUM(BDC!C6:C39)</f>
        <v>0.884331284067868</v>
      </c>
    </row>
    <row r="24" customFormat="false" ht="15" hidden="false" customHeight="true" outlineLevel="0" collapsed="false">
      <c r="A24" s="10" t="s">
        <v>842</v>
      </c>
      <c r="B24" s="10" t="s">
        <v>843</v>
      </c>
      <c r="C24" s="43" t="n">
        <f aca="false">1-((1-CE_sw_sys)*CE_Lg+CE_sw_sys*CE_Ls)-p_gap-p_w_mkt*(1-CE_mk_sys)</f>
        <v>0.462402486969454</v>
      </c>
    </row>
    <row r="25" customFormat="false" ht="15" hidden="false" customHeight="true" outlineLevel="0" collapsed="false">
      <c r="A25" s="10" t="s">
        <v>844</v>
      </c>
      <c r="B25" s="10" t="s">
        <v>845</v>
      </c>
      <c r="C25" s="43" t="n">
        <f aca="false">(1-CE_sw_sys)*CE_MTMg+CE_sw_sys*CE_MTMs</f>
        <v>0.0626314864459522</v>
      </c>
    </row>
    <row r="26" customFormat="false" ht="15" hidden="false" customHeight="true" outlineLevel="0" collapsed="false">
      <c r="A26" s="10" t="s">
        <v>846</v>
      </c>
      <c r="B26" s="10" t="s">
        <v>847</v>
      </c>
      <c r="C26" s="43" t="n">
        <f aca="false">1-p_abf_loss</f>
        <v>0.75</v>
      </c>
    </row>
    <row r="27" customFormat="false" ht="15" hidden="false" customHeight="true" outlineLevel="0" collapsed="false">
      <c r="A27" s="10" t="s">
        <v>848</v>
      </c>
      <c r="B27" s="10" t="s">
        <v>849</v>
      </c>
      <c r="C27" s="43" t="n">
        <f aca="false">CE_Vh_g-CE_MTM_sys-p_c_liq</f>
        <v>0.349771000523501</v>
      </c>
    </row>
    <row r="28" customFormat="false" ht="15" hidden="false" customHeight="true" outlineLevel="0" collapsed="false">
      <c r="A28" s="10" t="s">
        <v>850</v>
      </c>
      <c r="B28" s="10" t="s">
        <v>851</v>
      </c>
      <c r="C28" s="43" t="n">
        <f aca="false">p_phi*MAX(0,p_a_spv-CE_Vl_g0)/p_a_spv+(1-p_phi)*MAX(0,p_a_spv-CE_Vh_g)/p_a_spv</f>
        <v>0.46814671741044</v>
      </c>
    </row>
    <row r="29" customFormat="false" ht="15" hidden="false" customHeight="true" outlineLevel="0" collapsed="false">
      <c r="A29" s="10" t="s">
        <v>852</v>
      </c>
      <c r="B29" s="10" t="s">
        <v>853</v>
      </c>
      <c r="C29" s="43" t="n">
        <f aca="false">p_phi*MAX(0,g_a_abf-(CE_Vh_a-p_c_liq))/g_a_abf+(1-p_phi)*MAX(0,g_a_abf-CE_Vh_a)/g_a_abf</f>
        <v>0.1125</v>
      </c>
    </row>
    <row r="30" customFormat="false" ht="15" hidden="false" customHeight="true" outlineLevel="0" collapsed="false">
      <c r="A30" s="10" t="s">
        <v>854</v>
      </c>
      <c r="B30" s="10" t="s">
        <v>855</v>
      </c>
      <c r="C30" s="43" t="n">
        <f aca="false">p_phi*MAX(0,g_trs_adv-CE_Vl_g0)/g_trs_adv+(1-p_phi)*MAX(0,g_trs_adv-CE_Vh_g)/g_trs_adv</f>
        <v>0.534628377734135</v>
      </c>
    </row>
    <row r="31" customFormat="false" ht="15" hidden="false" customHeight="true" outlineLevel="0" collapsed="false">
      <c r="A31" s="10" t="s">
        <v>856</v>
      </c>
      <c r="B31" s="10" t="s">
        <v>857</v>
      </c>
      <c r="C31" s="43" t="n">
        <f aca="false">SUMPRODUCT(B6:B10,H6:H10)+SUMPRODUCT(B6:B10,I6:I10)</f>
        <v>0.31561</v>
      </c>
    </row>
    <row r="32" customFormat="false" ht="15" hidden="false" customHeight="true" outlineLevel="0" collapsed="false">
      <c r="A32" s="10" t="s">
        <v>858</v>
      </c>
      <c r="B32" s="10" t="s">
        <v>859</v>
      </c>
      <c r="C32" s="43" t="n">
        <f aca="false">SUMPRODUCT(B6:B10,J6:J10)+SUMPRODUCT(B6:B10,K6:K10)</f>
        <v>0.43002</v>
      </c>
    </row>
    <row r="33" customFormat="false" ht="15" hidden="false" customHeight="true" outlineLevel="0" collapsed="false">
      <c r="A33" s="10" t="s">
        <v>860</v>
      </c>
      <c r="B33" s="10" t="s">
        <v>861</v>
      </c>
      <c r="C33" s="43" t="n">
        <f aca="false">CE_ccc_avg+p_w_mig*(CE_ccc_09-CE_ccc_avg)</f>
        <v>0.487225</v>
      </c>
    </row>
    <row r="34" customFormat="false" ht="15" hidden="false" customHeight="true" outlineLevel="0" collapsed="false">
      <c r="A34" s="10" t="s">
        <v>862</v>
      </c>
      <c r="B34" s="10" t="s">
        <v>863</v>
      </c>
      <c r="C34" s="43" t="n">
        <f aca="false">MAX(0,CE_ccc_new-g_ccc0)*(g_adv_perf-g_adv_np)/g_adv_perf</f>
        <v>0.125589705882353</v>
      </c>
    </row>
    <row r="35" customFormat="false" ht="15" hidden="false" customHeight="true" outlineLevel="0" collapsed="false">
      <c r="A35" s="10" t="s">
        <v>864</v>
      </c>
      <c r="B35" s="10" t="s">
        <v>865</v>
      </c>
      <c r="C35" s="39" t="n">
        <f aca="false">g_tail_share*MAX(0,g_nav_ltv-(1-MIN(0.99,p_dnav*g_tail_mult)))/g_nav_ltv+(1-g_tail_share)*MAX(0,g_nav_ltv-(1-p_dnav))/g_nav_ltv</f>
        <v>0.19</v>
      </c>
    </row>
    <row r="36" customFormat="false" ht="15" hidden="false" customHeight="true" outlineLevel="0" collapsed="false">
      <c r="A36" s="10" t="s">
        <v>866</v>
      </c>
      <c r="B36" s="10" t="s">
        <v>867</v>
      </c>
      <c r="C36" s="39" t="n">
        <f aca="false">(1-g_nav_share)*p_lp_dr*g_lgd_lp+g_nav_share*CE_LRnav</f>
        <v>0.04125</v>
      </c>
    </row>
    <row r="37" customFormat="false" ht="15" hidden="false" customHeight="true" outlineLevel="0" collapsed="false">
      <c r="A37" s="10" t="s">
        <v>868</v>
      </c>
      <c r="B37" s="10" t="s">
        <v>869</v>
      </c>
      <c r="C37" s="35" t="n">
        <f aca="false">p_pc_scale*SUM(BDC!Y6:Y39)</f>
        <v>147.399174442618</v>
      </c>
    </row>
    <row r="38" customFormat="false" ht="15" hidden="false" customHeight="true" outlineLevel="0" collapsed="false">
      <c r="A38" s="10" t="s">
        <v>870</v>
      </c>
      <c r="B38" s="10" t="s">
        <v>871</v>
      </c>
      <c r="C38" s="35" t="n">
        <f aca="false">p_ins_run*(g_fabr+g_fabn_6m)</f>
        <v>29.5625</v>
      </c>
    </row>
    <row r="40" customFormat="false" ht="15" hidden="false" customHeight="true" outlineLevel="0" collapsed="false">
      <c r="A40" s="7" t="s">
        <v>872</v>
      </c>
    </row>
    <row r="41" customFormat="false" ht="42" hidden="false" customHeight="true" outlineLevel="0" collapsed="false">
      <c r="A41" s="21" t="s">
        <v>64</v>
      </c>
      <c r="B41" s="21" t="s">
        <v>689</v>
      </c>
      <c r="C41" s="21" t="s">
        <v>583</v>
      </c>
    </row>
    <row r="42" customFormat="false" ht="15" hidden="false" customHeight="true" outlineLevel="0" collapsed="false">
      <c r="A42" s="10" t="s">
        <v>714</v>
      </c>
      <c r="B42" s="33" t="n">
        <v>0.0805</v>
      </c>
      <c r="C42" s="10" t="s">
        <v>873</v>
      </c>
    </row>
    <row r="43" customFormat="false" ht="15" hidden="false" customHeight="true" outlineLevel="0" collapsed="false">
      <c r="A43" s="10" t="s">
        <v>718</v>
      </c>
      <c r="B43" s="33" t="n">
        <v>0.0015</v>
      </c>
      <c r="C43" s="10" t="s">
        <v>874</v>
      </c>
    </row>
    <row r="44" customFormat="false" ht="15" hidden="false" customHeight="true" outlineLevel="0" collapsed="false">
      <c r="A44" s="10" t="s">
        <v>737</v>
      </c>
      <c r="B44" s="33" t="n">
        <v>0.0267</v>
      </c>
      <c r="C44" s="10" t="s">
        <v>875</v>
      </c>
    </row>
    <row r="45" customFormat="false" ht="15" hidden="false" customHeight="true" outlineLevel="0" collapsed="false">
      <c r="A45" s="10" t="s">
        <v>741</v>
      </c>
      <c r="B45" s="33" t="n">
        <v>0.0968</v>
      </c>
      <c r="C45" s="10" t="s">
        <v>876</v>
      </c>
    </row>
    <row r="46" customFormat="false" ht="15" hidden="false" customHeight="true" outlineLevel="0" collapsed="false">
      <c r="A46" s="10" t="s">
        <v>749</v>
      </c>
      <c r="B46" s="46" t="n">
        <f aca="false">g_pd_unrated</f>
        <v>0.0805</v>
      </c>
      <c r="C46" s="10" t="s">
        <v>877</v>
      </c>
    </row>
    <row r="47" customFormat="false" ht="15" hidden="false" customHeight="true" outlineLevel="0" collapsed="false">
      <c r="A47" s="10" t="s">
        <v>774</v>
      </c>
      <c r="B47" s="33" t="n">
        <v>0.0117</v>
      </c>
      <c r="C47" s="10" t="s">
        <v>878</v>
      </c>
    </row>
    <row r="48" customFormat="false" ht="15" hidden="false" customHeight="true" outlineLevel="0" collapsed="false">
      <c r="A48" s="10" t="s">
        <v>790</v>
      </c>
      <c r="B48" s="33" t="n">
        <v>0.015</v>
      </c>
      <c r="C48" s="10" t="s">
        <v>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7"/>
    <col collapsed="false" customWidth="true" hidden="false" outlineLevel="0" max="26" min="3" style="1" width="11"/>
  </cols>
  <sheetData>
    <row r="1" customFormat="false" ht="17.25" hidden="false" customHeight="true" outlineLevel="0" collapsed="false">
      <c r="A1" s="5" t="s">
        <v>880</v>
      </c>
    </row>
    <row r="2" customFormat="false" ht="15" hidden="false" customHeight="true" outlineLevel="0" collapsed="false">
      <c r="A2" s="6" t="s">
        <v>881</v>
      </c>
    </row>
    <row r="5" customFormat="false" ht="42" hidden="false" customHeight="true" outlineLevel="0" collapsed="false">
      <c r="A5" s="21" t="s">
        <v>51</v>
      </c>
      <c r="B5" s="21" t="s">
        <v>52</v>
      </c>
      <c r="C5" s="21" t="s">
        <v>882</v>
      </c>
      <c r="D5" s="21" t="s">
        <v>883</v>
      </c>
      <c r="E5" s="21" t="s">
        <v>884</v>
      </c>
      <c r="F5" s="21" t="s">
        <v>885</v>
      </c>
      <c r="G5" s="21" t="s">
        <v>886</v>
      </c>
      <c r="H5" s="21" t="s">
        <v>887</v>
      </c>
      <c r="I5" s="21" t="s">
        <v>888</v>
      </c>
      <c r="J5" s="21" t="s">
        <v>889</v>
      </c>
      <c r="K5" s="21" t="s">
        <v>890</v>
      </c>
      <c r="L5" s="21" t="s">
        <v>891</v>
      </c>
      <c r="M5" s="21" t="s">
        <v>892</v>
      </c>
      <c r="N5" s="21" t="s">
        <v>893</v>
      </c>
      <c r="O5" s="21" t="s">
        <v>894</v>
      </c>
      <c r="P5" s="21" t="s">
        <v>895</v>
      </c>
      <c r="Q5" s="21" t="s">
        <v>896</v>
      </c>
      <c r="R5" s="21" t="s">
        <v>897</v>
      </c>
      <c r="S5" s="21" t="s">
        <v>898</v>
      </c>
      <c r="T5" s="21" t="s">
        <v>899</v>
      </c>
      <c r="U5" s="21" t="s">
        <v>900</v>
      </c>
      <c r="V5" s="21" t="s">
        <v>901</v>
      </c>
      <c r="W5" s="21" t="s">
        <v>902</v>
      </c>
      <c r="X5" s="21" t="s">
        <v>903</v>
      </c>
      <c r="Y5" s="21" t="s">
        <v>904</v>
      </c>
      <c r="Z5" s="21" t="s">
        <v>905</v>
      </c>
    </row>
    <row r="6" customFormat="false" ht="15" hidden="false" customHeight="true" outlineLevel="0" collapsed="false">
      <c r="A6" s="10" t="s">
        <v>496</v>
      </c>
      <c r="B6" s="10" t="s">
        <v>497</v>
      </c>
      <c r="C6" s="35" t="n">
        <f aca="false">SUMPRODUCT(BDC_EAD!C$106:C$127,BDC_EAD!$AB$106:$AB$127)+SUMPRODUCT(BDC_EAD!C$131:C$152,BDC_EAD!$AC$106:$AC$127)</f>
        <v>0.922515228653533</v>
      </c>
      <c r="D6" s="35" t="n">
        <f aca="false">(Inputs_Banks!$Y6+p_ccf_bl*Inputs_Banks!$Z6)*CE_LRg0</f>
        <v>34.275444683545</v>
      </c>
      <c r="E6" s="35" t="n">
        <f aca="false">p_fraud*(Inputs_Banks!$Q6+Inputs_Banks!$S6+Inputs_Banks!$U6)</f>
        <v>1.245</v>
      </c>
      <c r="F6" s="35" t="n">
        <f aca="false">p_sw_M1*(C6+D6+E6)</f>
        <v>36.4429599121985</v>
      </c>
      <c r="G6" s="35" t="n">
        <f aca="false">p_sw_M2*(Inputs_Banks!$S6+p_ccf_ff*Inputs_Banks!$T6)*CE_LRff</f>
        <v>3.7356</v>
      </c>
      <c r="H6" s="35" t="n">
        <f aca="false">p_sw_M3*(Inputs_Banks!$U6+p_ccf_abf*Inputs_Banks!$V6)*CE_LRa0</f>
        <v>0</v>
      </c>
      <c r="I6" s="35" t="n">
        <f aca="false">p_sw_M4*(Inputs_Banks!$AD6*p_ccf_ins+Inputs_Banks!$AE6)*p_pd_ins*g_lgd_ins</f>
        <v>0.273</v>
      </c>
      <c r="J6" s="35" t="n">
        <f aca="false">p_sw_M5*SUMPRODUCT(AI_Deals!T$6:T$44,AI_Deals!$Q$6:$Q$44)</f>
        <v>3.50602488942233</v>
      </c>
      <c r="K6" s="35" t="n">
        <f aca="false">p_sw_M6*(SUMPRODUCT(Holdings!$C6:$O6,Holdings!$C$32:$O$32,Holdings!$C$35:$O$35)+Inputs_Banks!$P6*(-p_dp_EQ))</f>
        <v>17.68396</v>
      </c>
      <c r="L6" s="35" t="n">
        <f aca="false">p_sw_M7*Inputs_Banks!$AF6*p_cre_lr</f>
        <v>12.6217</v>
      </c>
      <c r="M6" s="35" t="n">
        <f aca="false">Inputs_Banks!$E6*Inputs_Banks!$K6*Inputs_Banks!$O6*p_dy</f>
        <v>13.4012</v>
      </c>
      <c r="N6" s="35" t="n">
        <f aca="false">MAX(0,-Inputs_Banks!$N6+Inputs_Banks!$M6*g_dur_htm*p_dy)+(1-Inputs_Banks!$E6)*MAX(0,-Inputs_Banks!$L6+Inputs_Banks!$K6*Inputs_Banks!$O6*p_dy)</f>
        <v>34.27244</v>
      </c>
      <c r="O6" s="35" t="n">
        <f aca="false">p_sw_M8*(M6+N6*p_htm_forced)</f>
        <v>13.4012</v>
      </c>
      <c r="P6" s="35" t="n">
        <f aca="false">p_sw_M9*p_srt_lost*Inputs_Banks!$AA6/10000*Inputs_Banks!$H6</f>
        <v>0</v>
      </c>
      <c r="Q6" s="35" t="n">
        <f aca="false">p_sw_M10*Inputs_Banks!$AC6*CE_LRtrs0</f>
        <v>0</v>
      </c>
      <c r="R6" s="35" t="n">
        <f aca="false">p_sw_M11*Inputs_Banks!$AB6*p_pb_pd*MAX(0,p_pb_shock*g_pb_conc-g_pb_margin)</f>
        <v>2.877105</v>
      </c>
      <c r="S6" s="35" t="n">
        <f aca="false">F6+G6+H6+I6+J6+K6+L6+O6+P6+Q6+R6</f>
        <v>90.5415498016209</v>
      </c>
      <c r="T6" s="35" t="n">
        <f aca="false">G6+I6+J6+K6+L6+P6+R6</f>
        <v>40.6973898894223</v>
      </c>
      <c r="U6" s="35" t="n">
        <f aca="false">Inputs_Banks!$G6+p_ppnr_q*Inputs_Banks!$J6</f>
        <v>304.1</v>
      </c>
      <c r="V6" s="35" t="n">
        <f aca="false">Inputs_Banks!$H6*(1+p_rwa_infl)</f>
        <v>2358.18</v>
      </c>
      <c r="W6" s="35" t="n">
        <f aca="false">U6-(1-p_tax)*S6</f>
        <v>213.558450198379</v>
      </c>
      <c r="X6" s="39" t="n">
        <f aca="false">W6/V6</f>
        <v>0.0905607079181314</v>
      </c>
      <c r="Y6" s="35" t="n">
        <f aca="false">p_sw_M1*(p_ccf_bl*Inputs_Banks!$Z6+BDC_EAD!C$154)+p_sw_M2*p_ccf_ff*Inputs_Banks!$T6+p_sw_M3*p_ccf_abf*Inputs_Banks!$V6+p_sw_M5*Z6+p_sw_M4*p_ccf_ins*Inputs_Banks!$AD6</f>
        <v>45.160097</v>
      </c>
      <c r="Z6" s="35" t="n">
        <f aca="false">p_ccf_ai*SUMPRODUCT(AI_Deals!T$6:T$44,AI_Deals!$R$6:$R$44)</f>
        <v>1.635</v>
      </c>
    </row>
    <row r="7" customFormat="false" ht="15" hidden="false" customHeight="true" outlineLevel="0" collapsed="false">
      <c r="A7" s="10" t="s">
        <v>499</v>
      </c>
      <c r="B7" s="10" t="s">
        <v>500</v>
      </c>
      <c r="C7" s="35" t="n">
        <f aca="false">SUMPRODUCT(BDC_EAD!D$106:D$127,BDC_EAD!$AB$106:$AB$127)+SUMPRODUCT(BDC_EAD!D$131:D$152,BDC_EAD!$AC$106:$AC$127)</f>
        <v>2.97946082605617</v>
      </c>
      <c r="D7" s="35" t="n">
        <f aca="false">(Inputs_Banks!$Y7+p_ccf_bl*Inputs_Banks!$Z7)*CE_LRg0</f>
        <v>13.343443663377</v>
      </c>
      <c r="E7" s="35" t="n">
        <f aca="false">p_fraud*(Inputs_Banks!$Q7+Inputs_Banks!$S7+Inputs_Banks!$U7)</f>
        <v>0.688</v>
      </c>
      <c r="F7" s="35" t="n">
        <f aca="false">p_sw_M1*(C7+D7+E7)</f>
        <v>17.0109044894332</v>
      </c>
      <c r="G7" s="35" t="n">
        <f aca="false">p_sw_M2*(Inputs_Banks!$S7+p_ccf_ff*Inputs_Banks!$T7)*CE_LRff</f>
        <v>2.31825</v>
      </c>
      <c r="H7" s="35" t="n">
        <f aca="false">p_sw_M3*(Inputs_Banks!$U7+p_ccf_abf*Inputs_Banks!$V7)*CE_LRa0</f>
        <v>0</v>
      </c>
      <c r="I7" s="35" t="n">
        <f aca="false">p_sw_M4*(Inputs_Banks!$AD7*p_ccf_ins+Inputs_Banks!$AE7)*p_pd_ins*g_lgd_ins</f>
        <v>0.273</v>
      </c>
      <c r="J7" s="35" t="n">
        <f aca="false">p_sw_M5*SUMPRODUCT(AI_Deals!U$6:U$44,AI_Deals!$Q$6:$Q$44)</f>
        <v>4.62006302508695</v>
      </c>
      <c r="K7" s="35" t="n">
        <f aca="false">p_sw_M6*(SUMPRODUCT(Holdings!$C7:$O7,Holdings!$C$32:$O$32,Holdings!$C$35:$O$35)+Inputs_Banks!$P7*(-p_dp_EQ))</f>
        <v>7.077</v>
      </c>
      <c r="L7" s="35" t="n">
        <f aca="false">p_sw_M7*Inputs_Banks!$AF7*p_cre_lr</f>
        <v>5.8317</v>
      </c>
      <c r="M7" s="35" t="n">
        <f aca="false">Inputs_Banks!$E7*Inputs_Banks!$K7*Inputs_Banks!$O7*p_dy</f>
        <v>8.7135</v>
      </c>
      <c r="N7" s="35" t="n">
        <f aca="false">MAX(0,-Inputs_Banks!$N7+Inputs_Banks!$M7*g_dur_htm*p_dy)+(1-Inputs_Banks!$E7)*MAX(0,-Inputs_Banks!$L7+Inputs_Banks!$K7*Inputs_Banks!$O7*p_dy)</f>
        <v>112.44194</v>
      </c>
      <c r="O7" s="35" t="n">
        <f aca="false">p_sw_M8*(M7+N7*p_htm_forced)</f>
        <v>8.7135</v>
      </c>
      <c r="P7" s="35" t="n">
        <f aca="false">p_sw_M9*p_srt_lost*Inputs_Banks!$AA7/10000*Inputs_Banks!$H7</f>
        <v>0</v>
      </c>
      <c r="Q7" s="35" t="n">
        <f aca="false">p_sw_M10*Inputs_Banks!$AC7*CE_LRtrs0</f>
        <v>26.6603133124681</v>
      </c>
      <c r="R7" s="35" t="n">
        <f aca="false">p_sw_M11*Inputs_Banks!$AB7*p_pb_pd*MAX(0,p_pb_shock*g_pb_conc-g_pb_margin)</f>
        <v>0</v>
      </c>
      <c r="S7" s="35" t="n">
        <f aca="false">F7+G7+H7+I7+J7+K7+L7+O7+P7+Q7+R7</f>
        <v>72.5047308269883</v>
      </c>
      <c r="T7" s="35" t="n">
        <f aca="false">G7+I7+J7+K7+L7+P7+R7</f>
        <v>20.1200130250869</v>
      </c>
      <c r="U7" s="35" t="n">
        <f aca="false">Inputs_Banks!$G7+p_ppnr_q*Inputs_Banks!$J7</f>
        <v>198.4</v>
      </c>
      <c r="V7" s="35" t="n">
        <f aca="false">Inputs_Banks!$H7*(1+p_rwa_infl)</f>
        <v>1969.812</v>
      </c>
      <c r="W7" s="35" t="n">
        <f aca="false">U7-(1-p_tax)*S7</f>
        <v>125.895269173012</v>
      </c>
      <c r="X7" s="39" t="n">
        <f aca="false">W7/V7</f>
        <v>0.0639123272540789</v>
      </c>
      <c r="Y7" s="35" t="n">
        <f aca="false">p_sw_M1*(p_ccf_bl*Inputs_Banks!$Z7+BDC_EAD!D$154)+p_sw_M2*p_ccf_ff*Inputs_Banks!$T7+p_sw_M3*p_ccf_abf*Inputs_Banks!$V7+p_sw_M5*Z7+p_sw_M4*p_ccf_ins*Inputs_Banks!$AD7</f>
        <v>25.5386092</v>
      </c>
      <c r="Z7" s="35" t="n">
        <f aca="false">p_ccf_ai*SUMPRODUCT(AI_Deals!U$6:U$44,AI_Deals!$R$6:$R$44)</f>
        <v>1</v>
      </c>
    </row>
    <row r="8" customFormat="false" ht="15" hidden="false" customHeight="true" outlineLevel="0" collapsed="false">
      <c r="A8" s="10" t="s">
        <v>501</v>
      </c>
      <c r="B8" s="10" t="s">
        <v>502</v>
      </c>
      <c r="C8" s="35" t="n">
        <f aca="false">SUMPRODUCT(BDC_EAD!E$106:E$127,BDC_EAD!$AB$106:$AB$127)+SUMPRODUCT(BDC_EAD!E$131:E$152,BDC_EAD!$AC$106:$AC$127)</f>
        <v>1.73621794562617</v>
      </c>
      <c r="D8" s="35" t="n">
        <f aca="false">(Inputs_Banks!$Y8+p_ccf_bl*Inputs_Banks!$Z8)*CE_LRg0</f>
        <v>30.0398996636621</v>
      </c>
      <c r="E8" s="35" t="n">
        <f aca="false">p_fraud*(Inputs_Banks!$Q8+Inputs_Banks!$S8+Inputs_Banks!$U8)</f>
        <v>0.71</v>
      </c>
      <c r="F8" s="35" t="n">
        <f aca="false">p_sw_M1*(C8+D8+E8)</f>
        <v>32.4861176092882</v>
      </c>
      <c r="G8" s="35" t="n">
        <f aca="false">p_sw_M2*(Inputs_Banks!$S8+p_ccf_ff*Inputs_Banks!$T8)*CE_LRff</f>
        <v>0.4752</v>
      </c>
      <c r="H8" s="35" t="n">
        <f aca="false">p_sw_M3*(Inputs_Banks!$U8+p_ccf_abf*Inputs_Banks!$V8)*CE_LRa0</f>
        <v>1.1925</v>
      </c>
      <c r="I8" s="35" t="n">
        <f aca="false">p_sw_M4*(Inputs_Banks!$AD8*p_ccf_ins+Inputs_Banks!$AE8)*p_pd_ins*g_lgd_ins</f>
        <v>0.453</v>
      </c>
      <c r="J8" s="35" t="n">
        <f aca="false">p_sw_M5*SUMPRODUCT(AI_Deals!V$6:V$44,AI_Deals!$Q$6:$Q$44)</f>
        <v>4.75311936064827</v>
      </c>
      <c r="K8" s="35" t="n">
        <f aca="false">p_sw_M6*(SUMPRODUCT(Holdings!$C8:$O8,Holdings!$C$32:$O$32,Holdings!$C$35:$O$35)+Inputs_Banks!$P8*(-p_dp_EQ))</f>
        <v>5.86777</v>
      </c>
      <c r="L8" s="35" t="n">
        <f aca="false">p_sw_M7*Inputs_Banks!$AF8*p_cre_lr</f>
        <v>2.6033</v>
      </c>
      <c r="M8" s="35" t="n">
        <f aca="false">Inputs_Banks!$E8*Inputs_Banks!$K8*Inputs_Banks!$O8*p_dy</f>
        <v>7.169125</v>
      </c>
      <c r="N8" s="35" t="n">
        <f aca="false">MAX(0,-Inputs_Banks!$N8+Inputs_Banks!$M8*g_dur_htm*p_dy)+(1-Inputs_Banks!$E8)*MAX(0,-Inputs_Banks!$L8+Inputs_Banks!$K8*Inputs_Banks!$O8*p_dy)</f>
        <v>20.44258</v>
      </c>
      <c r="O8" s="35" t="n">
        <f aca="false">p_sw_M8*(M8+N8*p_htm_forced)</f>
        <v>7.169125</v>
      </c>
      <c r="P8" s="35" t="n">
        <f aca="false">p_sw_M9*p_srt_lost*Inputs_Banks!$AA8/10000*Inputs_Banks!$H8</f>
        <v>0</v>
      </c>
      <c r="Q8" s="35" t="n">
        <f aca="false">p_sw_M10*Inputs_Banks!$AC8*CE_LRtrs0</f>
        <v>0</v>
      </c>
      <c r="R8" s="35" t="n">
        <f aca="false">p_sw_M11*Inputs_Banks!$AB8*p_pb_pd*MAX(0,p_pb_shock*g_pb_conc-g_pb_margin)</f>
        <v>2.91627</v>
      </c>
      <c r="S8" s="35" t="n">
        <f aca="false">F8+G8+H8+I8+J8+K8+L8+O8+P8+Q8+R8</f>
        <v>57.9164019699365</v>
      </c>
      <c r="T8" s="35" t="n">
        <f aca="false">G8+I8+J8+K8+L8+P8+R8</f>
        <v>17.0686593606483</v>
      </c>
      <c r="U8" s="35" t="n">
        <f aca="false">Inputs_Banks!$G8+p_ppnr_q*Inputs_Banks!$J8</f>
        <v>157.4</v>
      </c>
      <c r="V8" s="35" t="n">
        <f aca="false">Inputs_Banks!$H8*(1+p_rwa_infl)</f>
        <v>1330.452</v>
      </c>
      <c r="W8" s="35" t="n">
        <f aca="false">U8-(1-p_tax)*S8</f>
        <v>99.4835980300635</v>
      </c>
      <c r="X8" s="39" t="n">
        <f aca="false">W8/V8</f>
        <v>0.0747742857540621</v>
      </c>
      <c r="Y8" s="35" t="n">
        <f aca="false">p_sw_M1*(p_ccf_bl*Inputs_Banks!$Z8+BDC_EAD!E$154)+p_sw_M2*p_ccf_ff*Inputs_Banks!$T8+p_sw_M3*p_ccf_abf*Inputs_Banks!$V8+p_sw_M5*Z8+p_sw_M4*p_ccf_ins*Inputs_Banks!$AD8</f>
        <v>24.8867432</v>
      </c>
      <c r="Z8" s="35" t="n">
        <f aca="false">p_ccf_ai*SUMPRODUCT(AI_Deals!V$6:V$44,AI_Deals!$R$6:$R$44)</f>
        <v>1.442</v>
      </c>
    </row>
    <row r="9" customFormat="false" ht="15" hidden="false" customHeight="true" outlineLevel="0" collapsed="false">
      <c r="A9" s="10" t="s">
        <v>503</v>
      </c>
      <c r="B9" s="10" t="s">
        <v>504</v>
      </c>
      <c r="C9" s="35" t="n">
        <f aca="false">SUMPRODUCT(BDC_EAD!F$106:F$127,BDC_EAD!$AB$106:$AB$127)+SUMPRODUCT(BDC_EAD!F$131:F$152,BDC_EAD!$AC$106:$AC$127)</f>
        <v>3.29223882060003</v>
      </c>
      <c r="D9" s="35" t="n">
        <f aca="false">(Inputs_Banks!$Y9+p_ccf_bl*Inputs_Banks!$Z9)*CE_LRg0</f>
        <v>44.8048679319463</v>
      </c>
      <c r="E9" s="35" t="n">
        <f aca="false">p_fraud*(Inputs_Banks!$Q9+Inputs_Banks!$S9+Inputs_Banks!$U9)</f>
        <v>1.287</v>
      </c>
      <c r="F9" s="35" t="n">
        <f aca="false">p_sw_M1*(C9+D9+E9)</f>
        <v>49.3841067525463</v>
      </c>
      <c r="G9" s="35" t="n">
        <f aca="false">p_sw_M2*(Inputs_Banks!$S9+p_ccf_ff*Inputs_Banks!$T9)*CE_LRff</f>
        <v>3.021975</v>
      </c>
      <c r="H9" s="35" t="n">
        <f aca="false">p_sw_M3*(Inputs_Banks!$U9+p_ccf_abf*Inputs_Banks!$V9)*CE_LRa0</f>
        <v>0</v>
      </c>
      <c r="I9" s="35" t="n">
        <f aca="false">p_sw_M4*(Inputs_Banks!$AD9*p_ccf_ins+Inputs_Banks!$AE9)*p_pd_ins*g_lgd_ins</f>
        <v>0.429</v>
      </c>
      <c r="J9" s="35" t="n">
        <f aca="false">p_sw_M5*SUMPRODUCT(AI_Deals!W$6:W$44,AI_Deals!$Q$6:$Q$44)</f>
        <v>0.449806074316856</v>
      </c>
      <c r="K9" s="35" t="n">
        <f aca="false">p_sw_M6*(SUMPRODUCT(Holdings!$C9:$O9,Holdings!$C$32:$O$32,Holdings!$C$35:$O$35)+Inputs_Banks!$P9*(-p_dp_EQ))</f>
        <v>4.8184</v>
      </c>
      <c r="L9" s="35" t="n">
        <f aca="false">p_sw_M7*Inputs_Banks!$AF9*p_cre_lr</f>
        <v>8.8214</v>
      </c>
      <c r="M9" s="35" t="n">
        <f aca="false">Inputs_Banks!$E9*Inputs_Banks!$K9*Inputs_Banks!$O9*p_dy</f>
        <v>6.25815</v>
      </c>
      <c r="N9" s="35" t="n">
        <f aca="false">MAX(0,-Inputs_Banks!$N9+Inputs_Banks!$M9*g_dur_htm*p_dy)+(1-Inputs_Banks!$E9)*MAX(0,-Inputs_Banks!$L9+Inputs_Banks!$K9*Inputs_Banks!$O9*p_dy)</f>
        <v>44.32238</v>
      </c>
      <c r="O9" s="35" t="n">
        <f aca="false">p_sw_M8*(M9+N9*p_htm_forced)</f>
        <v>6.25815</v>
      </c>
      <c r="P9" s="35" t="n">
        <f aca="false">p_sw_M9*p_srt_lost*Inputs_Banks!$AA9/10000*Inputs_Banks!$H9</f>
        <v>0</v>
      </c>
      <c r="Q9" s="35" t="n">
        <f aca="false">p_sw_M10*Inputs_Banks!$AC9*CE_LRtrs0</f>
        <v>0</v>
      </c>
      <c r="R9" s="35" t="n">
        <f aca="false">p_sw_M11*Inputs_Banks!$AB9*p_pb_pd*MAX(0,p_pb_shock*g_pb_conc-g_pb_margin)</f>
        <v>0</v>
      </c>
      <c r="S9" s="35" t="n">
        <f aca="false">F9+G9+H9+I9+J9+K9+L9+O9+P9+Q9+R9</f>
        <v>73.1828378268631</v>
      </c>
      <c r="T9" s="35" t="n">
        <f aca="false">G9+I9+J9+K9+L9+P9+R9</f>
        <v>17.5405810743169</v>
      </c>
      <c r="U9" s="35" t="n">
        <f aca="false">Inputs_Banks!$G9+p_ppnr_q*Inputs_Banks!$J9</f>
        <v>134.6</v>
      </c>
      <c r="V9" s="35" t="n">
        <f aca="false">Inputs_Banks!$H9*(1+p_rwa_infl)</f>
        <v>1446.984</v>
      </c>
      <c r="W9" s="35" t="n">
        <f aca="false">U9-(1-p_tax)*S9</f>
        <v>61.4171621731369</v>
      </c>
      <c r="X9" s="39" t="n">
        <f aca="false">W9/V9</f>
        <v>0.042444949061729</v>
      </c>
      <c r="Y9" s="35" t="n">
        <f aca="false">p_sw_M1*(p_ccf_bl*Inputs_Banks!$Z9+BDC_EAD!F$154)+p_sw_M2*p_ccf_ff*Inputs_Banks!$T9+p_sw_M3*p_ccf_abf*Inputs_Banks!$V9+p_sw_M5*Z9+p_sw_M4*p_ccf_ins*Inputs_Banks!$AD9</f>
        <v>53.0660504</v>
      </c>
      <c r="Z9" s="35" t="n">
        <f aca="false">p_ccf_ai*SUMPRODUCT(AI_Deals!W$6:W$44,AI_Deals!$R$6:$R$44)</f>
        <v>1.192</v>
      </c>
    </row>
    <row r="10" customFormat="false" ht="15" hidden="false" customHeight="true" outlineLevel="0" collapsed="false">
      <c r="A10" s="10" t="s">
        <v>505</v>
      </c>
      <c r="B10" s="10" t="s">
        <v>506</v>
      </c>
      <c r="C10" s="35" t="n">
        <f aca="false">SUMPRODUCT(BDC_EAD!G$106:G$127,BDC_EAD!$AB$106:$AB$127)+SUMPRODUCT(BDC_EAD!G$131:G$152,BDC_EAD!$AC$106:$AC$127)</f>
        <v>1.03628510638187</v>
      </c>
      <c r="D10" s="35" t="n">
        <f aca="false">(Inputs_Banks!$Y10+p_ccf_bl*Inputs_Banks!$Z10)*CE_LRg0</f>
        <v>17.6475576179977</v>
      </c>
      <c r="E10" s="35" t="n">
        <f aca="false">p_fraud*(Inputs_Banks!$Q10+Inputs_Banks!$S10+Inputs_Banks!$U10)</f>
        <v>0.62</v>
      </c>
      <c r="F10" s="35" t="n">
        <f aca="false">p_sw_M1*(C10+D10+E10)</f>
        <v>19.3038427243796</v>
      </c>
      <c r="G10" s="35" t="n">
        <f aca="false">p_sw_M2*(Inputs_Banks!$S10+p_ccf_ff*Inputs_Banks!$T10)*CE_LRff</f>
        <v>1.7886</v>
      </c>
      <c r="H10" s="35" t="n">
        <f aca="false">p_sw_M3*(Inputs_Banks!$U10+p_ccf_abf*Inputs_Banks!$V10)*CE_LRa0</f>
        <v>0</v>
      </c>
      <c r="I10" s="35" t="n">
        <f aca="false">p_sw_M4*(Inputs_Banks!$AD10*p_ccf_ins+Inputs_Banks!$AE10)*p_pd_ins*g_lgd_ins</f>
        <v>0.273</v>
      </c>
      <c r="J10" s="35" t="n">
        <f aca="false">p_sw_M5*SUMPRODUCT(AI_Deals!X$6:X$44,AI_Deals!$Q$6:$Q$44)</f>
        <v>1.5656789776147</v>
      </c>
      <c r="K10" s="35" t="n">
        <f aca="false">p_sw_M6*(SUMPRODUCT(Holdings!$C10:$O10,Holdings!$C$32:$O$32,Holdings!$C$35:$O$35)+Inputs_Banks!$P10*(-p_dp_EQ))</f>
        <v>13.3488</v>
      </c>
      <c r="L10" s="35" t="n">
        <f aca="false">p_sw_M7*Inputs_Banks!$AF10*p_cre_lr</f>
        <v>2.8217</v>
      </c>
      <c r="M10" s="35" t="n">
        <f aca="false">Inputs_Banks!$E10*Inputs_Banks!$K10*Inputs_Banks!$O10*p_dy</f>
        <v>3.8909</v>
      </c>
      <c r="N10" s="35" t="n">
        <f aca="false">MAX(0,-Inputs_Banks!$N10+Inputs_Banks!$M10*g_dur_htm*p_dy)+(1-Inputs_Banks!$E10)*MAX(0,-Inputs_Banks!$L10+Inputs_Banks!$K10*Inputs_Banks!$O10*p_dy)</f>
        <v>4.48248</v>
      </c>
      <c r="O10" s="35" t="n">
        <f aca="false">p_sw_M8*(M10+N10*p_htm_forced)</f>
        <v>3.8909</v>
      </c>
      <c r="P10" s="35" t="n">
        <f aca="false">p_sw_M9*p_srt_lost*Inputs_Banks!$AA10/10000*Inputs_Banks!$H10</f>
        <v>0</v>
      </c>
      <c r="Q10" s="35" t="n">
        <f aca="false">p_sw_M10*Inputs_Banks!$AC10*CE_LRtrs0</f>
        <v>0</v>
      </c>
      <c r="R10" s="35" t="n">
        <f aca="false">p_sw_M11*Inputs_Banks!$AB10*p_pb_pd*MAX(0,p_pb_shock*g_pb_conc-g_pb_margin)</f>
        <v>5.1044</v>
      </c>
      <c r="S10" s="35" t="n">
        <f aca="false">F10+G10+H10+I10+J10+K10+L10+O10+P10+Q10+R10</f>
        <v>48.0969217019943</v>
      </c>
      <c r="T10" s="35" t="n">
        <f aca="false">G10+I10+J10+K10+L10+P10+R10</f>
        <v>24.9021789776147</v>
      </c>
      <c r="U10" s="35" t="n">
        <f aca="false">Inputs_Banks!$G10+p_ppnr_q*Inputs_Banks!$J10</f>
        <v>101.4</v>
      </c>
      <c r="V10" s="35" t="n">
        <f aca="false">Inputs_Banks!$H10*(1+p_rwa_infl)</f>
        <v>882.36</v>
      </c>
      <c r="W10" s="35" t="n">
        <f aca="false">U10-(1-p_tax)*S10</f>
        <v>53.3030782980058</v>
      </c>
      <c r="X10" s="39" t="n">
        <f aca="false">W10/V10</f>
        <v>0.0604096721270295</v>
      </c>
      <c r="Y10" s="35" t="n">
        <f aca="false">p_sw_M1*(p_ccf_bl*Inputs_Banks!$Z10+BDC_EAD!G$154)+p_sw_M2*p_ccf_ff*Inputs_Banks!$T10+p_sw_M3*p_ccf_abf*Inputs_Banks!$V10+p_sw_M5*Z10+p_sw_M4*p_ccf_ins*Inputs_Banks!$AD10</f>
        <v>24.4757226</v>
      </c>
      <c r="Z10" s="35" t="n">
        <f aca="false">p_ccf_ai*SUMPRODUCT(AI_Deals!X$6:X$44,AI_Deals!$R$6:$R$44)</f>
        <v>1.635</v>
      </c>
    </row>
    <row r="11" customFormat="false" ht="15" hidden="false" customHeight="true" outlineLevel="0" collapsed="false">
      <c r="A11" s="10" t="s">
        <v>507</v>
      </c>
      <c r="B11" s="10" t="s">
        <v>508</v>
      </c>
      <c r="C11" s="35" t="n">
        <f aca="false">SUMPRODUCT(BDC_EAD!H$106:H$127,BDC_EAD!$AB$106:$AB$127)+SUMPRODUCT(BDC_EAD!H$131:H$152,BDC_EAD!$AC$106:$AC$127)</f>
        <v>1.83034129172021</v>
      </c>
      <c r="D11" s="35" t="n">
        <f aca="false">(Inputs_Banks!$Y11+p_ccf_bl*Inputs_Banks!$Z11)*CE_LRg0</f>
        <v>12.5284566400449</v>
      </c>
      <c r="E11" s="35" t="n">
        <f aca="false">p_fraud*(Inputs_Banks!$Q11+Inputs_Banks!$S11+Inputs_Banks!$U11)</f>
        <v>0.329</v>
      </c>
      <c r="F11" s="35" t="n">
        <f aca="false">p_sw_M1*(C11+D11+E11)</f>
        <v>14.6877979317651</v>
      </c>
      <c r="G11" s="35" t="n">
        <f aca="false">p_sw_M2*(Inputs_Banks!$S11+p_ccf_ff*Inputs_Banks!$T11)*CE_LRff</f>
        <v>0.705375</v>
      </c>
      <c r="H11" s="35" t="n">
        <f aca="false">p_sw_M3*(Inputs_Banks!$U11+p_ccf_abf*Inputs_Banks!$V11)*CE_LRa0</f>
        <v>0</v>
      </c>
      <c r="I11" s="35" t="n">
        <f aca="false">p_sw_M4*(Inputs_Banks!$AD11*p_ccf_ins+Inputs_Banks!$AE11)*p_pd_ins*g_lgd_ins</f>
        <v>0.273</v>
      </c>
      <c r="J11" s="35" t="n">
        <f aca="false">p_sw_M5*SUMPRODUCT(AI_Deals!Y$6:Y$44,AI_Deals!$Q$6:$Q$44)</f>
        <v>6.98291149085271</v>
      </c>
      <c r="K11" s="35" t="n">
        <f aca="false">p_sw_M6*(SUMPRODUCT(Holdings!$C11:$O11,Holdings!$C$32:$O$32,Holdings!$C$35:$O$35)+Inputs_Banks!$P11*(-p_dp_EQ))</f>
        <v>10.83874</v>
      </c>
      <c r="L11" s="35" t="n">
        <f aca="false">p_sw_M7*Inputs_Banks!$AF11*p_cre_lr</f>
        <v>1.148</v>
      </c>
      <c r="M11" s="35" t="n">
        <f aca="false">Inputs_Banks!$E11*Inputs_Banks!$K11*Inputs_Banks!$O11*p_dy</f>
        <v>2.6383</v>
      </c>
      <c r="N11" s="35" t="n">
        <f aca="false">MAX(0,-Inputs_Banks!$N11+Inputs_Banks!$M11*g_dur_htm*p_dy)+(1-Inputs_Banks!$E11)*MAX(0,-Inputs_Banks!$L11+Inputs_Banks!$K11*Inputs_Banks!$O11*p_dy)</f>
        <v>10.37382</v>
      </c>
      <c r="O11" s="35" t="n">
        <f aca="false">p_sw_M8*(M11+N11*p_htm_forced)</f>
        <v>2.6383</v>
      </c>
      <c r="P11" s="35" t="n">
        <f aca="false">p_sw_M9*p_srt_lost*Inputs_Banks!$AA11/10000*Inputs_Banks!$H11</f>
        <v>0</v>
      </c>
      <c r="Q11" s="35" t="n">
        <f aca="false">p_sw_M10*Inputs_Banks!$AC11*CE_LRtrs0</f>
        <v>0</v>
      </c>
      <c r="R11" s="35" t="n">
        <f aca="false">p_sw_M11*Inputs_Banks!$AB11*p_pb_pd*MAX(0,p_pb_shock*g_pb_conc-g_pb_margin)</f>
        <v>3.51148</v>
      </c>
      <c r="S11" s="35" t="n">
        <f aca="false">F11+G11+H11+I11+J11+K11+L11+O11+P11+Q11+R11</f>
        <v>40.7856044226178</v>
      </c>
      <c r="T11" s="35" t="n">
        <f aca="false">G11+I11+J11+K11+L11+P11+R11</f>
        <v>23.4595064908527</v>
      </c>
      <c r="U11" s="35" t="n">
        <f aca="false">Inputs_Banks!$G11+p_ppnr_q*Inputs_Banks!$J11</f>
        <v>88.8</v>
      </c>
      <c r="V11" s="35" t="n">
        <f aca="false">Inputs_Banks!$H11*(1+p_rwa_infl)</f>
        <v>643.464</v>
      </c>
      <c r="W11" s="35" t="n">
        <f aca="false">U11-(1-p_tax)*S11</f>
        <v>48.0143955773822</v>
      </c>
      <c r="X11" s="39" t="n">
        <f aca="false">W11/V11</f>
        <v>0.0746186198099384</v>
      </c>
      <c r="Y11" s="35" t="n">
        <f aca="false">p_sw_M1*(p_ccf_bl*Inputs_Banks!$Z11+BDC_EAD!H$154)+p_sw_M2*p_ccf_ff*Inputs_Banks!$T11+p_sw_M3*p_ccf_abf*Inputs_Banks!$V11+p_sw_M5*Z11+p_sw_M4*p_ccf_ins*Inputs_Banks!$AD11</f>
        <v>18.2013845</v>
      </c>
      <c r="Z11" s="35" t="n">
        <f aca="false">p_ccf_ai*SUMPRODUCT(AI_Deals!Y$6:Y$44,AI_Deals!$R$6:$R$44)</f>
        <v>1.635</v>
      </c>
    </row>
    <row r="12" customFormat="false" ht="15" hidden="false" customHeight="true" outlineLevel="0" collapsed="false">
      <c r="A12" s="10" t="s">
        <v>509</v>
      </c>
      <c r="B12" s="10" t="s">
        <v>509</v>
      </c>
      <c r="C12" s="35" t="n">
        <f aca="false">SUMPRODUCT(BDC_EAD!I$106:I$127,BDC_EAD!$AB$106:$AB$127)+SUMPRODUCT(BDC_EAD!I$131:I$152,BDC_EAD!$AC$106:$AC$127)</f>
        <v>0</v>
      </c>
      <c r="D12" s="35" t="n">
        <f aca="false">(Inputs_Banks!$Y12+p_ccf_bl*Inputs_Banks!$Z12)*CE_LRg0</f>
        <v>22.6418539113012</v>
      </c>
      <c r="E12" s="35" t="n">
        <f aca="false">p_fraud*(Inputs_Banks!$Q12+Inputs_Banks!$S12+Inputs_Banks!$U12)</f>
        <v>0.619</v>
      </c>
      <c r="F12" s="35" t="n">
        <f aca="false">p_sw_M1*(C12+D12+E12)</f>
        <v>23.2608539113012</v>
      </c>
      <c r="G12" s="35" t="n">
        <f aca="false">p_sw_M2*(Inputs_Banks!$S12+p_ccf_ff*Inputs_Banks!$T12)*CE_LRff</f>
        <v>1.58565</v>
      </c>
      <c r="H12" s="35" t="n">
        <f aca="false">p_sw_M3*(Inputs_Banks!$U12+p_ccf_abf*Inputs_Banks!$V12)*CE_LRa0</f>
        <v>0</v>
      </c>
      <c r="I12" s="35" t="n">
        <f aca="false">p_sw_M4*(Inputs_Banks!$AD12*p_ccf_ins+Inputs_Banks!$AE12)*p_pd_ins*g_lgd_ins</f>
        <v>0</v>
      </c>
      <c r="J12" s="35" t="n">
        <f aca="false">p_sw_M5*SUMPRODUCT(AI_Deals!Z$6:Z$44,AI_Deals!$Q$6:$Q$44)</f>
        <v>0.0398768010820675</v>
      </c>
      <c r="K12" s="35" t="n">
        <f aca="false">p_sw_M6*(SUMPRODUCT(Holdings!$C12:$O12,Holdings!$C$32:$O$32,Holdings!$C$35:$O$35)+Inputs_Banks!$P12*(-p_dp_EQ))</f>
        <v>0.55757</v>
      </c>
      <c r="L12" s="35" t="n">
        <f aca="false">p_sw_M7*Inputs_Banks!$AF12*p_cre_lr</f>
        <v>3.3005</v>
      </c>
      <c r="M12" s="35" t="n">
        <f aca="false">Inputs_Banks!$E12*Inputs_Banks!$K12*Inputs_Banks!$O12*p_dy</f>
        <v>0</v>
      </c>
      <c r="N12" s="35" t="n">
        <f aca="false">MAX(0,-Inputs_Banks!$N12+Inputs_Banks!$M12*g_dur_htm*p_dy)+(1-Inputs_Banks!$E12)*MAX(0,-Inputs_Banks!$L12+Inputs_Banks!$K12*Inputs_Banks!$O12*p_dy)</f>
        <v>11.47286</v>
      </c>
      <c r="O12" s="35" t="n">
        <f aca="false">p_sw_M8*(M12+N12*p_htm_forced)</f>
        <v>0</v>
      </c>
      <c r="P12" s="35" t="n">
        <f aca="false">p_sw_M9*p_srt_lost*Inputs_Banks!$AA12/10000*Inputs_Banks!$H12</f>
        <v>0</v>
      </c>
      <c r="Q12" s="35" t="n">
        <f aca="false">p_sw_M10*Inputs_Banks!$AC12*CE_LRtrs0</f>
        <v>0</v>
      </c>
      <c r="R12" s="35" t="n">
        <f aca="false">p_sw_M11*Inputs_Banks!$AB12*p_pb_pd*MAX(0,p_pb_shock*g_pb_conc-g_pb_margin)</f>
        <v>0</v>
      </c>
      <c r="S12" s="35" t="n">
        <f aca="false">F12+G12+H12+I12+J12+K12+L12+O12+P12+Q12+R12</f>
        <v>28.7444507123833</v>
      </c>
      <c r="T12" s="35" t="n">
        <f aca="false">G12+I12+J12+K12+L12+P12+R12</f>
        <v>5.48359680108207</v>
      </c>
      <c r="U12" s="35" t="n">
        <f aca="false">Inputs_Banks!$G12+p_ppnr_q*Inputs_Banks!$J12</f>
        <v>49.1</v>
      </c>
      <c r="V12" s="35" t="n">
        <f aca="false">Inputs_Banks!$H12*(1+p_rwa_infl)</f>
        <v>540.864</v>
      </c>
      <c r="W12" s="35" t="n">
        <f aca="false">U12-(1-p_tax)*S12</f>
        <v>20.3555492876167</v>
      </c>
      <c r="X12" s="39" t="n">
        <f aca="false">W12/V12</f>
        <v>0.0376352452513326</v>
      </c>
      <c r="Y12" s="35" t="n">
        <f aca="false">p_sw_M1*(p_ccf_bl*Inputs_Banks!$Z12+BDC_EAD!I$154)+p_sw_M2*p_ccf_ff*Inputs_Banks!$T12+p_sw_M3*p_ccf_abf*Inputs_Banks!$V12+p_sw_M5*Z12+p_sw_M4*p_ccf_ins*Inputs_Banks!$AD12</f>
        <v>25.4204874</v>
      </c>
      <c r="Z12" s="35" t="n">
        <f aca="false">p_ccf_ai*SUMPRODUCT(AI_Deals!Z$6:Z$44,AI_Deals!$R$6:$R$44)</f>
        <v>0</v>
      </c>
    </row>
    <row r="13" customFormat="false" ht="15" hidden="false" customHeight="true" outlineLevel="0" collapsed="false">
      <c r="A13" s="10" t="s">
        <v>510</v>
      </c>
      <c r="B13" s="10" t="s">
        <v>511</v>
      </c>
      <c r="C13" s="35" t="n">
        <f aca="false">SUMPRODUCT(BDC_EAD!J$106:J$127,BDC_EAD!$AB$106:$AB$127)+SUMPRODUCT(BDC_EAD!J$131:J$152,BDC_EAD!$AC$106:$AC$127)</f>
        <v>0</v>
      </c>
      <c r="D13" s="35" t="n">
        <f aca="false">(Inputs_Banks!$Y13+p_ccf_bl*Inputs_Banks!$Z13)*CE_LRg0</f>
        <v>8.49499941617616</v>
      </c>
      <c r="E13" s="35" t="n">
        <f aca="false">p_fraud*(Inputs_Banks!$Q13+Inputs_Banks!$S13+Inputs_Banks!$U13)</f>
        <v>0.286</v>
      </c>
      <c r="F13" s="35" t="n">
        <f aca="false">p_sw_M1*(C13+D13+E13)</f>
        <v>8.78099941617616</v>
      </c>
      <c r="G13" s="35" t="n">
        <f aca="false">p_sw_M2*(Inputs_Banks!$S13+p_ccf_ff*Inputs_Banks!$T13)*CE_LRff</f>
        <v>0.89595</v>
      </c>
      <c r="H13" s="35" t="n">
        <f aca="false">p_sw_M3*(Inputs_Banks!$U13+p_ccf_abf*Inputs_Banks!$V13)*CE_LRa0</f>
        <v>0</v>
      </c>
      <c r="I13" s="35" t="n">
        <f aca="false">p_sw_M4*(Inputs_Banks!$AD13*p_ccf_ins+Inputs_Banks!$AE13)*p_pd_ins*g_lgd_ins</f>
        <v>0</v>
      </c>
      <c r="J13" s="35" t="n">
        <f aca="false">p_sw_M5*SUMPRODUCT(AI_Deals!AA$6:AA$44,AI_Deals!$Q$6:$Q$44)</f>
        <v>0.0220130287290035</v>
      </c>
      <c r="K13" s="35" t="n">
        <f aca="false">p_sw_M6*(SUMPRODUCT(Holdings!$C13:$O13,Holdings!$C$32:$O$32,Holdings!$C$35:$O$35)+Inputs_Banks!$P13*(-p_dp_EQ))</f>
        <v>0.80204</v>
      </c>
      <c r="L13" s="35" t="n">
        <f aca="false">p_sw_M7*Inputs_Banks!$AF13*p_cre_lr</f>
        <v>3.5504</v>
      </c>
      <c r="M13" s="35" t="n">
        <f aca="false">Inputs_Banks!$E13*Inputs_Banks!$K13*Inputs_Banks!$O13*p_dy</f>
        <v>0</v>
      </c>
      <c r="N13" s="35" t="n">
        <f aca="false">MAX(0,-Inputs_Banks!$N13+Inputs_Banks!$M13*g_dur_htm*p_dy)+(1-Inputs_Banks!$E13)*MAX(0,-Inputs_Banks!$L13+Inputs_Banks!$K13*Inputs_Banks!$O13*p_dy)</f>
        <v>20.579225</v>
      </c>
      <c r="O13" s="35" t="n">
        <f aca="false">p_sw_M8*(M13+N13*p_htm_forced)</f>
        <v>0</v>
      </c>
      <c r="P13" s="35" t="n">
        <f aca="false">p_sw_M9*p_srt_lost*Inputs_Banks!$AA13/10000*Inputs_Banks!$H13</f>
        <v>0</v>
      </c>
      <c r="Q13" s="35" t="n">
        <f aca="false">p_sw_M10*Inputs_Banks!$AC13*CE_LRtrs0</f>
        <v>0</v>
      </c>
      <c r="R13" s="35" t="n">
        <f aca="false">p_sw_M11*Inputs_Banks!$AB13*p_pb_pd*MAX(0,p_pb_shock*g_pb_conc-g_pb_margin)</f>
        <v>0</v>
      </c>
      <c r="S13" s="35" t="n">
        <f aca="false">F13+G13+H13+I13+J13+K13+L13+O13+P13+Q13+R13</f>
        <v>14.0514024449052</v>
      </c>
      <c r="T13" s="35" t="n">
        <f aca="false">G13+I13+J13+K13+L13+P13+R13</f>
        <v>5.270403028729</v>
      </c>
      <c r="U13" s="35" t="n">
        <f aca="false">Inputs_Banks!$G13+p_ppnr_q*Inputs_Banks!$J13</f>
        <v>55</v>
      </c>
      <c r="V13" s="35" t="n">
        <f aca="false">Inputs_Banks!$H13*(1+p_rwa_infl)</f>
        <v>548.856</v>
      </c>
      <c r="W13" s="35" t="n">
        <f aca="false">U13-(1-p_tax)*S13</f>
        <v>40.9485975550948</v>
      </c>
      <c r="X13" s="39" t="n">
        <f aca="false">W13/V13</f>
        <v>0.0746071784859687</v>
      </c>
      <c r="Y13" s="35" t="n">
        <f aca="false">p_sw_M1*(p_ccf_bl*Inputs_Banks!$Z13+BDC_EAD!J$154)+p_sw_M2*p_ccf_ff*Inputs_Banks!$T13+p_sw_M3*p_ccf_abf*Inputs_Banks!$V13+p_sw_M5*Z13+p_sw_M4*p_ccf_ins*Inputs_Banks!$AD13</f>
        <v>12.7415604</v>
      </c>
      <c r="Z13" s="35" t="n">
        <f aca="false">p_ccf_ai*SUMPRODUCT(AI_Deals!AA$6:AA$44,AI_Deals!$R$6:$R$44)</f>
        <v>0</v>
      </c>
    </row>
    <row r="14" customFormat="false" ht="15" hidden="false" customHeight="true" outlineLevel="0" collapsed="false">
      <c r="A14" s="10" t="s">
        <v>512</v>
      </c>
      <c r="B14" s="10" t="s">
        <v>513</v>
      </c>
      <c r="C14" s="35" t="n">
        <f aca="false">SUMPRODUCT(BDC_EAD!K$106:K$127,BDC_EAD!$AB$106:$AB$127)+SUMPRODUCT(BDC_EAD!K$131:K$152,BDC_EAD!$AC$106:$AC$127)</f>
        <v>0.316212186407126</v>
      </c>
      <c r="D14" s="35" t="n">
        <f aca="false">(Inputs_Banks!$Y14+p_ccf_bl*Inputs_Banks!$Z14)*CE_LRg0</f>
        <v>17.3912566999645</v>
      </c>
      <c r="E14" s="35" t="n">
        <f aca="false">p_fraud*(Inputs_Banks!$Q14+Inputs_Banks!$S14+Inputs_Banks!$U14)</f>
        <v>0.281</v>
      </c>
      <c r="F14" s="35" t="n">
        <f aca="false">p_sw_M1*(C14+D14+E14)</f>
        <v>17.9884688863716</v>
      </c>
      <c r="G14" s="35" t="n">
        <f aca="false">p_sw_M2*(Inputs_Banks!$S14+p_ccf_ff*Inputs_Banks!$T14)*CE_LRff</f>
        <v>0.329175</v>
      </c>
      <c r="H14" s="35" t="n">
        <f aca="false">p_sw_M3*(Inputs_Banks!$U14+p_ccf_abf*Inputs_Banks!$V14)*CE_LRa0</f>
        <v>0</v>
      </c>
      <c r="I14" s="35" t="n">
        <f aca="false">p_sw_M4*(Inputs_Banks!$AD14*p_ccf_ins+Inputs_Banks!$AE14)*p_pd_ins*g_lgd_ins</f>
        <v>0</v>
      </c>
      <c r="J14" s="35" t="n">
        <f aca="false">p_sw_M5*SUMPRODUCT(AI_Deals!AB$6:AB$44,AI_Deals!$Q$6:$Q$44)</f>
        <v>0</v>
      </c>
      <c r="K14" s="35" t="n">
        <f aca="false">p_sw_M6*(SUMPRODUCT(Holdings!$C14:$O14,Holdings!$C$32:$O$32,Holdings!$C$35:$O$35)+Inputs_Banks!$P14*(-p_dp_EQ))</f>
        <v>0.1841</v>
      </c>
      <c r="L14" s="35" t="n">
        <f aca="false">p_sw_M7*Inputs_Banks!$AF14*p_cre_lr</f>
        <v>3.5714</v>
      </c>
      <c r="M14" s="35" t="n">
        <f aca="false">Inputs_Banks!$E14*Inputs_Banks!$K14*Inputs_Banks!$O14*p_dy</f>
        <v>0</v>
      </c>
      <c r="N14" s="35" t="n">
        <f aca="false">MAX(0,-Inputs_Banks!$N14+Inputs_Banks!$M14*g_dur_htm*p_dy)+(1-Inputs_Banks!$E14)*MAX(0,-Inputs_Banks!$L14+Inputs_Banks!$K14*Inputs_Banks!$O14*p_dy)</f>
        <v>17.352335</v>
      </c>
      <c r="O14" s="35" t="n">
        <f aca="false">p_sw_M8*(M14+N14*p_htm_forced)</f>
        <v>0</v>
      </c>
      <c r="P14" s="35" t="n">
        <f aca="false">p_sw_M9*p_srt_lost*Inputs_Banks!$AA14/10000*Inputs_Banks!$H14</f>
        <v>0</v>
      </c>
      <c r="Q14" s="35" t="n">
        <f aca="false">p_sw_M10*Inputs_Banks!$AC14*CE_LRtrs0</f>
        <v>0</v>
      </c>
      <c r="R14" s="35" t="n">
        <f aca="false">p_sw_M11*Inputs_Banks!$AB14*p_pb_pd*MAX(0,p_pb_shock*g_pb_conc-g_pb_margin)</f>
        <v>0</v>
      </c>
      <c r="S14" s="35" t="n">
        <f aca="false">F14+G14+H14+I14+J14+K14+L14+O14+P14+Q14+R14</f>
        <v>22.0731438863716</v>
      </c>
      <c r="T14" s="35" t="n">
        <f aca="false">G14+I14+J14+K14+L14+P14+R14</f>
        <v>4.084675</v>
      </c>
      <c r="U14" s="35" t="n">
        <f aca="false">Inputs_Banks!$G14+p_ppnr_q*Inputs_Banks!$J14</f>
        <v>46.3</v>
      </c>
      <c r="V14" s="35" t="n">
        <f aca="false">Inputs_Banks!$H14*(1+p_rwa_infl)</f>
        <v>466.344</v>
      </c>
      <c r="W14" s="35" t="n">
        <f aca="false">U14-(1-p_tax)*S14</f>
        <v>24.2268561136284</v>
      </c>
      <c r="X14" s="39" t="n">
        <f aca="false">W14/V14</f>
        <v>0.051950611809369</v>
      </c>
      <c r="Y14" s="35" t="n">
        <f aca="false">p_sw_M1*(p_ccf_bl*Inputs_Banks!$Z14+BDC_EAD!K$154)+p_sw_M2*p_ccf_ff*Inputs_Banks!$T14+p_sw_M3*p_ccf_abf*Inputs_Banks!$V14+p_sw_M5*Z14+p_sw_M4*p_ccf_ins*Inputs_Banks!$AD14</f>
        <v>19.9439417</v>
      </c>
      <c r="Z14" s="35" t="n">
        <f aca="false">p_ccf_ai*SUMPRODUCT(AI_Deals!AB$6:AB$44,AI_Deals!$R$6:$R$44)</f>
        <v>0</v>
      </c>
    </row>
    <row r="15" customFormat="false" ht="15" hidden="false" customHeight="true" outlineLevel="0" collapsed="false">
      <c r="A15" s="10" t="s">
        <v>514</v>
      </c>
      <c r="B15" s="10" t="s">
        <v>515</v>
      </c>
      <c r="C15" s="35" t="n">
        <f aca="false">SUMPRODUCT(BDC_EAD!L$106:L$127,BDC_EAD!$AB$106:$AB$127)+SUMPRODUCT(BDC_EAD!L$131:L$152,BDC_EAD!$AC$106:$AC$127)</f>
        <v>0.0863503027428563</v>
      </c>
      <c r="D15" s="35" t="n">
        <f aca="false">(Inputs_Banks!$Y15+p_ccf_bl*Inputs_Banks!$Z15)*CE_LRg0</f>
        <v>12.3944375171862</v>
      </c>
      <c r="E15" s="35" t="n">
        <f aca="false">p_fraud*(Inputs_Banks!$Q15+Inputs_Banks!$S15+Inputs_Banks!$U15)</f>
        <v>0.33</v>
      </c>
      <c r="F15" s="35" t="n">
        <f aca="false">p_sw_M1*(C15+D15+E15)</f>
        <v>12.810787819929</v>
      </c>
      <c r="G15" s="35" t="n">
        <f aca="false">p_sw_M2*(Inputs_Banks!$S15+p_ccf_ff*Inputs_Banks!$T15)*CE_LRff</f>
        <v>0.57255</v>
      </c>
      <c r="H15" s="35" t="n">
        <f aca="false">p_sw_M3*(Inputs_Banks!$U15+p_ccf_abf*Inputs_Banks!$V15)*CE_LRa0</f>
        <v>0</v>
      </c>
      <c r="I15" s="35" t="n">
        <f aca="false">p_sw_M4*(Inputs_Banks!$AD15*p_ccf_ins+Inputs_Banks!$AE15)*p_pd_ins*g_lgd_ins</f>
        <v>0</v>
      </c>
      <c r="J15" s="35" t="n">
        <f aca="false">p_sw_M5*SUMPRODUCT(AI_Deals!AC$6:AC$44,AI_Deals!$Q$6:$Q$44)</f>
        <v>0</v>
      </c>
      <c r="K15" s="35" t="n">
        <f aca="false">p_sw_M6*(SUMPRODUCT(Holdings!$C15:$O15,Holdings!$C$32:$O$32,Holdings!$C$35:$O$35)+Inputs_Banks!$P15*(-p_dp_EQ))</f>
        <v>1.73102</v>
      </c>
      <c r="L15" s="35" t="n">
        <f aca="false">p_sw_M7*Inputs_Banks!$AF15*p_cre_lr</f>
        <v>0.1603</v>
      </c>
      <c r="M15" s="35" t="n">
        <f aca="false">Inputs_Banks!$E15*Inputs_Banks!$K15*Inputs_Banks!$O15*p_dy</f>
        <v>1.807425</v>
      </c>
      <c r="N15" s="35" t="n">
        <f aca="false">MAX(0,-Inputs_Banks!$N15+Inputs_Banks!$M15*g_dur_htm*p_dy)+(1-Inputs_Banks!$E15)*MAX(0,-Inputs_Banks!$L15+Inputs_Banks!$K15*Inputs_Banks!$O15*p_dy)</f>
        <v>6.3034</v>
      </c>
      <c r="O15" s="35" t="n">
        <f aca="false">p_sw_M8*(M15+N15*p_htm_forced)</f>
        <v>1.807425</v>
      </c>
      <c r="P15" s="35" t="n">
        <f aca="false">p_sw_M9*p_srt_lost*Inputs_Banks!$AA15/10000*Inputs_Banks!$H15</f>
        <v>0</v>
      </c>
      <c r="Q15" s="35" t="n">
        <f aca="false">p_sw_M10*Inputs_Banks!$AC15*CE_LRtrs0</f>
        <v>0</v>
      </c>
      <c r="R15" s="35" t="n">
        <f aca="false">p_sw_M11*Inputs_Banks!$AB15*p_pb_pd*MAX(0,p_pb_shock*g_pb_conc-g_pb_margin)</f>
        <v>0</v>
      </c>
      <c r="S15" s="35" t="n">
        <f aca="false">F15+G15+H15+I15+J15+K15+L15+O15+P15+Q15+R15</f>
        <v>17.082082819929</v>
      </c>
      <c r="T15" s="35" t="n">
        <f aca="false">G15+I15+J15+K15+L15+P15+R15</f>
        <v>2.46387</v>
      </c>
      <c r="U15" s="35" t="n">
        <f aca="false">Inputs_Banks!$G15+p_ppnr_q*Inputs_Banks!$J15</f>
        <v>15.4</v>
      </c>
      <c r="V15" s="35" t="n">
        <f aca="false">Inputs_Banks!$H15*(1+p_rwa_infl)</f>
        <v>151.848</v>
      </c>
      <c r="W15" s="35" t="n">
        <f aca="false">U15-(1-p_tax)*S15</f>
        <v>-1.68208281992903</v>
      </c>
      <c r="X15" s="39" t="n">
        <f aca="false">W15/V15</f>
        <v>-0.0110774117533918</v>
      </c>
      <c r="Y15" s="35" t="n">
        <f aca="false">p_sw_M1*(p_ccf_bl*Inputs_Banks!$Z15+BDC_EAD!L$154)+p_sw_M2*p_ccf_ff*Inputs_Banks!$T15+p_sw_M3*p_ccf_abf*Inputs_Banks!$V15+p_sw_M5*Z15+p_sw_M4*p_ccf_ins*Inputs_Banks!$AD15</f>
        <v>9.3479398</v>
      </c>
      <c r="Z15" s="35" t="n">
        <f aca="false">p_ccf_ai*SUMPRODUCT(AI_Deals!AC$6:AC$44,AI_Deals!$R$6:$R$44)</f>
        <v>0</v>
      </c>
    </row>
    <row r="16" customFormat="false" ht="15" hidden="false" customHeight="true" outlineLevel="0" collapsed="false">
      <c r="A16" s="10" t="s">
        <v>516</v>
      </c>
      <c r="B16" s="10" t="s">
        <v>517</v>
      </c>
      <c r="C16" s="35" t="n">
        <f aca="false">SUMPRODUCT(BDC_EAD!M$106:M$127,BDC_EAD!$AB$106:$AB$127)+SUMPRODUCT(BDC_EAD!M$131:M$152,BDC_EAD!$AC$106:$AC$127)</f>
        <v>0.0327798368470927</v>
      </c>
      <c r="D16" s="35" t="n">
        <f aca="false">(Inputs_Banks!$Y16+p_ccf_bl*Inputs_Banks!$Z16)*CE_LRg0</f>
        <v>0.0106934073190893</v>
      </c>
      <c r="E16" s="35" t="n">
        <f aca="false">p_fraud*(Inputs_Banks!$Q16+Inputs_Banks!$S16+Inputs_Banks!$U16)</f>
        <v>0.05549</v>
      </c>
      <c r="F16" s="35" t="n">
        <f aca="false">p_sw_M1*(C16+D16+E16)</f>
        <v>0.098963244166182</v>
      </c>
      <c r="G16" s="35" t="n">
        <f aca="false">p_sw_M2*(Inputs_Banks!$S16+p_ccf_ff*Inputs_Banks!$T16)*CE_LRff</f>
        <v>0.2937495</v>
      </c>
      <c r="H16" s="35" t="n">
        <f aca="false">p_sw_M3*(Inputs_Banks!$U16+p_ccf_abf*Inputs_Banks!$V16)*CE_LRa0</f>
        <v>0</v>
      </c>
      <c r="I16" s="35" t="n">
        <f aca="false">p_sw_M4*(Inputs_Banks!$AD16*p_ccf_ins+Inputs_Banks!$AE16)*p_pd_ins*g_lgd_ins</f>
        <v>0</v>
      </c>
      <c r="J16" s="35" t="n">
        <f aca="false">p_sw_M5*SUMPRODUCT(AI_Deals!AD$6:AD$44,AI_Deals!$Q$6:$Q$44)</f>
        <v>0</v>
      </c>
      <c r="K16" s="35" t="n">
        <f aca="false">p_sw_M6*(SUMPRODUCT(Holdings!$C16:$O16,Holdings!$C$32:$O$32,Holdings!$C$35:$O$35)+Inputs_Banks!$P16*(-p_dp_EQ))</f>
        <v>1.72368</v>
      </c>
      <c r="L16" s="35" t="n">
        <f aca="false">p_sw_M7*Inputs_Banks!$AF16*p_cre_lr</f>
        <v>0.3941</v>
      </c>
      <c r="M16" s="35" t="n">
        <f aca="false">Inputs_Banks!$E16*Inputs_Banks!$K16*Inputs_Banks!$O16*p_dy</f>
        <v>2.685</v>
      </c>
      <c r="N16" s="35" t="n">
        <f aca="false">MAX(0,-Inputs_Banks!$N16+Inputs_Banks!$M16*g_dur_htm*p_dy)+(1-Inputs_Banks!$E16)*MAX(0,-Inputs_Banks!$L16+Inputs_Banks!$K16*Inputs_Banks!$O16*p_dy)</f>
        <v>5.83334</v>
      </c>
      <c r="O16" s="35" t="n">
        <f aca="false">p_sw_M8*(M16+N16*p_htm_forced)</f>
        <v>2.685</v>
      </c>
      <c r="P16" s="35" t="n">
        <f aca="false">p_sw_M9*p_srt_lost*Inputs_Banks!$AA16/10000*Inputs_Banks!$H16</f>
        <v>0</v>
      </c>
      <c r="Q16" s="35" t="n">
        <f aca="false">p_sw_M10*Inputs_Banks!$AC16*CE_LRtrs0</f>
        <v>0</v>
      </c>
      <c r="R16" s="35" t="n">
        <f aca="false">p_sw_M11*Inputs_Banks!$AB16*p_pb_pd*MAX(0,p_pb_shock*g_pb_conc-g_pb_margin)</f>
        <v>1.057</v>
      </c>
      <c r="S16" s="35" t="n">
        <f aca="false">F16+G16+H16+I16+J16+K16+L16+O16+P16+Q16+R16</f>
        <v>6.25249274416618</v>
      </c>
      <c r="T16" s="35" t="n">
        <f aca="false">G16+I16+J16+K16+L16+P16+R16</f>
        <v>3.4685295</v>
      </c>
      <c r="U16" s="35" t="n">
        <f aca="false">Inputs_Banks!$G16+p_ppnr_q*Inputs_Banks!$J16</f>
        <v>21</v>
      </c>
      <c r="V16" s="35" t="n">
        <f aca="false">Inputs_Banks!$H16*(1+p_rwa_infl)</f>
        <v>207.144</v>
      </c>
      <c r="W16" s="35" t="n">
        <f aca="false">U16-(1-p_tax)*S16</f>
        <v>14.7475072558338</v>
      </c>
      <c r="X16" s="39" t="n">
        <f aca="false">W16/V16</f>
        <v>0.0711944698172953</v>
      </c>
      <c r="Y16" s="35" t="n">
        <f aca="false">p_sw_M1*(p_ccf_bl*Inputs_Banks!$Z16+BDC_EAD!M$154)+p_sw_M2*p_ccf_ff*Inputs_Banks!$T16+p_sw_M3*p_ccf_abf*Inputs_Banks!$V16+p_sw_M5*Z16+p_sw_M4*p_ccf_ins*Inputs_Banks!$AD16</f>
        <v>2.4536497</v>
      </c>
      <c r="Z16" s="35" t="n">
        <f aca="false">p_ccf_ai*SUMPRODUCT(AI_Deals!AD$6:AD$44,AI_Deals!$R$6:$R$44)</f>
        <v>0</v>
      </c>
    </row>
    <row r="17" customFormat="false" ht="15" hidden="false" customHeight="true" outlineLevel="0" collapsed="false">
      <c r="A17" s="10" t="s">
        <v>518</v>
      </c>
      <c r="B17" s="10" t="s">
        <v>519</v>
      </c>
      <c r="C17" s="35" t="n">
        <f aca="false">SUMPRODUCT(BDC_EAD!N$106:N$127,BDC_EAD!$AB$106:$AB$127)+SUMPRODUCT(BDC_EAD!N$131:N$152,BDC_EAD!$AC$106:$AC$127)</f>
        <v>0.0870837173446249</v>
      </c>
      <c r="D17" s="35" t="n">
        <f aca="false">(Inputs_Banks!$Y17+p_ccf_bl*Inputs_Banks!$Z17)*CE_LRg0</f>
        <v>1.47051540984941</v>
      </c>
      <c r="E17" s="35" t="n">
        <f aca="false">p_fraud*(Inputs_Banks!$Q17+Inputs_Banks!$S17+Inputs_Banks!$U17)</f>
        <v>0.373</v>
      </c>
      <c r="F17" s="35" t="n">
        <f aca="false">p_sw_M1*(C17+D17+E17)</f>
        <v>1.93059912719403</v>
      </c>
      <c r="G17" s="35" t="n">
        <f aca="false">p_sw_M2*(Inputs_Banks!$S17+p_ccf_ff*Inputs_Banks!$T17)*CE_LRff</f>
        <v>1.78035</v>
      </c>
      <c r="H17" s="35" t="n">
        <f aca="false">p_sw_M3*(Inputs_Banks!$U17+p_ccf_abf*Inputs_Banks!$V17)*CE_LRa0</f>
        <v>0</v>
      </c>
      <c r="I17" s="35" t="n">
        <f aca="false">p_sw_M4*(Inputs_Banks!$AD17*p_ccf_ins+Inputs_Banks!$AE17)*p_pd_ins*g_lgd_ins</f>
        <v>0</v>
      </c>
      <c r="J17" s="35" t="n">
        <f aca="false">p_sw_M5*SUMPRODUCT(AI_Deals!AE$6:AE$44,AI_Deals!$Q$6:$Q$44)</f>
        <v>0</v>
      </c>
      <c r="K17" s="35" t="n">
        <f aca="false">p_sw_M6*(SUMPRODUCT(Holdings!$C17:$O17,Holdings!$C$32:$O$32,Holdings!$C$35:$O$35)+Inputs_Banks!$P17*(-p_dp_EQ))</f>
        <v>0.00525</v>
      </c>
      <c r="L17" s="35" t="n">
        <f aca="false">p_sw_M7*Inputs_Banks!$AF17*p_cre_lr</f>
        <v>2.7167</v>
      </c>
      <c r="M17" s="35" t="n">
        <f aca="false">Inputs_Banks!$E17*Inputs_Banks!$K17*Inputs_Banks!$O17*p_dy</f>
        <v>0</v>
      </c>
      <c r="N17" s="35" t="n">
        <f aca="false">MAX(0,-Inputs_Banks!$N17+Inputs_Banks!$M17*g_dur_htm*p_dy)+(1-Inputs_Banks!$E17)*MAX(0,-Inputs_Banks!$L17+Inputs_Banks!$K17*Inputs_Banks!$O17*p_dy)</f>
        <v>3.145655</v>
      </c>
      <c r="O17" s="35" t="n">
        <f aca="false">p_sw_M8*(M17+N17*p_htm_forced)</f>
        <v>0</v>
      </c>
      <c r="P17" s="35" t="n">
        <f aca="false">p_sw_M9*p_srt_lost*Inputs_Banks!$AA17/10000*Inputs_Banks!$H17</f>
        <v>0</v>
      </c>
      <c r="Q17" s="35" t="n">
        <f aca="false">p_sw_M10*Inputs_Banks!$AC17*CE_LRtrs0</f>
        <v>0</v>
      </c>
      <c r="R17" s="35" t="n">
        <f aca="false">p_sw_M11*Inputs_Banks!$AB17*p_pb_pd*MAX(0,p_pb_shock*g_pb_conc-g_pb_margin)</f>
        <v>0</v>
      </c>
      <c r="S17" s="35" t="n">
        <f aca="false">F17+G17+H17+I17+J17+K17+L17+O17+P17+Q17+R17</f>
        <v>6.43289912719403</v>
      </c>
      <c r="T17" s="35" t="n">
        <f aca="false">G17+I17+J17+K17+L17+P17+R17</f>
        <v>4.5023</v>
      </c>
      <c r="U17" s="35" t="n">
        <f aca="false">Inputs_Banks!$G17+p_ppnr_q*Inputs_Banks!$J17</f>
        <v>19.885</v>
      </c>
      <c r="V17" s="35" t="n">
        <f aca="false">Inputs_Banks!$H17*(1+p_rwa_infl)</f>
        <v>199.368</v>
      </c>
      <c r="W17" s="35" t="n">
        <f aca="false">U17-(1-p_tax)*S17</f>
        <v>13.452100872806</v>
      </c>
      <c r="X17" s="39" t="n">
        <f aca="false">W17/V17</f>
        <v>0.0674737213234118</v>
      </c>
      <c r="Y17" s="35" t="n">
        <f aca="false">p_sw_M1*(p_ccf_bl*Inputs_Banks!$Z17+BDC_EAD!N$154)+p_sw_M2*p_ccf_ff*Inputs_Banks!$T17+p_sw_M3*p_ccf_abf*Inputs_Banks!$V17+p_sw_M5*Z17+p_sw_M4*p_ccf_ins*Inputs_Banks!$AD17</f>
        <v>9.4376065</v>
      </c>
      <c r="Z17" s="35" t="n">
        <f aca="false">p_ccf_ai*SUMPRODUCT(AI_Deals!AE$6:AE$44,AI_Deals!$R$6:$R$44)</f>
        <v>0</v>
      </c>
    </row>
    <row r="18" customFormat="false" ht="15" hidden="false" customHeight="true" outlineLevel="0" collapsed="false">
      <c r="A18" s="10" t="s">
        <v>520</v>
      </c>
      <c r="B18" s="10" t="s">
        <v>521</v>
      </c>
      <c r="C18" s="35" t="n">
        <f aca="false">SUMPRODUCT(BDC_EAD!O$106:O$127,BDC_EAD!$AB$106:$AB$127)+SUMPRODUCT(BDC_EAD!O$131:O$152,BDC_EAD!$AC$106:$AC$127)</f>
        <v>0.431977686427325</v>
      </c>
      <c r="D18" s="35" t="n">
        <f aca="false">(Inputs_Banks!$Y18+p_ccf_bl*Inputs_Banks!$Z18)*CE_LRg0</f>
        <v>3.89722788672777</v>
      </c>
      <c r="E18" s="35" t="n">
        <f aca="false">p_fraud*(Inputs_Banks!$Q18+Inputs_Banks!$S18+Inputs_Banks!$U18)</f>
        <v>0.159</v>
      </c>
      <c r="F18" s="35" t="n">
        <f aca="false">p_sw_M1*(C18+D18+E18)</f>
        <v>4.4882055731551</v>
      </c>
      <c r="G18" s="35" t="n">
        <f aca="false">p_sw_M2*(Inputs_Banks!$S18+p_ccf_ff*Inputs_Banks!$T18)*CE_LRff</f>
        <v>0.6468</v>
      </c>
      <c r="H18" s="35" t="n">
        <f aca="false">p_sw_M3*(Inputs_Banks!$U18+p_ccf_abf*Inputs_Banks!$V18)*CE_LRa0</f>
        <v>0</v>
      </c>
      <c r="I18" s="35" t="n">
        <f aca="false">p_sw_M4*(Inputs_Banks!$AD18*p_ccf_ins+Inputs_Banks!$AE18)*p_pd_ins*g_lgd_ins</f>
        <v>0</v>
      </c>
      <c r="J18" s="35" t="n">
        <f aca="false">p_sw_M5*SUMPRODUCT(AI_Deals!AF$6:AF$44,AI_Deals!$Q$6:$Q$44)</f>
        <v>0</v>
      </c>
      <c r="K18" s="35" t="n">
        <f aca="false">p_sw_M6*(SUMPRODUCT(Holdings!$C18:$O18,Holdings!$C$32:$O$32,Holdings!$C$35:$O$35)+Inputs_Banks!$P18*(-p_dp_EQ))</f>
        <v>0.104</v>
      </c>
      <c r="L18" s="35" t="n">
        <f aca="false">p_sw_M7*Inputs_Banks!$AF18*p_cre_lr</f>
        <v>1.8865</v>
      </c>
      <c r="M18" s="35" t="n">
        <f aca="false">Inputs_Banks!$E18*Inputs_Banks!$K18*Inputs_Banks!$O18*p_dy</f>
        <v>0</v>
      </c>
      <c r="N18" s="35" t="n">
        <f aca="false">MAX(0,-Inputs_Banks!$N18+Inputs_Banks!$M18*g_dur_htm*p_dy)+(1-Inputs_Banks!$E18)*MAX(0,-Inputs_Banks!$L18+Inputs_Banks!$K18*Inputs_Banks!$O18*p_dy)</f>
        <v>3.74948</v>
      </c>
      <c r="O18" s="35" t="n">
        <f aca="false">p_sw_M8*(M18+N18*p_htm_forced)</f>
        <v>0</v>
      </c>
      <c r="P18" s="35" t="n">
        <f aca="false">p_sw_M9*p_srt_lost*Inputs_Banks!$AA18/10000*Inputs_Banks!$H18</f>
        <v>0</v>
      </c>
      <c r="Q18" s="35" t="n">
        <f aca="false">p_sw_M10*Inputs_Banks!$AC18*CE_LRtrs0</f>
        <v>0</v>
      </c>
      <c r="R18" s="35" t="n">
        <f aca="false">p_sw_M11*Inputs_Banks!$AB18*p_pb_pd*MAX(0,p_pb_shock*g_pb_conc-g_pb_margin)</f>
        <v>0</v>
      </c>
      <c r="S18" s="35" t="n">
        <f aca="false">F18+G18+H18+I18+J18+K18+L18+O18+P18+Q18+R18</f>
        <v>7.1255055731551</v>
      </c>
      <c r="T18" s="35" t="n">
        <f aca="false">G18+I18+J18+K18+L18+P18+R18</f>
        <v>2.6373</v>
      </c>
      <c r="U18" s="35" t="n">
        <f aca="false">Inputs_Banks!$G18+p_ppnr_q*Inputs_Banks!$J18</f>
        <v>18.7</v>
      </c>
      <c r="V18" s="35" t="n">
        <f aca="false">Inputs_Banks!$H18*(1+p_rwa_infl)</f>
        <v>191.484</v>
      </c>
      <c r="W18" s="35" t="n">
        <f aca="false">U18-(1-p_tax)*S18</f>
        <v>11.5744944268449</v>
      </c>
      <c r="X18" s="39" t="n">
        <f aca="false">W18/V18</f>
        <v>0.0604462745025428</v>
      </c>
      <c r="Y18" s="35" t="n">
        <f aca="false">p_sw_M1*(p_ccf_bl*Inputs_Banks!$Z18+BDC_EAD!O$154)+p_sw_M2*p_ccf_ff*Inputs_Banks!$T18+p_sw_M3*p_ccf_abf*Inputs_Banks!$V18+p_sw_M5*Z18+p_sw_M4*p_ccf_ins*Inputs_Banks!$AD18</f>
        <v>9.1258367</v>
      </c>
      <c r="Z18" s="35" t="n">
        <f aca="false">p_ccf_ai*SUMPRODUCT(AI_Deals!AF$6:AF$44,AI_Deals!$R$6:$R$44)</f>
        <v>0</v>
      </c>
    </row>
    <row r="19" customFormat="false" ht="15" hidden="false" customHeight="true" outlineLevel="0" collapsed="false">
      <c r="A19" s="10" t="s">
        <v>522</v>
      </c>
      <c r="B19" s="10" t="s">
        <v>523</v>
      </c>
      <c r="C19" s="35" t="n">
        <f aca="false">SUMPRODUCT(BDC_EAD!P$106:P$127,BDC_EAD!$AB$106:$AB$127)+SUMPRODUCT(BDC_EAD!P$131:P$152,BDC_EAD!$AC$106:$AC$127)</f>
        <v>0.522682745073363</v>
      </c>
      <c r="D19" s="35" t="n">
        <f aca="false">(Inputs_Banks!$Y19+p_ccf_bl*Inputs_Banks!$Z19)*CE_LRg0</f>
        <v>11.6604173112943</v>
      </c>
      <c r="E19" s="35" t="n">
        <f aca="false">p_fraud*(Inputs_Banks!$Q19+Inputs_Banks!$S19+Inputs_Banks!$U19)</f>
        <v>0.53036</v>
      </c>
      <c r="F19" s="35" t="n">
        <f aca="false">p_sw_M1*(C19+D19+E19)</f>
        <v>12.7134600563676</v>
      </c>
      <c r="G19" s="35" t="n">
        <f aca="false">p_sw_M2*(Inputs_Banks!$S19+p_ccf_ff*Inputs_Banks!$T19)*CE_LRff</f>
        <v>0.2187735</v>
      </c>
      <c r="H19" s="35" t="n">
        <f aca="false">p_sw_M3*(Inputs_Banks!$U19+p_ccf_abf*Inputs_Banks!$V19)*CE_LRa0</f>
        <v>5.20954396875001</v>
      </c>
      <c r="I19" s="35" t="n">
        <f aca="false">p_sw_M4*(Inputs_Banks!$AD19*p_ccf_ins+Inputs_Banks!$AE19)*p_pd_ins*g_lgd_ins</f>
        <v>0</v>
      </c>
      <c r="J19" s="35" t="n">
        <f aca="false">p_sw_M5*SUMPRODUCT(AI_Deals!AG$6:AG$44,AI_Deals!$Q$6:$Q$44)</f>
        <v>0.363412476271976</v>
      </c>
      <c r="K19" s="35" t="n">
        <f aca="false">p_sw_M6*(SUMPRODUCT(Holdings!$C19:$O19,Holdings!$C$32:$O$32,Holdings!$C$35:$O$35)+Inputs_Banks!$P19*(-p_dp_EQ))</f>
        <v>10.90205</v>
      </c>
      <c r="L19" s="35" t="n">
        <f aca="false">p_sw_M7*Inputs_Banks!$AF19*p_cre_lr</f>
        <v>2.0552</v>
      </c>
      <c r="M19" s="35" t="n">
        <f aca="false">Inputs_Banks!$E19*Inputs_Banks!$K19*Inputs_Banks!$O19*p_dy</f>
        <v>1.0968</v>
      </c>
      <c r="N19" s="35" t="n">
        <f aca="false">MAX(0,-Inputs_Banks!$N19+Inputs_Banks!$M19*g_dur_htm*p_dy)+(1-Inputs_Banks!$E19)*MAX(0,-Inputs_Banks!$L19+Inputs_Banks!$K19*Inputs_Banks!$O19*p_dy)</f>
        <v>6.5808</v>
      </c>
      <c r="O19" s="35" t="n">
        <f aca="false">p_sw_M8*(M19+N19*p_htm_forced)</f>
        <v>1.0968</v>
      </c>
      <c r="P19" s="35" t="n">
        <f aca="false">p_sw_M9*p_srt_lost*Inputs_Banks!$AA19/10000*Inputs_Banks!$H19</f>
        <v>1.69290912</v>
      </c>
      <c r="Q19" s="35" t="n">
        <f aca="false">p_sw_M10*Inputs_Banks!$AC19*CE_LRtrs0</f>
        <v>0</v>
      </c>
      <c r="R19" s="35" t="n">
        <f aca="false">p_sw_M11*Inputs_Banks!$AB19*p_pb_pd*MAX(0,p_pb_shock*g_pb_conc-g_pb_margin)</f>
        <v>3.99559965</v>
      </c>
      <c r="S19" s="35" t="n">
        <f aca="false">F19+G19+H19+I19+J19+K19+L19+O19+P19+Q19+R19</f>
        <v>38.2477487713896</v>
      </c>
      <c r="T19" s="35" t="n">
        <f aca="false">G19+I19+J19+K19+L19+P19+R19</f>
        <v>19.227944746272</v>
      </c>
      <c r="U19" s="35" t="n">
        <f aca="false">Inputs_Banks!$G19+p_ppnr_q*Inputs_Banks!$J19</f>
        <v>69.21198</v>
      </c>
      <c r="V19" s="35" t="n">
        <f aca="false">Inputs_Banks!$H19*(1+p_rwa_infl)</f>
        <v>522.3833856</v>
      </c>
      <c r="W19" s="35" t="n">
        <f aca="false">U19-(1-p_tax)*S19</f>
        <v>30.9642312286104</v>
      </c>
      <c r="X19" s="39" t="n">
        <f aca="false">W19/V19</f>
        <v>0.0592749158609733</v>
      </c>
      <c r="Y19" s="35" t="n">
        <f aca="false">p_sw_M1*(p_ccf_bl*Inputs_Banks!$Z19+BDC_EAD!P$154)+p_sw_M2*p_ccf_ff*Inputs_Banks!$T19+p_sw_M3*p_ccf_abf*Inputs_Banks!$V19+p_sw_M5*Z19+p_sw_M4*p_ccf_ins*Inputs_Banks!$AD19</f>
        <v>26.8418486</v>
      </c>
      <c r="Z19" s="35" t="n">
        <f aca="false">p_ccf_ai*SUMPRODUCT(AI_Deals!AG$6:AG$44,AI_Deals!$R$6:$R$44)</f>
        <v>1</v>
      </c>
    </row>
    <row r="20" customFormat="false" ht="15" hidden="false" customHeight="true" outlineLevel="0" collapsed="false">
      <c r="A20" s="10" t="s">
        <v>525</v>
      </c>
      <c r="B20" s="10" t="s">
        <v>526</v>
      </c>
      <c r="C20" s="35" t="n">
        <f aca="false">SUMPRODUCT(BDC_EAD!Q$106:Q$127,BDC_EAD!$AB$106:$AB$127)+SUMPRODUCT(BDC_EAD!Q$131:Q$152,BDC_EAD!$AC$106:$AC$127)</f>
        <v>0.330104003693909</v>
      </c>
      <c r="D20" s="35" t="n">
        <f aca="false">(Inputs_Banks!$Y20+p_ccf_bl*Inputs_Banks!$Z20)*CE_LRg0</f>
        <v>9.13809139151609</v>
      </c>
      <c r="E20" s="35" t="n">
        <f aca="false">p_fraud*(Inputs_Banks!$Q20+Inputs_Banks!$S20+Inputs_Banks!$U20)</f>
        <v>0.627</v>
      </c>
      <c r="F20" s="35" t="n">
        <f aca="false">p_sw_M1*(C20+D20+E20)</f>
        <v>10.09519539521</v>
      </c>
      <c r="G20" s="35" t="n">
        <f aca="false">p_sw_M2*(Inputs_Banks!$S20+p_ccf_ff*Inputs_Banks!$T20)*CE_LRff</f>
        <v>1.03125</v>
      </c>
      <c r="H20" s="35" t="n">
        <f aca="false">p_sw_M3*(Inputs_Banks!$U20+p_ccf_abf*Inputs_Banks!$V20)*CE_LRa0</f>
        <v>2.44125</v>
      </c>
      <c r="I20" s="35" t="n">
        <f aca="false">p_sw_M4*(Inputs_Banks!$AD20*p_ccf_ins+Inputs_Banks!$AE20)*p_pd_ins*g_lgd_ins</f>
        <v>0</v>
      </c>
      <c r="J20" s="35" t="n">
        <f aca="false">p_sw_M5*SUMPRODUCT(AI_Deals!AH$6:AH$44,AI_Deals!$Q$6:$Q$44)</f>
        <v>0.124971679769018</v>
      </c>
      <c r="K20" s="35" t="n">
        <f aca="false">p_sw_M6*(SUMPRODUCT(Holdings!$C20:$O20,Holdings!$C$32:$O$32,Holdings!$C$35:$O$35)+Inputs_Banks!$P20*(-p_dp_EQ))</f>
        <v>2.50336</v>
      </c>
      <c r="L20" s="35" t="n">
        <f aca="false">p_sw_M7*Inputs_Banks!$AF20*p_cre_lr</f>
        <v>4.7418</v>
      </c>
      <c r="M20" s="35" t="n">
        <f aca="false">Inputs_Banks!$E20*Inputs_Banks!$K20*Inputs_Banks!$O20*p_dy</f>
        <v>2.47365</v>
      </c>
      <c r="N20" s="35" t="n">
        <f aca="false">MAX(0,-Inputs_Banks!$N20+Inputs_Banks!$M20*g_dur_htm*p_dy)+(1-Inputs_Banks!$E20)*MAX(0,-Inputs_Banks!$L20+Inputs_Banks!$K20*Inputs_Banks!$O20*p_dy)</f>
        <v>16.9419</v>
      </c>
      <c r="O20" s="35" t="n">
        <f aca="false">p_sw_M8*(M20+N20*p_htm_forced)</f>
        <v>2.47365</v>
      </c>
      <c r="P20" s="35" t="n">
        <f aca="false">p_sw_M9*p_srt_lost*Inputs_Banks!$AA20/10000*Inputs_Banks!$H20</f>
        <v>0</v>
      </c>
      <c r="Q20" s="35" t="n">
        <f aca="false">p_sw_M10*Inputs_Banks!$AC20*CE_LRtrs0</f>
        <v>0</v>
      </c>
      <c r="R20" s="35" t="n">
        <f aca="false">p_sw_M11*Inputs_Banks!$AB20*p_pb_pd*MAX(0,p_pb_shock*g_pb_conc-g_pb_margin)</f>
        <v>0</v>
      </c>
      <c r="S20" s="35" t="n">
        <f aca="false">F20+G20+H20+I20+J20+K20+L20+O20+P20+Q20+R20</f>
        <v>23.411477074979</v>
      </c>
      <c r="T20" s="35" t="n">
        <f aca="false">G20+I20+J20+K20+L20+P20+R20</f>
        <v>8.40138167976902</v>
      </c>
      <c r="U20" s="35" t="n">
        <f aca="false">Inputs_Banks!$G20+p_ppnr_q*Inputs_Banks!$J20</f>
        <v>127.7</v>
      </c>
      <c r="V20" s="35" t="n">
        <f aca="false">Inputs_Banks!$H20*(1+p_rwa_infl)</f>
        <v>978.912</v>
      </c>
      <c r="W20" s="35" t="n">
        <f aca="false">U20-(1-p_tax)*S20</f>
        <v>104.288522925021</v>
      </c>
      <c r="X20" s="39" t="n">
        <f aca="false">W20/V20</f>
        <v>0.106535135870253</v>
      </c>
      <c r="Y20" s="35" t="n">
        <f aca="false">p_sw_M1*(p_ccf_bl*Inputs_Banks!$Z20+BDC_EAD!Q$154)+p_sw_M2*p_ccf_ff*Inputs_Banks!$T20+p_sw_M3*p_ccf_abf*Inputs_Banks!$V20+p_sw_M5*Z20+p_sw_M4*p_ccf_ins*Inputs_Banks!$AD20</f>
        <v>5.4922829</v>
      </c>
      <c r="Z20" s="35" t="n">
        <f aca="false">p_ccf_ai*SUMPRODUCT(AI_Deals!AH$6:AH$44,AI_Deals!$R$6:$R$44)</f>
        <v>0</v>
      </c>
    </row>
    <row r="21" customFormat="false" ht="15" hidden="false" customHeight="true" outlineLevel="0" collapsed="false">
      <c r="A21" s="10" t="s">
        <v>527</v>
      </c>
      <c r="B21" s="10" t="s">
        <v>528</v>
      </c>
      <c r="C21" s="35" t="n">
        <f aca="false">SUMPRODUCT(BDC_EAD!R$106:R$127,BDC_EAD!$AB$106:$AB$127)+SUMPRODUCT(BDC_EAD!R$131:R$152,BDC_EAD!$AC$106:$AC$127)</f>
        <v>2.01983689548606</v>
      </c>
      <c r="D21" s="35" t="n">
        <f aca="false">(Inputs_Banks!$Y21+p_ccf_bl*Inputs_Banks!$Z21)*CE_LRg0</f>
        <v>15.104721020163</v>
      </c>
      <c r="E21" s="35" t="n">
        <f aca="false">p_fraud*(Inputs_Banks!$Q21+Inputs_Banks!$S21+Inputs_Banks!$U21)</f>
        <v>0.6382103</v>
      </c>
      <c r="F21" s="35" t="n">
        <f aca="false">p_sw_M1*(C21+D21+E21)</f>
        <v>17.762768215649</v>
      </c>
      <c r="G21" s="35" t="n">
        <f aca="false">p_sw_M2*(Inputs_Banks!$S21+p_ccf_ff*Inputs_Banks!$T21)*CE_LRff</f>
        <v>0</v>
      </c>
      <c r="H21" s="35" t="n">
        <f aca="false">p_sw_M3*(Inputs_Banks!$U21+p_ccf_abf*Inputs_Banks!$V21)*CE_LRa0</f>
        <v>3.8532375</v>
      </c>
      <c r="I21" s="35" t="n">
        <f aca="false">p_sw_M4*(Inputs_Banks!$AD21*p_ccf_ins+Inputs_Banks!$AE21)*p_pd_ins*g_lgd_ins</f>
        <v>0</v>
      </c>
      <c r="J21" s="35" t="n">
        <f aca="false">p_sw_M5*SUMPRODUCT(AI_Deals!AI$6:AI$44,AI_Deals!$Q$6:$Q$44)</f>
        <v>0.420654932780541</v>
      </c>
      <c r="K21" s="35" t="n">
        <f aca="false">p_sw_M6*(SUMPRODUCT(Holdings!$C21:$O21,Holdings!$C$32:$O$32,Holdings!$C$35:$O$35)+Inputs_Banks!$P21*(-p_dp_EQ))</f>
        <v>6.06156</v>
      </c>
      <c r="L21" s="35" t="n">
        <f aca="false">p_sw_M7*Inputs_Banks!$AF21*p_cre_lr</f>
        <v>3.3362</v>
      </c>
      <c r="M21" s="35" t="n">
        <f aca="false">Inputs_Banks!$E21*Inputs_Banks!$K21*Inputs_Banks!$O21*p_dy</f>
        <v>0.8684</v>
      </c>
      <c r="N21" s="35" t="n">
        <f aca="false">MAX(0,-Inputs_Banks!$N21+Inputs_Banks!$M21*g_dur_htm*p_dy)+(1-Inputs_Banks!$E21)*MAX(0,-Inputs_Banks!$L21+Inputs_Banks!$K21*Inputs_Banks!$O21*p_dy)</f>
        <v>5.2104</v>
      </c>
      <c r="O21" s="35" t="n">
        <f aca="false">p_sw_M8*(M21+N21*p_htm_forced)</f>
        <v>0.8684</v>
      </c>
      <c r="P21" s="35" t="n">
        <f aca="false">p_sw_M9*p_srt_lost*Inputs_Banks!$AA21/10000*Inputs_Banks!$H21</f>
        <v>1.62452493</v>
      </c>
      <c r="Q21" s="35" t="n">
        <f aca="false">p_sw_M10*Inputs_Banks!$AC21*CE_LRtrs0</f>
        <v>0</v>
      </c>
      <c r="R21" s="35" t="n">
        <f aca="false">p_sw_M11*Inputs_Banks!$AB21*p_pb_pd*MAX(0,p_pb_shock*g_pb_conc-g_pb_margin)</f>
        <v>0</v>
      </c>
      <c r="S21" s="35" t="n">
        <f aca="false">F21+G21+H21+I21+J21+K21+L21+O21+P21+Q21+R21</f>
        <v>33.9273455784296</v>
      </c>
      <c r="T21" s="35" t="n">
        <f aca="false">G21+I21+J21+K21+L21+P21+R21</f>
        <v>11.4429398627805</v>
      </c>
      <c r="U21" s="35" t="n">
        <f aca="false">Inputs_Banks!$G21+p_ppnr_q*Inputs_Banks!$J21</f>
        <v>58.3397283</v>
      </c>
      <c r="V21" s="35" t="n">
        <f aca="false">Inputs_Banks!$H21*(1+p_rwa_infl)</f>
        <v>452.7708192</v>
      </c>
      <c r="W21" s="35" t="n">
        <f aca="false">U21-(1-p_tax)*S21</f>
        <v>24.4123827215704</v>
      </c>
      <c r="X21" s="39" t="n">
        <f aca="false">W21/V21</f>
        <v>0.0539177475366116</v>
      </c>
      <c r="Y21" s="35" t="n">
        <f aca="false">p_sw_M1*(p_ccf_bl*Inputs_Banks!$Z21+BDC_EAD!R$154)+p_sw_M2*p_ccf_ff*Inputs_Banks!$T21+p_sw_M3*p_ccf_abf*Inputs_Banks!$V21+p_sw_M5*Z21+p_sw_M4*p_ccf_ins*Inputs_Banks!$AD21</f>
        <v>9.2558384</v>
      </c>
      <c r="Z21" s="35" t="n">
        <f aca="false">p_ccf_ai*SUMPRODUCT(AI_Deals!AI$6:AI$44,AI_Deals!$R$6:$R$44)</f>
        <v>1.192</v>
      </c>
    </row>
    <row r="22" customFormat="false" ht="15" hidden="false" customHeight="true" outlineLevel="0" collapsed="false">
      <c r="A22" s="10" t="s">
        <v>530</v>
      </c>
      <c r="B22" s="10" t="s">
        <v>531</v>
      </c>
      <c r="C22" s="35" t="n">
        <f aca="false">SUMPRODUCT(BDC_EAD!S$106:S$127,BDC_EAD!$AB$106:$AB$127)+SUMPRODUCT(BDC_EAD!S$131:S$152,BDC_EAD!$AC$106:$AC$127)</f>
        <v>3.14036077098225</v>
      </c>
      <c r="D22" s="35" t="n">
        <f aca="false">(Inputs_Banks!$Y22+p_ccf_bl*Inputs_Banks!$Z22)*CE_LRg0</f>
        <v>10.7742703484022</v>
      </c>
      <c r="E22" s="35" t="n">
        <f aca="false">p_fraud*(Inputs_Banks!$Q22+Inputs_Banks!$S22+Inputs_Banks!$U22)</f>
        <v>0.3516436</v>
      </c>
      <c r="F22" s="35" t="n">
        <f aca="false">p_sw_M1*(C22+D22+E22)</f>
        <v>14.2662747193845</v>
      </c>
      <c r="G22" s="35" t="n">
        <f aca="false">p_sw_M2*(Inputs_Banks!$S22+p_ccf_ff*Inputs_Banks!$T22)*CE_LRff</f>
        <v>0</v>
      </c>
      <c r="H22" s="35" t="n">
        <f aca="false">p_sw_M3*(Inputs_Banks!$U22+p_ccf_abf*Inputs_Banks!$V22)*CE_LRa0</f>
        <v>1.384596675</v>
      </c>
      <c r="I22" s="35" t="n">
        <f aca="false">p_sw_M4*(Inputs_Banks!$AD22*p_ccf_ins+Inputs_Banks!$AE22)*p_pd_ins*g_lgd_ins</f>
        <v>0</v>
      </c>
      <c r="J22" s="35" t="n">
        <f aca="false">p_sw_M5*SUMPRODUCT(AI_Deals!AJ$6:AJ$44,AI_Deals!$Q$6:$Q$44)</f>
        <v>0.790766006342628</v>
      </c>
      <c r="K22" s="35" t="n">
        <f aca="false">p_sw_M6*(SUMPRODUCT(Holdings!$C22:$O22,Holdings!$C$32:$O$32,Holdings!$C$35:$O$35)+Inputs_Banks!$P22*(-p_dp_EQ))</f>
        <v>9.16908</v>
      </c>
      <c r="L22" s="35" t="n">
        <f aca="false">p_sw_M7*Inputs_Banks!$AF22*p_cre_lr</f>
        <v>5.9661</v>
      </c>
      <c r="M22" s="35" t="n">
        <f aca="false">Inputs_Banks!$E22*Inputs_Banks!$K22*Inputs_Banks!$O22*p_dy</f>
        <v>1.7625</v>
      </c>
      <c r="N22" s="35" t="n">
        <f aca="false">MAX(0,-Inputs_Banks!$N22+Inputs_Banks!$M22*g_dur_htm*p_dy)+(1-Inputs_Banks!$E22)*MAX(0,-Inputs_Banks!$L22+Inputs_Banks!$K22*Inputs_Banks!$O22*p_dy)</f>
        <v>10.575</v>
      </c>
      <c r="O22" s="35" t="n">
        <f aca="false">p_sw_M8*(M22+N22*p_htm_forced)</f>
        <v>1.7625</v>
      </c>
      <c r="P22" s="35" t="n">
        <f aca="false">p_sw_M9*p_srt_lost*Inputs_Banks!$AA22/10000*Inputs_Banks!$H22</f>
        <v>4.08443175</v>
      </c>
      <c r="Q22" s="35" t="n">
        <f aca="false">p_sw_M10*Inputs_Banks!$AC22*CE_LRtrs0</f>
        <v>0</v>
      </c>
      <c r="R22" s="35" t="n">
        <f aca="false">p_sw_M11*Inputs_Banks!$AB22*p_pb_pd*MAX(0,p_pb_shock*g_pb_conc-g_pb_margin)</f>
        <v>0</v>
      </c>
      <c r="S22" s="35" t="n">
        <f aca="false">F22+G22+H22+I22+J22+K22+L22+O22+P22+Q22+R22</f>
        <v>37.4237491507271</v>
      </c>
      <c r="T22" s="35" t="n">
        <f aca="false">G22+I22+J22+K22+L22+P22+R22</f>
        <v>20.0103777563426</v>
      </c>
      <c r="U22" s="35" t="n">
        <f aca="false">Inputs_Banks!$G22+p_ppnr_q*Inputs_Banks!$J22</f>
        <v>117.82344</v>
      </c>
      <c r="V22" s="35" t="n">
        <f aca="false">Inputs_Banks!$H22*(1+p_rwa_infl)</f>
        <v>980.26362</v>
      </c>
      <c r="W22" s="35" t="n">
        <f aca="false">U22-(1-p_tax)*S22</f>
        <v>80.3996908492729</v>
      </c>
      <c r="X22" s="39" t="n">
        <f aca="false">W22/V22</f>
        <v>0.082018437906808</v>
      </c>
      <c r="Y22" s="35" t="n">
        <f aca="false">p_sw_M1*(p_ccf_bl*Inputs_Banks!$Z22+BDC_EAD!S$154)+p_sw_M2*p_ccf_ff*Inputs_Banks!$T22+p_sw_M3*p_ccf_abf*Inputs_Banks!$V22+p_sw_M5*Z22+p_sw_M4*p_ccf_ins*Inputs_Banks!$AD22</f>
        <v>9.7948712</v>
      </c>
      <c r="Z22" s="35" t="n">
        <f aca="false">p_ccf_ai*SUMPRODUCT(AI_Deals!AJ$6:AJ$44,AI_Deals!$R$6:$R$44)</f>
        <v>0.625</v>
      </c>
    </row>
    <row r="23" customFormat="false" ht="15" hidden="false" customHeight="true" outlineLevel="0" collapsed="false">
      <c r="A23" s="10" t="s">
        <v>532</v>
      </c>
      <c r="B23" s="10" t="s">
        <v>533</v>
      </c>
      <c r="C23" s="35" t="n">
        <f aca="false">SUMPRODUCT(BDC_EAD!T$106:T$127,BDC_EAD!$AB$106:$AB$127)+SUMPRODUCT(BDC_EAD!T$131:T$152,BDC_EAD!$AC$106:$AC$127)</f>
        <v>2.59348089387136</v>
      </c>
      <c r="D23" s="35" t="n">
        <f aca="false">(Inputs_Banks!$Y23+p_ccf_bl*Inputs_Banks!$Z23)*CE_LRg0</f>
        <v>4.5318334388185</v>
      </c>
      <c r="E23" s="35" t="n">
        <f aca="false">p_fraud*(Inputs_Banks!$Q23+Inputs_Banks!$S23+Inputs_Banks!$U23)</f>
        <v>0.159838</v>
      </c>
      <c r="F23" s="35" t="n">
        <f aca="false">p_sw_M1*(C23+D23+E23)</f>
        <v>7.28515233268986</v>
      </c>
      <c r="G23" s="35" t="n">
        <f aca="false">p_sw_M2*(Inputs_Banks!$S23+p_ccf_ff*Inputs_Banks!$T23)*CE_LRff</f>
        <v>0.141285375</v>
      </c>
      <c r="H23" s="35" t="n">
        <f aca="false">p_sw_M3*(Inputs_Banks!$U23+p_ccf_abf*Inputs_Banks!$V23)*CE_LRa0</f>
        <v>0</v>
      </c>
      <c r="I23" s="35" t="n">
        <f aca="false">p_sw_M4*(Inputs_Banks!$AD23*p_ccf_ins+Inputs_Banks!$AE23)*p_pd_ins*g_lgd_ins</f>
        <v>0</v>
      </c>
      <c r="J23" s="35" t="n">
        <f aca="false">p_sw_M5*SUMPRODUCT(AI_Deals!AK$6:AK$44,AI_Deals!$Q$6:$Q$44)</f>
        <v>0.0398768010820675</v>
      </c>
      <c r="K23" s="35" t="n">
        <f aca="false">p_sw_M6*(SUMPRODUCT(Holdings!$C23:$O23,Holdings!$C$32:$O$32,Holdings!$C$35:$O$35)+Inputs_Banks!$P23*(-p_dp_EQ))</f>
        <v>5.01831</v>
      </c>
      <c r="L23" s="35" t="n">
        <f aca="false">p_sw_M7*Inputs_Banks!$AF23*p_cre_lr</f>
        <v>2.2722</v>
      </c>
      <c r="M23" s="35" t="n">
        <f aca="false">Inputs_Banks!$E23*Inputs_Banks!$K23*Inputs_Banks!$O23*p_dy</f>
        <v>0.71865</v>
      </c>
      <c r="N23" s="35" t="n">
        <f aca="false">MAX(0,-Inputs_Banks!$N23+Inputs_Banks!$M23*g_dur_htm*p_dy)+(1-Inputs_Banks!$E23)*MAX(0,-Inputs_Banks!$L23+Inputs_Banks!$K23*Inputs_Banks!$O23*p_dy)</f>
        <v>4.3119</v>
      </c>
      <c r="O23" s="35" t="n">
        <f aca="false">p_sw_M8*(M23+N23*p_htm_forced)</f>
        <v>0.71865</v>
      </c>
      <c r="P23" s="35" t="n">
        <f aca="false">p_sw_M9*p_srt_lost*Inputs_Banks!$AA23/10000*Inputs_Banks!$H23</f>
        <v>0</v>
      </c>
      <c r="Q23" s="35" t="n">
        <f aca="false">p_sw_M10*Inputs_Banks!$AC23*CE_LRtrs0</f>
        <v>0</v>
      </c>
      <c r="R23" s="35" t="n">
        <f aca="false">p_sw_M11*Inputs_Banks!$AB23*p_pb_pd*MAX(0,p_pb_shock*g_pb_conc-g_pb_margin)</f>
        <v>0</v>
      </c>
      <c r="S23" s="35" t="n">
        <f aca="false">F23+G23+H23+I23+J23+K23+L23+O23+P23+Q23+R23</f>
        <v>15.4754745087719</v>
      </c>
      <c r="T23" s="35" t="n">
        <f aca="false">G23+I23+J23+K23+L23+P23+R23</f>
        <v>7.47167217608207</v>
      </c>
      <c r="U23" s="35" t="n">
        <f aca="false">Inputs_Banks!$G23+p_ppnr_q*Inputs_Banks!$J23</f>
        <v>61.08095</v>
      </c>
      <c r="V23" s="35" t="n">
        <f aca="false">Inputs_Banks!$H23*(1+p_rwa_infl)</f>
        <v>500.612616</v>
      </c>
      <c r="W23" s="35" t="n">
        <f aca="false">U23-(1-p_tax)*S23</f>
        <v>45.6054754912281</v>
      </c>
      <c r="X23" s="39" t="n">
        <f aca="false">W23/V23</f>
        <v>0.0910993331642846</v>
      </c>
      <c r="Y23" s="35" t="n">
        <f aca="false">p_sw_M1*(p_ccf_bl*Inputs_Banks!$Z23+BDC_EAD!T$154)+p_sw_M2*p_ccf_ff*Inputs_Banks!$T23+p_sw_M3*p_ccf_abf*Inputs_Banks!$V23+p_sw_M5*Z23+p_sw_M4*p_ccf_ins*Inputs_Banks!$AD23</f>
        <v>3.506521</v>
      </c>
      <c r="Z23" s="35" t="n">
        <f aca="false">p_ccf_ai*SUMPRODUCT(AI_Deals!AK$6:AK$44,AI_Deals!$R$6:$R$44)</f>
        <v>0</v>
      </c>
    </row>
    <row r="24" customFormat="false" ht="15" hidden="false" customHeight="true" outlineLevel="0" collapsed="false">
      <c r="A24" s="10" t="s">
        <v>534</v>
      </c>
      <c r="B24" s="10" t="s">
        <v>534</v>
      </c>
      <c r="C24" s="35" t="n">
        <f aca="false">SUMPRODUCT(BDC_EAD!U$106:U$127,BDC_EAD!$AB$106:$AB$127)+SUMPRODUCT(BDC_EAD!U$131:U$152,BDC_EAD!$AC$106:$AC$127)</f>
        <v>0</v>
      </c>
      <c r="D24" s="35" t="n">
        <f aca="false">(Inputs_Banks!$Y24+p_ccf_bl*Inputs_Banks!$Z24)*CE_LRg0</f>
        <v>0</v>
      </c>
      <c r="E24" s="35" t="n">
        <f aca="false">p_fraud*(Inputs_Banks!$Q24+Inputs_Banks!$S24+Inputs_Banks!$U24)</f>
        <v>0</v>
      </c>
      <c r="F24" s="35" t="n">
        <f aca="false">p_sw_M1*(C24+D24+E24)</f>
        <v>0</v>
      </c>
      <c r="G24" s="35" t="n">
        <f aca="false">p_sw_M2*(Inputs_Banks!$S24+p_ccf_ff*Inputs_Banks!$T24)*CE_LRff</f>
        <v>0</v>
      </c>
      <c r="H24" s="35" t="n">
        <f aca="false">p_sw_M3*(Inputs_Banks!$U24+p_ccf_abf*Inputs_Banks!$V24)*CE_LRa0</f>
        <v>0</v>
      </c>
      <c r="I24" s="35" t="n">
        <f aca="false">p_sw_M4*(Inputs_Banks!$AD24*p_ccf_ins+Inputs_Banks!$AE24)*p_pd_ins*g_lgd_ins</f>
        <v>0</v>
      </c>
      <c r="J24" s="35" t="n">
        <f aca="false">p_sw_M5*SUMPRODUCT(AI_Deals!AL$6:AL$44,AI_Deals!$Q$6:$Q$44)</f>
        <v>0.227132797669985</v>
      </c>
      <c r="K24" s="35" t="n">
        <f aca="false">p_sw_M6*(SUMPRODUCT(Holdings!$C24:$O24,Holdings!$C$32:$O$32,Holdings!$C$35:$O$35)+Inputs_Banks!$P24*(-p_dp_EQ))</f>
        <v>3.40627</v>
      </c>
      <c r="L24" s="35" t="n">
        <f aca="false">p_sw_M7*Inputs_Banks!$AF24*p_cre_lr</f>
        <v>6.5191</v>
      </c>
      <c r="M24" s="35" t="n">
        <f aca="false">Inputs_Banks!$E24*Inputs_Banks!$K24*Inputs_Banks!$O24*p_dy</f>
        <v>0.30925</v>
      </c>
      <c r="N24" s="35" t="n">
        <f aca="false">MAX(0,-Inputs_Banks!$N24+Inputs_Banks!$M24*g_dur_htm*p_dy)+(1-Inputs_Banks!$E24)*MAX(0,-Inputs_Banks!$L24+Inputs_Banks!$K24*Inputs_Banks!$O24*p_dy)</f>
        <v>1.8555</v>
      </c>
      <c r="O24" s="35" t="n">
        <f aca="false">p_sw_M8*(M24+N24*p_htm_forced)</f>
        <v>0.30925</v>
      </c>
      <c r="P24" s="35" t="n">
        <f aca="false">p_sw_M9*p_srt_lost*Inputs_Banks!$AA24/10000*Inputs_Banks!$H24</f>
        <v>0</v>
      </c>
      <c r="Q24" s="35" t="n">
        <f aca="false">p_sw_M10*Inputs_Banks!$AC24*CE_LRtrs0</f>
        <v>0</v>
      </c>
      <c r="R24" s="35" t="n">
        <f aca="false">p_sw_M11*Inputs_Banks!$AB24*p_pb_pd*MAX(0,p_pb_shock*g_pb_conc-g_pb_margin)</f>
        <v>0</v>
      </c>
      <c r="S24" s="35" t="n">
        <f aca="false">F24+G24+H24+I24+J24+K24+L24+O24+P24+Q24+R24</f>
        <v>10.46175279767</v>
      </c>
      <c r="T24" s="35" t="n">
        <f aca="false">G24+I24+J24+K24+L24+P24+R24</f>
        <v>10.15250279767</v>
      </c>
      <c r="U24" s="35" t="n">
        <f aca="false">Inputs_Banks!$G24+p_ppnr_q*Inputs_Banks!$J24</f>
        <v>72.464</v>
      </c>
      <c r="V24" s="35" t="n">
        <f aca="false">Inputs_Banks!$H24*(1+p_rwa_infl)</f>
        <v>544.212</v>
      </c>
      <c r="W24" s="35" t="n">
        <f aca="false">U24-(1-p_tax)*S24</f>
        <v>62.00224720233</v>
      </c>
      <c r="X24" s="39" t="n">
        <f aca="false">W24/V24</f>
        <v>0.113930319806123</v>
      </c>
      <c r="Y24" s="35" t="n">
        <f aca="false">p_sw_M1*(p_ccf_bl*Inputs_Banks!$Z24+BDC_EAD!U$154)+p_sw_M2*p_ccf_ff*Inputs_Banks!$T24+p_sw_M3*p_ccf_abf*Inputs_Banks!$V24+p_sw_M5*Z24+p_sw_M4*p_ccf_ins*Inputs_Banks!$AD24</f>
        <v>0.730916</v>
      </c>
      <c r="Z24" s="35" t="n">
        <f aca="false">p_ccf_ai*SUMPRODUCT(AI_Deals!AL$6:AL$44,AI_Deals!$R$6:$R$44)</f>
        <v>0.625</v>
      </c>
    </row>
    <row r="25" customFormat="false" ht="15" hidden="false" customHeight="true" outlineLevel="0" collapsed="false">
      <c r="A25" s="10" t="s">
        <v>535</v>
      </c>
      <c r="B25" s="10" t="s">
        <v>535</v>
      </c>
      <c r="C25" s="35" t="n">
        <f aca="false">SUMPRODUCT(BDC_EAD!V$106:V$127,BDC_EAD!$AB$106:$AB$127)+SUMPRODUCT(BDC_EAD!V$131:V$152,BDC_EAD!$AC$106:$AC$127)</f>
        <v>1.85230618339685</v>
      </c>
      <c r="D25" s="35" t="n">
        <f aca="false">(Inputs_Banks!$Y25+p_ccf_bl*Inputs_Banks!$Z25)*CE_LRg0</f>
        <v>15.2009458258424</v>
      </c>
      <c r="E25" s="35" t="n">
        <f aca="false">p_fraud*(Inputs_Banks!$Q25+Inputs_Banks!$S25+Inputs_Banks!$U25)</f>
        <v>0.528872763052702</v>
      </c>
      <c r="F25" s="35" t="n">
        <f aca="false">p_sw_M1*(C25+D25+E25)</f>
        <v>17.5821247722919</v>
      </c>
      <c r="G25" s="35" t="n">
        <f aca="false">p_sw_M2*(Inputs_Banks!$S25+p_ccf_ff*Inputs_Banks!$T25)*CE_LRff</f>
        <v>1.41804009593506</v>
      </c>
      <c r="H25" s="35" t="n">
        <f aca="false">p_sw_M3*(Inputs_Banks!$U25+p_ccf_abf*Inputs_Banks!$V25)*CE_LRa0</f>
        <v>0</v>
      </c>
      <c r="I25" s="35" t="n">
        <f aca="false">p_sw_M4*(Inputs_Banks!$AD25*p_ccf_ins+Inputs_Banks!$AE25)*p_pd_ins*g_lgd_ins</f>
        <v>0</v>
      </c>
      <c r="J25" s="35" t="n">
        <f aca="false">p_sw_M5*SUMPRODUCT(AI_Deals!AM$6:AM$44,AI_Deals!$Q$6:$Q$44)</f>
        <v>2.02153777747786</v>
      </c>
      <c r="K25" s="35" t="n">
        <f aca="false">p_sw_M6*(SUMPRODUCT(Holdings!$C25:$O25,Holdings!$C$32:$O$32,Holdings!$C$35:$O$35)+Inputs_Banks!$P25*(-p_dp_EQ))</f>
        <v>18.5865433189841</v>
      </c>
      <c r="L25" s="35" t="n">
        <f aca="false">p_sw_M7*Inputs_Banks!$AF25*p_cre_lr</f>
        <v>6.7158</v>
      </c>
      <c r="M25" s="35" t="n">
        <f aca="false">Inputs_Banks!$E25*Inputs_Banks!$K25*Inputs_Banks!$O25*p_dy</f>
        <v>2.29915</v>
      </c>
      <c r="N25" s="35" t="n">
        <f aca="false">MAX(0,-Inputs_Banks!$N25+Inputs_Banks!$M25*g_dur_htm*p_dy)+(1-Inputs_Banks!$E25)*MAX(0,-Inputs_Banks!$L25+Inputs_Banks!$K25*Inputs_Banks!$O25*p_dy)</f>
        <v>21.5250518971773</v>
      </c>
      <c r="O25" s="35" t="n">
        <f aca="false">p_sw_M8*(M25+N25*p_htm_forced)</f>
        <v>2.29915</v>
      </c>
      <c r="P25" s="35" t="n">
        <f aca="false">p_sw_M9*p_srt_lost*Inputs_Banks!$AA25/10000*Inputs_Banks!$H25</f>
        <v>0</v>
      </c>
      <c r="Q25" s="35" t="n">
        <f aca="false">p_sw_M10*Inputs_Banks!$AC25*CE_LRtrs0</f>
        <v>0</v>
      </c>
      <c r="R25" s="35" t="n">
        <f aca="false">p_sw_M11*Inputs_Banks!$AB25*p_pb_pd*MAX(0,p_pb_shock*g_pb_conc-g_pb_margin)</f>
        <v>0</v>
      </c>
      <c r="S25" s="35" t="n">
        <f aca="false">F25+G25+H25+I25+J25+K25+L25+O25+P25+Q25+R25</f>
        <v>48.6231959646889</v>
      </c>
      <c r="T25" s="35" t="n">
        <f aca="false">G25+I25+J25+K25+L25+P25+R25</f>
        <v>28.741921192397</v>
      </c>
      <c r="U25" s="35" t="n">
        <f aca="false">Inputs_Banks!$G25+p_ppnr_q*Inputs_Banks!$J25</f>
        <v>99.6377836541418</v>
      </c>
      <c r="V25" s="35" t="n">
        <f aca="false">Inputs_Banks!$H25*(1+p_rwa_infl)</f>
        <v>830.344726646577</v>
      </c>
      <c r="W25" s="35" t="n">
        <f aca="false">U25-(1-p_tax)*S25</f>
        <v>51.0145876894529</v>
      </c>
      <c r="X25" s="39" t="n">
        <f aca="false">W25/V25</f>
        <v>0.0614378414799838</v>
      </c>
      <c r="Y25" s="35" t="n">
        <f aca="false">p_sw_M1*(p_ccf_bl*Inputs_Banks!$Z25+BDC_EAD!V$154)+p_sw_M2*p_ccf_ff*Inputs_Banks!$T25+p_sw_M3*p_ccf_abf*Inputs_Banks!$V25+p_sw_M5*Z25+p_sw_M4*p_ccf_ins*Inputs_Banks!$AD25</f>
        <v>21.0243399144764</v>
      </c>
      <c r="Z25" s="35" t="n">
        <f aca="false">p_ccf_ai*SUMPRODUCT(AI_Deals!AM$6:AM$44,AI_Deals!$R$6:$R$44)</f>
        <v>1.01</v>
      </c>
    </row>
    <row r="26" customFormat="false" ht="15" hidden="false" customHeight="true" outlineLevel="0" collapsed="false">
      <c r="A26" s="10" t="s">
        <v>537</v>
      </c>
      <c r="B26" s="10" t="s">
        <v>537</v>
      </c>
      <c r="C26" s="35" t="n">
        <f aca="false">SUMPRODUCT(BDC_EAD!W$106:W$127,BDC_EAD!$AB$106:$AB$127)+SUMPRODUCT(BDC_EAD!W$131:W$152,BDC_EAD!$AC$106:$AC$127)</f>
        <v>0.784345402177185</v>
      </c>
      <c r="D26" s="35" t="n">
        <f aca="false">(Inputs_Banks!$Y26+p_ccf_bl*Inputs_Banks!$Z26)*CE_LRg0</f>
        <v>3.19545773527203</v>
      </c>
      <c r="E26" s="35" t="n">
        <f aca="false">p_fraud*(Inputs_Banks!$Q26+Inputs_Banks!$S26+Inputs_Banks!$U26)</f>
        <v>0.167271385523646</v>
      </c>
      <c r="F26" s="35" t="n">
        <f aca="false">p_sw_M1*(C26+D26+E26)</f>
        <v>4.14707452297286</v>
      </c>
      <c r="G26" s="35" t="n">
        <f aca="false">p_sw_M2*(Inputs_Banks!$S26+p_ccf_ff*Inputs_Banks!$T26)*CE_LRff</f>
        <v>0.396746817538897</v>
      </c>
      <c r="H26" s="35" t="n">
        <f aca="false">p_sw_M3*(Inputs_Banks!$U26+p_ccf_abf*Inputs_Banks!$V26)*CE_LRa0</f>
        <v>0</v>
      </c>
      <c r="I26" s="35" t="n">
        <f aca="false">p_sw_M4*(Inputs_Banks!$AD26*p_ccf_ins+Inputs_Banks!$AE26)*p_pd_ins*g_lgd_ins</f>
        <v>0</v>
      </c>
      <c r="J26" s="35" t="n">
        <f aca="false">p_sw_M5*SUMPRODUCT(AI_Deals!AN$6:AN$44,AI_Deals!$Q$6:$Q$44)</f>
        <v>1.06756963809295</v>
      </c>
      <c r="K26" s="35" t="n">
        <f aca="false">p_sw_M6*(SUMPRODUCT(Holdings!$C26:$O26,Holdings!$C$32:$O$32,Holdings!$C$35:$O$35)+Inputs_Banks!$P26*(-p_dp_EQ))</f>
        <v>11.4712668218437</v>
      </c>
      <c r="L26" s="35" t="n">
        <f aca="false">p_sw_M7*Inputs_Banks!$AF26*p_cre_lr</f>
        <v>3.045</v>
      </c>
      <c r="M26" s="35" t="n">
        <f aca="false">Inputs_Banks!$E26*Inputs_Banks!$K26*Inputs_Banks!$O26*p_dy</f>
        <v>1.00925</v>
      </c>
      <c r="N26" s="35" t="n">
        <f aca="false">MAX(0,-Inputs_Banks!$N26+Inputs_Banks!$M26*g_dur_htm*p_dy)+(1-Inputs_Banks!$E26)*MAX(0,-Inputs_Banks!$L26+Inputs_Banks!$K26*Inputs_Banks!$O26*p_dy)</f>
        <v>7.70668996371687</v>
      </c>
      <c r="O26" s="35" t="n">
        <f aca="false">p_sw_M8*(M26+N26*p_htm_forced)</f>
        <v>1.00925</v>
      </c>
      <c r="P26" s="35" t="n">
        <f aca="false">p_sw_M9*p_srt_lost*Inputs_Banks!$AA26/10000*Inputs_Banks!$H26</f>
        <v>0</v>
      </c>
      <c r="Q26" s="35" t="n">
        <f aca="false">p_sw_M10*Inputs_Banks!$AC26*CE_LRtrs0</f>
        <v>0</v>
      </c>
      <c r="R26" s="35" t="n">
        <f aca="false">p_sw_M11*Inputs_Banks!$AB26*p_pb_pd*MAX(0,p_pb_shock*g_pb_conc-g_pb_margin)</f>
        <v>0</v>
      </c>
      <c r="S26" s="35" t="n">
        <f aca="false">F26+G26+H26+I26+J26+K26+L26+O26+P26+Q26+R26</f>
        <v>21.1369078004484</v>
      </c>
      <c r="T26" s="35" t="n">
        <f aca="false">G26+I26+J26+K26+L26+P26+R26</f>
        <v>15.9805832774755</v>
      </c>
      <c r="U26" s="35" t="n">
        <f aca="false">Inputs_Banks!$G26+p_ppnr_q*Inputs_Banks!$J26</f>
        <v>79.3379312465408</v>
      </c>
      <c r="V26" s="35" t="n">
        <f aca="false">Inputs_Banks!$H26*(1+p_rwa_infl)</f>
        <v>678.300571920546</v>
      </c>
      <c r="W26" s="35" t="n">
        <f aca="false">U26-(1-p_tax)*S26</f>
        <v>58.2010234460924</v>
      </c>
      <c r="X26" s="39" t="n">
        <f aca="false">W26/V26</f>
        <v>0.0858041786420753</v>
      </c>
      <c r="Y26" s="35" t="n">
        <f aca="false">p_sw_M1*(p_ccf_bl*Inputs_Banks!$Z26+BDC_EAD!W$154)+p_sw_M2*p_ccf_ff*Inputs_Banks!$T26+p_sw_M3*p_ccf_abf*Inputs_Banks!$V26+p_sw_M5*Z26+p_sw_M4*p_ccf_ins*Inputs_Banks!$AD26</f>
        <v>5.08130839142734</v>
      </c>
      <c r="Z26" s="35" t="n">
        <f aca="false">p_ccf_ai*SUMPRODUCT(AI_Deals!AN$6:AN$44,AI_Deals!$R$6:$R$44)</f>
        <v>0.817</v>
      </c>
    </row>
    <row r="27" customFormat="false" ht="15" hidden="false" customHeight="true" outlineLevel="0" collapsed="false">
      <c r="A27" s="10" t="s">
        <v>538</v>
      </c>
      <c r="B27" s="10" t="s">
        <v>539</v>
      </c>
      <c r="C27" s="35" t="n">
        <f aca="false">SUMPRODUCT(BDC_EAD!X$106:X$127,BDC_EAD!$AB$106:$AB$127)+SUMPRODUCT(BDC_EAD!X$131:X$152,BDC_EAD!$AC$106:$AC$127)</f>
        <v>0.0519546674865461</v>
      </c>
      <c r="D27" s="35" t="n">
        <f aca="false">(Inputs_Banks!$Y27+p_ccf_bl*Inputs_Banks!$Z27)*CE_LRg0</f>
        <v>4.33938470569132</v>
      </c>
      <c r="E27" s="35" t="n">
        <f aca="false">p_fraud*(Inputs_Banks!$Q27+Inputs_Banks!$S27+Inputs_Banks!$U27)</f>
        <v>0.22</v>
      </c>
      <c r="F27" s="35" t="n">
        <f aca="false">p_sw_M1*(C27+D27+E27)</f>
        <v>4.61133937317787</v>
      </c>
      <c r="G27" s="35" t="n">
        <f aca="false">p_sw_M2*(Inputs_Banks!$S27+p_ccf_ff*Inputs_Banks!$T27)*CE_LRff</f>
        <v>0.786500000000002</v>
      </c>
      <c r="H27" s="35" t="n">
        <f aca="false">p_sw_M3*(Inputs_Banks!$U27+p_ccf_abf*Inputs_Banks!$V27)*CE_LRa0</f>
        <v>0</v>
      </c>
      <c r="I27" s="35" t="n">
        <f aca="false">p_sw_M4*(Inputs_Banks!$AD27*p_ccf_ins+Inputs_Banks!$AE27)*p_pd_ins*g_lgd_ins</f>
        <v>0</v>
      </c>
      <c r="J27" s="35" t="n">
        <f aca="false">p_sw_M5*SUMPRODUCT(AI_Deals!AO$6:AO$44,AI_Deals!$Q$6:$Q$44)</f>
        <v>0.531788851598691</v>
      </c>
      <c r="K27" s="35" t="n">
        <f aca="false">p_sw_M6*(SUMPRODUCT(Holdings!$C27:$O27,Holdings!$C$32:$O$32,Holdings!$C$35:$O$35)+Inputs_Banks!$P27*(-p_dp_EQ))</f>
        <v>8.53088213271019</v>
      </c>
      <c r="L27" s="35" t="n">
        <f aca="false">p_sw_M7*Inputs_Banks!$AF27*p_cre_lr</f>
        <v>0</v>
      </c>
      <c r="M27" s="35" t="n">
        <f aca="false">Inputs_Banks!$E27*Inputs_Banks!$K27*Inputs_Banks!$O27*p_dy</f>
        <v>0.85305</v>
      </c>
      <c r="N27" s="35" t="n">
        <f aca="false">MAX(0,-Inputs_Banks!$N27+Inputs_Banks!$M27*g_dur_htm*p_dy)+(1-Inputs_Banks!$E27)*MAX(0,-Inputs_Banks!$L27+Inputs_Banks!$K27*Inputs_Banks!$O27*p_dy)</f>
        <v>6.02968306377222</v>
      </c>
      <c r="O27" s="35" t="n">
        <f aca="false">p_sw_M8*(M27+N27*p_htm_forced)</f>
        <v>0.85305</v>
      </c>
      <c r="P27" s="35" t="n">
        <f aca="false">p_sw_M9*p_srt_lost*Inputs_Banks!$AA27/10000*Inputs_Banks!$H27</f>
        <v>0</v>
      </c>
      <c r="Q27" s="35" t="n">
        <f aca="false">p_sw_M10*Inputs_Banks!$AC27*CE_LRtrs0</f>
        <v>0</v>
      </c>
      <c r="R27" s="35" t="n">
        <f aca="false">p_sw_M11*Inputs_Banks!$AB27*p_pb_pd*MAX(0,p_pb_shock*g_pb_conc-g_pb_margin)</f>
        <v>0</v>
      </c>
      <c r="S27" s="35" t="n">
        <f aca="false">F27+G27+H27+I27+J27+K27+L27+O27+P27+Q27+R27</f>
        <v>15.3135603574867</v>
      </c>
      <c r="T27" s="35" t="n">
        <f aca="false">G27+I27+J27+K27+L27+P27+R27</f>
        <v>9.84917098430888</v>
      </c>
      <c r="U27" s="35" t="n">
        <f aca="false">Inputs_Banks!$G27+p_ppnr_q*Inputs_Banks!$J27</f>
        <v>68.3229813664596</v>
      </c>
      <c r="V27" s="35" t="n">
        <f aca="false">Inputs_Banks!$H27*(1+p_rwa_infl)</f>
        <v>546.035274583359</v>
      </c>
      <c r="W27" s="35" t="n">
        <f aca="false">U27-(1-p_tax)*S27</f>
        <v>53.0094210089729</v>
      </c>
      <c r="X27" s="39" t="n">
        <f aca="false">W27/V27</f>
        <v>0.097080579728884</v>
      </c>
      <c r="Y27" s="35" t="n">
        <f aca="false">p_sw_M1*(p_ccf_bl*Inputs_Banks!$Z27+BDC_EAD!X$154)+p_sw_M2*p_ccf_ff*Inputs_Banks!$T27+p_sw_M3*p_ccf_abf*Inputs_Banks!$V27+p_sw_M5*Z27+p_sw_M4*p_ccf_ins*Inputs_Banks!$AD27</f>
        <v>8.4308773</v>
      </c>
      <c r="Z27" s="35" t="n">
        <f aca="false">p_ccf_ai*SUMPRODUCT(AI_Deals!AO$6:AO$44,AI_Deals!$R$6:$R$44)</f>
        <v>0.625</v>
      </c>
    </row>
    <row r="28" customFormat="false" ht="15" hidden="false" customHeight="true" outlineLevel="0" collapsed="false">
      <c r="A28" s="10" t="s">
        <v>540</v>
      </c>
      <c r="B28" s="10" t="s">
        <v>541</v>
      </c>
      <c r="C28" s="35" t="n">
        <f aca="false">SUMPRODUCT(BDC_EAD!Y$106:Y$127,BDC_EAD!$AB$106:$AB$127)+SUMPRODUCT(BDC_EAD!Y$131:Y$152,BDC_EAD!$AC$106:$AC$127)</f>
        <v>0.70272213094102</v>
      </c>
      <c r="D28" s="35" t="n">
        <f aca="false">(Inputs_Banks!$Y28+p_ccf_bl*Inputs_Banks!$Z28)*CE_LRg0</f>
        <v>4.48373994596486</v>
      </c>
      <c r="E28" s="35" t="n">
        <f aca="false">p_fraud*(Inputs_Banks!$Q28+Inputs_Banks!$S28+Inputs_Banks!$U28)</f>
        <v>0.347060894051391</v>
      </c>
      <c r="F28" s="35" t="n">
        <f aca="false">p_sw_M1*(C28+D28+E28)</f>
        <v>5.53352297095727</v>
      </c>
      <c r="G28" s="35" t="n">
        <f aca="false">p_sw_M2*(Inputs_Banks!$S28+p_ccf_ff*Inputs_Banks!$T28)*CE_LRff</f>
        <v>0</v>
      </c>
      <c r="H28" s="35" t="n">
        <f aca="false">p_sw_M3*(Inputs_Banks!$U28+p_ccf_abf*Inputs_Banks!$V28)*CE_LRa0</f>
        <v>2.69271383315734</v>
      </c>
      <c r="I28" s="35" t="n">
        <f aca="false">p_sw_M4*(Inputs_Banks!$AD28*p_ccf_ins+Inputs_Banks!$AE28)*p_pd_ins*g_lgd_ins</f>
        <v>0</v>
      </c>
      <c r="J28" s="35" t="n">
        <f aca="false">p_sw_M5*SUMPRODUCT(AI_Deals!AP$6:AP$44,AI_Deals!$Q$6:$Q$44)</f>
        <v>0.363412476271976</v>
      </c>
      <c r="K28" s="35" t="n">
        <f aca="false">p_sw_M6*(SUMPRODUCT(Holdings!$C28:$O28,Holdings!$C$32:$O$32,Holdings!$C$35:$O$35)+Inputs_Banks!$P28*(-p_dp_EQ))</f>
        <v>3.28342</v>
      </c>
      <c r="L28" s="35" t="n">
        <f aca="false">p_sw_M7*Inputs_Banks!$AF28*p_cre_lr</f>
        <v>5.4761</v>
      </c>
      <c r="M28" s="35" t="n">
        <f aca="false">Inputs_Banks!$E28*Inputs_Banks!$K28*Inputs_Banks!$O28*p_dy</f>
        <v>1.5898</v>
      </c>
      <c r="N28" s="35" t="n">
        <f aca="false">MAX(0,-Inputs_Banks!$N28+Inputs_Banks!$M28*g_dur_htm*p_dy)+(1-Inputs_Banks!$E28)*MAX(0,-Inputs_Banks!$L28+Inputs_Banks!$K28*Inputs_Banks!$O28*p_dy)</f>
        <v>11.7767443857797</v>
      </c>
      <c r="O28" s="35" t="n">
        <f aca="false">p_sw_M8*(M28+N28*p_htm_forced)</f>
        <v>1.5898</v>
      </c>
      <c r="P28" s="35" t="n">
        <f aca="false">p_sw_M9*p_srt_lost*Inputs_Banks!$AA28/10000*Inputs_Banks!$H28</f>
        <v>0</v>
      </c>
      <c r="Q28" s="35" t="n">
        <f aca="false">p_sw_M10*Inputs_Banks!$AC28*CE_LRtrs0</f>
        <v>0</v>
      </c>
      <c r="R28" s="35" t="n">
        <f aca="false">p_sw_M11*Inputs_Banks!$AB28*p_pb_pd*MAX(0,p_pb_shock*g_pb_conc-g_pb_margin)</f>
        <v>0</v>
      </c>
      <c r="S28" s="35" t="n">
        <f aca="false">F28+G28+H28+I28+J28+K28+L28+O28+P28+Q28+R28</f>
        <v>18.9389692803866</v>
      </c>
      <c r="T28" s="35" t="n">
        <f aca="false">G28+I28+J28+K28+L28+P28+R28</f>
        <v>9.12293247627198</v>
      </c>
      <c r="U28" s="35" t="n">
        <f aca="false">Inputs_Banks!$G28+p_ppnr_q*Inputs_Banks!$J28</f>
        <v>73.8866596268919</v>
      </c>
      <c r="V28" s="35" t="n">
        <f aca="false">Inputs_Banks!$H28*(1+p_rwa_infl)</f>
        <v>591.510031678986</v>
      </c>
      <c r="W28" s="35" t="n">
        <f aca="false">U28-(1-p_tax)*S28</f>
        <v>54.9476903465053</v>
      </c>
      <c r="X28" s="39" t="n">
        <f aca="false">W28/V28</f>
        <v>0.0928939280886542</v>
      </c>
      <c r="Y28" s="35" t="n">
        <f aca="false">p_sw_M1*(p_ccf_bl*Inputs_Banks!$Z28+BDC_EAD!Y$154)+p_sw_M2*p_ccf_ff*Inputs_Banks!$T28+p_sw_M3*p_ccf_abf*Inputs_Banks!$V28+p_sw_M5*Z28+p_sw_M4*p_ccf_ins*Inputs_Banks!$AD28</f>
        <v>3.6692462</v>
      </c>
      <c r="Z28" s="35" t="n">
        <f aca="false">p_ccf_ai*SUMPRODUCT(AI_Deals!AP$6:AP$44,AI_Deals!$R$6:$R$44)</f>
        <v>1</v>
      </c>
    </row>
    <row r="29" customFormat="false" ht="15" hidden="false" customHeight="true" outlineLevel="0" collapsed="false">
      <c r="A29" s="10" t="s">
        <v>543</v>
      </c>
      <c r="B29" s="10" t="s">
        <v>544</v>
      </c>
      <c r="C29" s="35" t="n">
        <f aca="false">SUMPRODUCT(BDC_EAD!Z$106:Z$127,BDC_EAD!$AB$106:$AB$127)+SUMPRODUCT(BDC_EAD!Z$131:Z$152,BDC_EAD!$AC$106:$AC$127)</f>
        <v>0</v>
      </c>
      <c r="D29" s="35" t="n">
        <f aca="false">(Inputs_Banks!$Y29+p_ccf_bl*Inputs_Banks!$Z29)*CE_LRg0</f>
        <v>0</v>
      </c>
      <c r="E29" s="35" t="n">
        <f aca="false">p_fraud*(Inputs_Banks!$Q29+Inputs_Banks!$S29+Inputs_Banks!$U29)</f>
        <v>0</v>
      </c>
      <c r="F29" s="35" t="n">
        <f aca="false">p_sw_M1*(C29+D29+E29)</f>
        <v>0</v>
      </c>
      <c r="G29" s="35" t="n">
        <f aca="false">p_sw_M2*(Inputs_Banks!$S29+p_ccf_ff*Inputs_Banks!$T29)*CE_LRff</f>
        <v>0</v>
      </c>
      <c r="H29" s="35" t="n">
        <f aca="false">p_sw_M3*(Inputs_Banks!$U29+p_ccf_abf*Inputs_Banks!$V29)*CE_LRa0</f>
        <v>0</v>
      </c>
      <c r="I29" s="35" t="n">
        <f aca="false">p_sw_M4*(Inputs_Banks!$AD29*p_ccf_ins+Inputs_Banks!$AE29)*p_pd_ins*g_lgd_ins</f>
        <v>0</v>
      </c>
      <c r="J29" s="35" t="n">
        <f aca="false">p_sw_M5*SUMPRODUCT(AI_Deals!AQ$6:AQ$44,AI_Deals!$Q$6:$Q$44)</f>
        <v>0.224693594224689</v>
      </c>
      <c r="K29" s="35" t="n">
        <f aca="false">p_sw_M6*(SUMPRODUCT(Holdings!$C29:$O29,Holdings!$C$32:$O$32,Holdings!$C$35:$O$35)+Inputs_Banks!$P29*(-p_dp_EQ))</f>
        <v>0.93222</v>
      </c>
      <c r="L29" s="35" t="n">
        <f aca="false">p_sw_M7*Inputs_Banks!$AF29*p_cre_lr</f>
        <v>0</v>
      </c>
      <c r="M29" s="35" t="n">
        <f aca="false">Inputs_Banks!$E29*Inputs_Banks!$K29*Inputs_Banks!$O29*p_dy</f>
        <v>0</v>
      </c>
      <c r="N29" s="35" t="n">
        <f aca="false">MAX(0,-Inputs_Banks!$N29+Inputs_Banks!$M29*g_dur_htm*p_dy)+(1-Inputs_Banks!$E29)*MAX(0,-Inputs_Banks!$L29+Inputs_Banks!$K29*Inputs_Banks!$O29*p_dy)</f>
        <v>0</v>
      </c>
      <c r="O29" s="35" t="n">
        <f aca="false">p_sw_M8*(M29+N29*p_htm_forced)</f>
        <v>0</v>
      </c>
      <c r="P29" s="35" t="n">
        <f aca="false">p_sw_M9*p_srt_lost*Inputs_Banks!$AA29/10000*Inputs_Banks!$H29</f>
        <v>0</v>
      </c>
      <c r="Q29" s="35" t="n">
        <f aca="false">p_sw_M10*Inputs_Banks!$AC29*CE_LRtrs0</f>
        <v>0</v>
      </c>
      <c r="R29" s="35" t="n">
        <f aca="false">p_sw_M11*Inputs_Banks!$AB29*p_pb_pd*MAX(0,p_pb_shock*g_pb_conc-g_pb_margin)</f>
        <v>0</v>
      </c>
      <c r="S29" s="35" t="n">
        <f aca="false">F29+G29+H29+I29+J29+K29+L29+O29+P29+Q29+R29</f>
        <v>1.15691359422469</v>
      </c>
      <c r="T29" s="35" t="n">
        <f aca="false">G29+I29+J29+K29+L29+P29+R29</f>
        <v>1.15691359422469</v>
      </c>
      <c r="U29" s="35" t="n">
        <f aca="false">Inputs_Banks!$G29+p_ppnr_q*Inputs_Banks!$J29</f>
        <v>8.718</v>
      </c>
      <c r="V29" s="35" t="n">
        <f aca="false">Inputs_Banks!$H29*(1+p_rwa_infl)</f>
        <v>104.616</v>
      </c>
      <c r="W29" s="35" t="n">
        <f aca="false">U29-(1-p_tax)*S29</f>
        <v>7.56108640577531</v>
      </c>
      <c r="X29" s="39" t="n">
        <f aca="false">W29/V29</f>
        <v>0.0722746654983493</v>
      </c>
      <c r="Y29" s="35" t="n">
        <f aca="false">p_sw_M1*(p_ccf_bl*Inputs_Banks!$Z29+BDC_EAD!Z$154)+p_sw_M2*p_ccf_ff*Inputs_Banks!$T29+p_sw_M3*p_ccf_abf*Inputs_Banks!$V29+p_sw_M5*Z29+p_sw_M4*p_ccf_ins*Inputs_Banks!$AD29</f>
        <v>0</v>
      </c>
      <c r="Z29" s="35" t="n">
        <f aca="false">p_ccf_ai*SUMPRODUCT(AI_Deals!AQ$6:AQ$44,AI_Deals!$R$6:$R$44)</f>
        <v>0</v>
      </c>
    </row>
    <row r="30" customFormat="false" ht="15" hidden="false" customHeight="true" outlineLevel="0" collapsed="false">
      <c r="B30" s="7" t="s">
        <v>906</v>
      </c>
      <c r="C30" s="47" t="n">
        <f aca="false">SUM(C6:C29)</f>
        <v>24.7492566419156</v>
      </c>
      <c r="D30" s="47" t="n">
        <f aca="false">SUM(D6:D29)</f>
        <v>297.369516172062</v>
      </c>
      <c r="E30" s="47" t="n">
        <f aca="false">SUM(E6:E29)</f>
        <v>10.5527469426277</v>
      </c>
      <c r="F30" s="47" t="n">
        <f aca="false">SUM(F6:F29)</f>
        <v>332.671519756605</v>
      </c>
      <c r="G30" s="47" t="n">
        <f aca="false">SUM(G6:G29)</f>
        <v>22.141820288474</v>
      </c>
      <c r="H30" s="47" t="n">
        <f aca="false">SUM(H6:H29)</f>
        <v>16.7738419769074</v>
      </c>
      <c r="I30" s="47" t="n">
        <f aca="false">SUM(I6:I29)</f>
        <v>1.974</v>
      </c>
      <c r="J30" s="47" t="n">
        <f aca="false">SUM(J6:J29)</f>
        <v>28.1153106793353</v>
      </c>
      <c r="K30" s="47" t="n">
        <f aca="false">SUM(K6:K29)</f>
        <v>144.607292273538</v>
      </c>
      <c r="L30" s="47" t="n">
        <f aca="false">SUM(L6:L29)</f>
        <v>89.5552</v>
      </c>
      <c r="M30" s="47" t="n">
        <f aca="false">SUM(M6:M29)</f>
        <v>59.5441</v>
      </c>
      <c r="N30" s="47" t="n">
        <f aca="false">SUM(N6:N29)</f>
        <v>387.285604310446</v>
      </c>
      <c r="O30" s="47" t="n">
        <f aca="false">SUM(O6:O29)</f>
        <v>59.5441</v>
      </c>
      <c r="P30" s="47" t="n">
        <f aca="false">SUM(P6:P29)</f>
        <v>7.4018658</v>
      </c>
      <c r="Q30" s="47" t="n">
        <f aca="false">SUM(Q6:Q29)</f>
        <v>26.6603133124681</v>
      </c>
      <c r="R30" s="47" t="n">
        <f aca="false">SUM(R6:R29)</f>
        <v>19.46185465</v>
      </c>
      <c r="S30" s="47" t="n">
        <f aca="false">SUM(S6:S29)</f>
        <v>748.907118737328</v>
      </c>
      <c r="T30" s="47" t="n">
        <f aca="false">SUM(T6:T29)</f>
        <v>313.257343691347</v>
      </c>
      <c r="U30" s="47" t="n">
        <f aca="false">SUM(U6:U29)</f>
        <v>2046.60845419403</v>
      </c>
      <c r="V30" s="47" t="n">
        <f aca="false">SUM(V6:V29)</f>
        <v>17667.1210456295</v>
      </c>
      <c r="W30" s="47" t="n">
        <f aca="false">SUM(W6:W29)</f>
        <v>1297.70133545671</v>
      </c>
      <c r="Y30" s="47" t="n">
        <f aca="false">SUM(Y6:Y29)</f>
        <v>373.627679005904</v>
      </c>
      <c r="Z30" s="47" t="n">
        <f aca="false">SUM(Z6:Z29)</f>
        <v>15.433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80" min="2" style="1" width="10"/>
    <col collapsed="false" customWidth="true" hidden="false" outlineLevel="0" max="81" min="81" style="1" width="44"/>
    <col collapsed="false" customWidth="true" hidden="false" outlineLevel="0" max="82" min="82" style="1" width="11"/>
  </cols>
  <sheetData>
    <row r="1" customFormat="false" ht="17.25" hidden="false" customHeight="true" outlineLevel="0" collapsed="false">
      <c r="A1" s="5" t="s">
        <v>907</v>
      </c>
    </row>
    <row r="2" customFormat="false" ht="15" hidden="false" customHeight="true" outlineLevel="0" collapsed="false">
      <c r="A2" s="6" t="s">
        <v>908</v>
      </c>
    </row>
    <row r="5" customFormat="false" ht="15" hidden="false" customHeight="true" outlineLevel="0" collapsed="false">
      <c r="A5" s="9" t="s">
        <v>909</v>
      </c>
    </row>
    <row r="6" customFormat="false" ht="42" hidden="false" customHeight="true" outlineLevel="0" collapsed="false">
      <c r="A6" s="21" t="s">
        <v>51</v>
      </c>
      <c r="B6" s="21" t="s">
        <v>910</v>
      </c>
      <c r="C6" s="21" t="s">
        <v>911</v>
      </c>
      <c r="D6" s="21" t="s">
        <v>912</v>
      </c>
      <c r="E6" s="21" t="s">
        <v>913</v>
      </c>
      <c r="F6" s="21" t="s">
        <v>914</v>
      </c>
      <c r="G6" s="21" t="s">
        <v>61</v>
      </c>
      <c r="H6" s="21" t="s">
        <v>915</v>
      </c>
      <c r="I6" s="21" t="s">
        <v>916</v>
      </c>
      <c r="J6" s="21" t="s">
        <v>917</v>
      </c>
      <c r="K6" s="21" t="s">
        <v>918</v>
      </c>
      <c r="L6" s="21" t="s">
        <v>919</v>
      </c>
      <c r="M6" s="21" t="s">
        <v>920</v>
      </c>
      <c r="N6" s="21" t="s">
        <v>921</v>
      </c>
      <c r="O6" s="21" t="s">
        <v>922</v>
      </c>
      <c r="P6" s="21" t="s">
        <v>923</v>
      </c>
      <c r="Q6" s="21" t="s">
        <v>924</v>
      </c>
      <c r="R6" s="21" t="s">
        <v>925</v>
      </c>
      <c r="S6" s="21" t="s">
        <v>926</v>
      </c>
      <c r="T6" s="21" t="s">
        <v>927</v>
      </c>
      <c r="U6" s="21" t="s">
        <v>928</v>
      </c>
      <c r="V6" s="21" t="s">
        <v>60</v>
      </c>
      <c r="W6" s="21" t="s">
        <v>929</v>
      </c>
      <c r="X6" s="21" t="s">
        <v>930</v>
      </c>
      <c r="Y6" s="21" t="s">
        <v>931</v>
      </c>
      <c r="Z6" s="21" t="s">
        <v>932</v>
      </c>
      <c r="AA6" s="21" t="s">
        <v>933</v>
      </c>
      <c r="AB6" s="21" t="s">
        <v>934</v>
      </c>
      <c r="AC6" s="21" t="s">
        <v>935</v>
      </c>
      <c r="AD6" s="21" t="s">
        <v>936</v>
      </c>
      <c r="AE6" s="21" t="s">
        <v>937</v>
      </c>
      <c r="AF6" s="21" t="s">
        <v>938</v>
      </c>
      <c r="AG6" s="21" t="s">
        <v>939</v>
      </c>
      <c r="AH6" s="21" t="s">
        <v>940</v>
      </c>
      <c r="AI6" s="21" t="s">
        <v>941</v>
      </c>
      <c r="AJ6" s="21" t="s">
        <v>942</v>
      </c>
      <c r="AK6" s="21" t="s">
        <v>943</v>
      </c>
      <c r="AL6" s="21" t="s">
        <v>944</v>
      </c>
      <c r="AM6" s="21" t="s">
        <v>945</v>
      </c>
      <c r="AN6" s="21" t="s">
        <v>946</v>
      </c>
      <c r="AO6" s="21" t="s">
        <v>947</v>
      </c>
      <c r="AP6" s="21" t="s">
        <v>948</v>
      </c>
      <c r="AQ6" s="21" t="s">
        <v>949</v>
      </c>
      <c r="AR6" s="21" t="s">
        <v>950</v>
      </c>
      <c r="AS6" s="21" t="s">
        <v>951</v>
      </c>
      <c r="AT6" s="21" t="s">
        <v>952</v>
      </c>
      <c r="AU6" s="21" t="s">
        <v>953</v>
      </c>
      <c r="AV6" s="21" t="s">
        <v>954</v>
      </c>
      <c r="AW6" s="21" t="s">
        <v>955</v>
      </c>
      <c r="AX6" s="21" t="s">
        <v>956</v>
      </c>
      <c r="AY6" s="21" t="s">
        <v>957</v>
      </c>
      <c r="AZ6" s="21" t="s">
        <v>958</v>
      </c>
      <c r="BA6" s="21" t="s">
        <v>959</v>
      </c>
      <c r="BB6" s="21" t="s">
        <v>960</v>
      </c>
      <c r="BC6" s="21" t="s">
        <v>614</v>
      </c>
      <c r="BD6" s="21" t="s">
        <v>961</v>
      </c>
      <c r="BE6" s="21" t="s">
        <v>962</v>
      </c>
      <c r="BF6" s="21" t="s">
        <v>963</v>
      </c>
      <c r="BG6" s="21" t="s">
        <v>964</v>
      </c>
      <c r="BI6" s="21" t="s">
        <v>599</v>
      </c>
      <c r="BJ6" s="21" t="s">
        <v>960</v>
      </c>
      <c r="BK6" s="21" t="s">
        <v>614</v>
      </c>
      <c r="BL6" s="21" t="s">
        <v>965</v>
      </c>
      <c r="BM6" s="21" t="s">
        <v>966</v>
      </c>
      <c r="BN6" s="21" t="s">
        <v>967</v>
      </c>
      <c r="BO6" s="21" t="s">
        <v>968</v>
      </c>
      <c r="BP6" s="21" t="s">
        <v>969</v>
      </c>
      <c r="BQ6" s="21" t="s">
        <v>622</v>
      </c>
      <c r="BR6" s="21" t="s">
        <v>623</v>
      </c>
      <c r="BT6" s="21" t="s">
        <v>805</v>
      </c>
      <c r="BU6" s="21" t="s">
        <v>970</v>
      </c>
      <c r="BV6" s="21" t="s">
        <v>971</v>
      </c>
      <c r="CC6" s="21" t="s">
        <v>972</v>
      </c>
      <c r="CD6" s="21" t="s">
        <v>363</v>
      </c>
    </row>
    <row r="7" customFormat="false" ht="15" hidden="false" customHeight="true" outlineLevel="0" collapsed="false">
      <c r="A7" s="10" t="s">
        <v>496</v>
      </c>
      <c r="B7" s="35" t="n">
        <f aca="false">Modules!$W6</f>
        <v>213.558450198379</v>
      </c>
      <c r="C7" s="39" t="n">
        <f aca="false">Modules!$X6</f>
        <v>0.0905607079181314</v>
      </c>
      <c r="D7" s="44" t="n">
        <f aca="false">IF(C7&lt;Inputs_Banks!$I6,1,0)</f>
        <v>1</v>
      </c>
      <c r="E7" s="44" t="n">
        <f aca="false">IF(C7&lt;0.045,1,0)</f>
        <v>0</v>
      </c>
      <c r="F7" s="44" t="n">
        <f aca="false">IF(B7&lt;0,1,0)</f>
        <v>0</v>
      </c>
      <c r="G7" s="44" t="n">
        <f aca="false">MIN(6,MIN(3,INT(MAX(0,Inputs_Banks!$BA6-C7)/p_notch_step))+D7+2*E7)</f>
        <v>2</v>
      </c>
      <c r="H7" s="39" t="n">
        <f aca="false">C7-Inputs_Banks!$I6</f>
        <v>-0.0244392920818686</v>
      </c>
      <c r="I7" s="44" t="n">
        <f aca="false">RANK(H7,$H$7:$H$30,1)</f>
        <v>12</v>
      </c>
      <c r="J7" s="44" t="n">
        <f aca="false">MAX(IF(I7&lt;=g_n_weak,1,0),E7)</f>
        <v>0</v>
      </c>
      <c r="K7" s="44" t="n">
        <f aca="false">IF(I7&gt;12,1,0)*(1-E7)</f>
        <v>0</v>
      </c>
      <c r="L7" s="35" t="n">
        <f aca="false">INDEX(Inputs_Banks!$AR6:$AX6,1,G7+1)</f>
        <v>0.408</v>
      </c>
      <c r="M7" s="35" t="n">
        <f aca="false">Inputs_Banks!$AI6*MIN(1,p_u_base+$CD$10*p_u_pan_all+J7*($CD$10*p_u_pan_weak+p_u_mda*D7)+p_u_notch*G7+p_u_fail*E7)</f>
        <v>401.096999980622</v>
      </c>
      <c r="N7" s="35" t="n">
        <f aca="false">Inputs_Banks!$AK6*MIN(1,p_w_base+p_w_pan*$CD$10+p_w_notch*G7+0.5*D7+1*E7)</f>
        <v>30.166</v>
      </c>
      <c r="O7" s="35" t="n">
        <f aca="false">Inputs_Banks!$AO6*MIN(1,p_cp_base+p_cp_pan*$CD$10+p_cp_notch*G7)</f>
        <v>5.45</v>
      </c>
      <c r="P7" s="35" t="n">
        <f aca="false">Inputs_Banks!$AN6*(p_dh+p_dh_pan*$CD$10+MIN(1,0.5*$CD$17+0.25*G7))</f>
        <v>244.593789905927</v>
      </c>
      <c r="Q7" s="35" t="n">
        <f aca="false">Modules!$Y6</f>
        <v>45.160097</v>
      </c>
      <c r="R7" s="35" t="n">
        <f aca="false">Inputs_Banks!$AJ6*K7</f>
        <v>0</v>
      </c>
      <c r="S7" s="35" t="n">
        <f aca="false">p_liq_on*$CD$18*SUM($M$7:$M$30)*R7/MAX(0.000000001,SUM($R$7:$R$30))</f>
        <v>0</v>
      </c>
      <c r="T7" s="35" t="n">
        <f aca="false">p_liq_on*(L7+M7+N7+O7+P7+Q7)</f>
        <v>726.874886886549</v>
      </c>
      <c r="U7" s="35" t="n">
        <f aca="false">g_usable*Inputs_Banks!$AG6+p_cb_on*Inputs_Banks!$AQ6+S7</f>
        <v>1057.6002</v>
      </c>
      <c r="V7" s="35" t="n">
        <f aca="false">MAX(0,T7-U7)</f>
        <v>0</v>
      </c>
      <c r="W7" s="44" t="n">
        <f aca="false">IF(V7&gt;0.9*Inputs_Banks!$BB6,1,0)</f>
        <v>0</v>
      </c>
      <c r="X7" s="43" t="n">
        <f aca="false">MAX(p_htm_forced,(1-p_cb_on)*MIN(1,T7/Inputs_Banks!$AG6)*g_theta_sell)</f>
        <v>0.186299452663733</v>
      </c>
      <c r="Y7" s="35" t="n">
        <f aca="false">MAX(0,Modules!$V6-B7/(Inputs_Banks!$I6+g_del_buf))</f>
        <v>578.526248346841</v>
      </c>
      <c r="Z7" s="35" t="n">
        <f aca="false">MIN(g_del_cap*Inputs_Banks!$BB6,Y7)</f>
        <v>120.0675</v>
      </c>
      <c r="AA7" s="35" t="n">
        <f aca="false">MIN(Inputs_Banks!$BB6,V7+Z7)</f>
        <v>120.0675</v>
      </c>
      <c r="AB7" s="35" t="n">
        <f aca="false">$AA7*Holdings!Q6</f>
        <v>0</v>
      </c>
      <c r="AC7" s="35" t="n">
        <f aca="false">$AA7*Holdings!R6</f>
        <v>0</v>
      </c>
      <c r="AD7" s="35" t="n">
        <f aca="false">$AA7*Holdings!S6</f>
        <v>0</v>
      </c>
      <c r="AE7" s="35" t="n">
        <f aca="false">$AA7*Holdings!T6</f>
        <v>8.5</v>
      </c>
      <c r="AF7" s="35" t="n">
        <f aca="false">$AA7*Holdings!U6</f>
        <v>13.89</v>
      </c>
      <c r="AG7" s="35" t="n">
        <f aca="false">$AA7*Holdings!V6</f>
        <v>0</v>
      </c>
      <c r="AH7" s="35" t="n">
        <f aca="false">$AA7*Holdings!W6</f>
        <v>3.56</v>
      </c>
      <c r="AI7" s="35" t="n">
        <f aca="false">$AA7*Holdings!X6</f>
        <v>11.0075</v>
      </c>
      <c r="AJ7" s="35" t="n">
        <f aca="false">$AA7*Holdings!Y6</f>
        <v>8.495</v>
      </c>
      <c r="AK7" s="35" t="n">
        <f aca="false">$AA7*Holdings!Z6</f>
        <v>0</v>
      </c>
      <c r="AL7" s="35" t="n">
        <f aca="false">$AA7*Holdings!AA6</f>
        <v>66.7675</v>
      </c>
      <c r="AM7" s="35" t="n">
        <f aca="false">$AA7*Holdings!AB6</f>
        <v>0</v>
      </c>
      <c r="AN7" s="35" t="n">
        <f aca="false">$AA7*Holdings!AC6</f>
        <v>7.8475</v>
      </c>
      <c r="AO7" s="43" t="n">
        <f aca="false">MIN(1,$CD$17+0.5*G7)</f>
        <v>1</v>
      </c>
      <c r="AP7" s="35" t="n">
        <f aca="false">p_liq_on*Inputs_Banks!$AP6*AO7*p_mb_psi</f>
        <v>20.688</v>
      </c>
      <c r="AQ7" s="44" t="n">
        <f aca="false">MAX(F7,E7,W7*(1-p_cb_on))</f>
        <v>0</v>
      </c>
      <c r="AR7" s="35" t="n">
        <f aca="false">p_ib_on*p_lgd_ib*g_s_in*g_u_ib*SUMPRODUCT(Network!C$6:C$29,$AQ$7:$AQ$30)</f>
        <v>3.23030096795828</v>
      </c>
      <c r="AS7" s="35" t="n">
        <f aca="false">p_sw_M1*(SUMPRODUCT(BDC_EAD!C$106:C$127,$BF$7:$BF$28)+SUMPRODUCT(BDC_EAD!C$131:C$152,$BG$7:$BG$28)+(Inputs_Banks!$Y6+p_ccf_bl*Inputs_Banks!$Z6)*$CD$30+Modules!$E6)</f>
        <v>58.8832880045294</v>
      </c>
      <c r="AT7" s="35" t="n">
        <f aca="false">p_sw_M3*(Inputs_Banks!$U6+p_ccf_abf*Inputs_Banks!$V6)*$CD$31</f>
        <v>0</v>
      </c>
      <c r="AU7" s="35" t="n">
        <f aca="false">p_sw_M10*Inputs_Banks!$AC6*$CD$32</f>
        <v>0</v>
      </c>
      <c r="AV7" s="35" t="n">
        <f aca="false">p_sw_M8*(Modules!$M6+Modules!$N6*IF(p_liq_on&gt;0,X7,p_htm_forced))</f>
        <v>19.7861368134506</v>
      </c>
      <c r="AW7" s="35" t="n">
        <f aca="false">SUMPRODUCT(Holdings!$C6:$O6,Holdings!$C$32:$O$32,$AB$32:$AN$32)+Inputs_Banks!$P6*$AL$32</f>
        <v>22.5903071394764</v>
      </c>
      <c r="AX7" s="35" t="n">
        <f aca="false">Modules!$T6+AS7+AT7+AU7+AV7+AW7+AR7</f>
        <v>145.187422814837</v>
      </c>
      <c r="AY7" s="35" t="n">
        <f aca="false">Modules!$U6-(1-p_tax)*AX7</f>
        <v>158.912577185163</v>
      </c>
      <c r="AZ7" s="39" t="n">
        <f aca="false">AY7/Modules!$V6</f>
        <v>0.0673878063528496</v>
      </c>
      <c r="BA7" s="48" t="s">
        <v>634</v>
      </c>
      <c r="BB7" s="43" t="n">
        <f aca="false">INDEX($BJ$7:$BJ$40,BDC_EAD!$B6)</f>
        <v>0.428174862225581</v>
      </c>
      <c r="BC7" s="43" t="n">
        <f aca="false">INDEX($BK$7:$BK$40,BDC_EAD!$B6)</f>
        <v>0.0650596052839867</v>
      </c>
      <c r="BD7" s="22" t="n">
        <f aca="false">INDEX(BDC!$Q$6:$Q$39,BDC_EAD!$B6)</f>
        <v>0.243786096256685</v>
      </c>
      <c r="BE7" s="43" t="n">
        <f aca="false">BB7*(1-$AK$32)-BC7-p_c_liq</f>
        <v>0.120436568940083</v>
      </c>
      <c r="BF7" s="43" t="n">
        <f aca="false">p_phi*MAX(0,p_a_spv-BE7)/p_a_spv+(1-p_phi)*MAX(0,p_a_spv-BB7)/p_a_spv</f>
        <v>0.740022532004026</v>
      </c>
      <c r="BG7" s="43" t="n">
        <f aca="false">IF(BD7&gt;0,p_phi*MAX(0,BD7-BE7)/BD7+(1-p_phi)*MAX(0,BD7-BB7)/BD7,0)</f>
        <v>0.404779531599624</v>
      </c>
      <c r="BI7" s="12" t="str">
        <f aca="false">BDC!$A$6</f>
        <v>BCRED</v>
      </c>
      <c r="BJ7" s="43" t="n">
        <f aca="false">1-((1-BDC!$D$6)*$CD$23+BDC!$D$6*$CD$24)-p_gap-$CD$13*(1-BDC!$M$6)</f>
        <v>0.394270722635569</v>
      </c>
      <c r="BK7" s="43" t="n">
        <f aca="false">(1-BDC!$D$6)*$CD$25+BDC!$D$6*$CD$26</f>
        <v>0.0594332970326711</v>
      </c>
      <c r="BL7" s="45" t="n">
        <f aca="false">BJ7/BDC!$K$6</f>
        <v>0.87508867706919</v>
      </c>
      <c r="BM7" s="35" t="n">
        <f aca="false">IF(BL7&lt;1.5,BDC!$C$6,0)</f>
        <v>77.65</v>
      </c>
      <c r="BN7" s="43" t="n">
        <f aca="false">MAX(0,1-BJ7*(1-CE_mig_hc)-p_bb_cush)*BDC!$Q$6</f>
        <v>0.162261545014925</v>
      </c>
      <c r="BO7" s="43" t="n">
        <f aca="false">MAX(0,BDC!$K$6-BJ7/1.5)</f>
        <v>0.187702302125738</v>
      </c>
      <c r="BP7" s="43" t="n">
        <f aca="false">MIN(MIN(1,BDC!$H$6*$CD$16),$CD$15)</f>
        <v>0.249999999977776</v>
      </c>
      <c r="BQ7" s="43" t="n">
        <f aca="false">BDC!$I$6*BDC!$J$6*BP7*(1-0.3)</f>
        <v>0.0961538461452986</v>
      </c>
      <c r="BR7" s="45" t="n">
        <f aca="false">BDC!$C$6*($CD$14*MAX(BN7,BO7)+BQ7)</f>
        <v>22.0414299129221</v>
      </c>
      <c r="BT7" s="10" t="s">
        <v>816</v>
      </c>
      <c r="BU7" s="43" t="n">
        <f aca="false">NORMSDIST((NORMSINV(CreditEngine!$D$6)-SQRT(g_rho)*$CD$11)/SQRT(1-g_rho))</f>
        <v>0.666274429068666</v>
      </c>
      <c r="BV7" s="43" t="n">
        <f aca="false">NORMSDIST((NORMSINV(MIN(0.999,CreditEngine!$D$6*p_m_sw))-SQRT(g_rho)*$CD$11)/SQRT(1-g_rho))</f>
        <v>0.838888284527244</v>
      </c>
      <c r="CC7" s="10" t="s">
        <v>973</v>
      </c>
      <c r="CD7" s="43" t="n">
        <f aca="false">BDC!$C$46</f>
        <v>0.998189261533617</v>
      </c>
    </row>
    <row r="8" customFormat="false" ht="15" hidden="false" customHeight="true" outlineLevel="0" collapsed="false">
      <c r="A8" s="10" t="s">
        <v>499</v>
      </c>
      <c r="B8" s="35" t="n">
        <f aca="false">Modules!$W7</f>
        <v>125.895269173012</v>
      </c>
      <c r="C8" s="39" t="n">
        <f aca="false">Modules!$X7</f>
        <v>0.0639123272540789</v>
      </c>
      <c r="D8" s="44" t="n">
        <f aca="false">IF(C8&lt;Inputs_Banks!$I7,1,0)</f>
        <v>1</v>
      </c>
      <c r="E8" s="44" t="n">
        <f aca="false">IF(C8&lt;0.045,1,0)</f>
        <v>0</v>
      </c>
      <c r="F8" s="44" t="n">
        <f aca="false">IF(B8&lt;0,1,0)</f>
        <v>0</v>
      </c>
      <c r="G8" s="44" t="n">
        <f aca="false">MIN(6,MIN(3,INT(MAX(0,Inputs_Banks!$BA7-C8)/p_notch_step))+D8+2*E8)</f>
        <v>2</v>
      </c>
      <c r="H8" s="39" t="n">
        <f aca="false">C8-Inputs_Banks!$I7</f>
        <v>-0.0360876727459211</v>
      </c>
      <c r="I8" s="44" t="n">
        <f aca="false">RANK(H8,$H$7:$H$30,1)</f>
        <v>8</v>
      </c>
      <c r="J8" s="44" t="n">
        <f aca="false">MAX(IF(I8&lt;=g_n_weak,1,0),E8)</f>
        <v>0</v>
      </c>
      <c r="K8" s="44" t="n">
        <f aca="false">IF(I8&gt;12,1,0)*(1-E8)</f>
        <v>0</v>
      </c>
      <c r="L8" s="35" t="n">
        <f aca="false">INDEX(Inputs_Banks!$AR7:$AX7,1,G8+1)</f>
        <v>1.816</v>
      </c>
      <c r="M8" s="35" t="n">
        <f aca="false">Inputs_Banks!$AI7*MIN(1,p_u_base+$CD$10*p_u_pan_all+J8*($CD$10*p_u_pan_weak+p_u_mda*D8)+p_u_notch*G8+p_u_fail*E8)</f>
        <v>206.930999990003</v>
      </c>
      <c r="N8" s="35" t="n">
        <f aca="false">Inputs_Banks!$AK7*MIN(1,p_w_base+p_w_pan*$CD$10+p_w_notch*G8+0.5*D8+1*E8)</f>
        <v>59.979</v>
      </c>
      <c r="O8" s="35" t="n">
        <f aca="false">Inputs_Banks!$AO7*MIN(1,p_cp_base+p_cp_pan*$CD$10+p_cp_notch*G8)</f>
        <v>27.98</v>
      </c>
      <c r="P8" s="35" t="n">
        <f aca="false">Inputs_Banks!$AN7*(p_dh+p_dh_pan*$CD$10+MIN(1,0.5*$CD$17+0.25*G8))</f>
        <v>74.3236122314795</v>
      </c>
      <c r="Q8" s="35" t="n">
        <f aca="false">Modules!$Y7</f>
        <v>25.5386092</v>
      </c>
      <c r="R8" s="35" t="n">
        <f aca="false">Inputs_Banks!$AJ7*K8</f>
        <v>0</v>
      </c>
      <c r="S8" s="35" t="n">
        <f aca="false">p_liq_on*$CD$18*SUM($M$7:$M$30)*R8/MAX(0.000000001,SUM($R$7:$R$30))</f>
        <v>0</v>
      </c>
      <c r="T8" s="35" t="n">
        <f aca="false">p_liq_on*(L8+M8+N8+O8+P8+Q8)</f>
        <v>396.568221421482</v>
      </c>
      <c r="U8" s="35" t="n">
        <f aca="false">g_usable*Inputs_Banks!$AG7+p_cb_on*Inputs_Banks!$AQ7+S8</f>
        <v>759.9</v>
      </c>
      <c r="V8" s="35" t="n">
        <f aca="false">MAX(0,T8-U8)</f>
        <v>0</v>
      </c>
      <c r="W8" s="44" t="n">
        <f aca="false">IF(V8&gt;0.9*Inputs_Banks!$BB7,1,0)</f>
        <v>0</v>
      </c>
      <c r="X8" s="43" t="n">
        <f aca="false">MAX(p_htm_forced,(1-p_cb_on)*MIN(1,T8/Inputs_Banks!$AG7)*g_theta_sell)</f>
        <v>0.144944525373349</v>
      </c>
      <c r="Y8" s="35" t="n">
        <f aca="false">MAX(0,Modules!$V7-B8/(Inputs_Banks!$I7+g_del_buf))</f>
        <v>770.809436447507</v>
      </c>
      <c r="Z8" s="35" t="n">
        <f aca="false">MIN(g_del_cap*Inputs_Banks!$BB7,Y8)</f>
        <v>52.7625</v>
      </c>
      <c r="AA8" s="35" t="n">
        <f aca="false">MIN(Inputs_Banks!$BB7,V8+Z8)</f>
        <v>52.7625</v>
      </c>
      <c r="AB8" s="35" t="n">
        <f aca="false">$AA8*Holdings!Q7</f>
        <v>0</v>
      </c>
      <c r="AC8" s="35" t="n">
        <f aca="false">$AA8*Holdings!R7</f>
        <v>0</v>
      </c>
      <c r="AD8" s="35" t="n">
        <f aca="false">$AA8*Holdings!S7</f>
        <v>0</v>
      </c>
      <c r="AE8" s="35" t="n">
        <f aca="false">$AA8*Holdings!T7</f>
        <v>3.58</v>
      </c>
      <c r="AF8" s="35" t="n">
        <f aca="false">$AA8*Holdings!U7</f>
        <v>11.4125</v>
      </c>
      <c r="AG8" s="35" t="n">
        <f aca="false">$AA8*Holdings!V7</f>
        <v>0</v>
      </c>
      <c r="AH8" s="35" t="n">
        <f aca="false">$AA8*Holdings!W7</f>
        <v>1.725</v>
      </c>
      <c r="AI8" s="35" t="n">
        <f aca="false">$AA8*Holdings!X7</f>
        <v>2.1875</v>
      </c>
      <c r="AJ8" s="35" t="n">
        <f aca="false">$AA8*Holdings!Y7</f>
        <v>3.69</v>
      </c>
      <c r="AK8" s="35" t="n">
        <f aca="false">$AA8*Holdings!Z7</f>
        <v>0</v>
      </c>
      <c r="AL8" s="35" t="n">
        <f aca="false">$AA8*Holdings!AA7</f>
        <v>30.1675</v>
      </c>
      <c r="AM8" s="35" t="n">
        <f aca="false">$AA8*Holdings!AB7</f>
        <v>0</v>
      </c>
      <c r="AN8" s="35" t="n">
        <f aca="false">$AA8*Holdings!AC7</f>
        <v>0</v>
      </c>
      <c r="AO8" s="43" t="n">
        <f aca="false">MIN(1,$CD$17+0.5*G8)</f>
        <v>1</v>
      </c>
      <c r="AP8" s="35" t="n">
        <f aca="false">p_liq_on*Inputs_Banks!$AP7*AO8*p_mb_psi</f>
        <v>4.722</v>
      </c>
      <c r="AQ8" s="44" t="n">
        <f aca="false">MAX(F8,E8,W8*(1-p_cb_on))</f>
        <v>0</v>
      </c>
      <c r="AR8" s="35" t="n">
        <f aca="false">p_ib_on*p_lgd_ib*g_s_in*g_u_ib*SUMPRODUCT(Network!D$6:D$29,$AQ$7:$AQ$30)</f>
        <v>1.82703763517114</v>
      </c>
      <c r="AS8" s="35" t="n">
        <f aca="false">p_sw_M1*(SUMPRODUCT(BDC_EAD!D$106:D$127,$BF$7:$BF$28)+SUMPRODUCT(BDC_EAD!D$131:D$152,$BG$7:$BG$28)+(Inputs_Banks!$Y7+p_ccf_bl*Inputs_Banks!$Z7)*$CD$30+Modules!$E7)</f>
        <v>27.9111227154719</v>
      </c>
      <c r="AT8" s="35" t="n">
        <f aca="false">p_sw_M3*(Inputs_Banks!$U7+p_ccf_abf*Inputs_Banks!$V7)*$CD$31</f>
        <v>0</v>
      </c>
      <c r="AU8" s="35" t="n">
        <f aca="false">p_sw_M10*Inputs_Banks!$AC7*$CD$32</f>
        <v>39.1564994346106</v>
      </c>
      <c r="AV8" s="35" t="n">
        <f aca="false">p_sw_M8*(Modules!$M7+Modules!$N7*IF(p_liq_on&gt;0,X8,p_htm_forced))</f>
        <v>25.0113436253586</v>
      </c>
      <c r="AW8" s="35" t="n">
        <f aca="false">SUMPRODUCT(Holdings!$C7:$O7,Holdings!$C$32:$O$32,$AB$32:$AN$32)+Inputs_Banks!$P7*$AL$32</f>
        <v>9.83656926660702</v>
      </c>
      <c r="AX8" s="35" t="n">
        <f aca="false">Modules!$T7+AS8+AT8+AU8+AV8+AW8+AR8</f>
        <v>123.862585702306</v>
      </c>
      <c r="AY8" s="35" t="n">
        <f aca="false">Modules!$U7-(1-p_tax)*AX8</f>
        <v>74.5374142976939</v>
      </c>
      <c r="AZ8" s="39" t="n">
        <f aca="false">AY8/Modules!$V7</f>
        <v>0.0378398620262715</v>
      </c>
      <c r="BA8" s="48" t="s">
        <v>632</v>
      </c>
      <c r="BB8" s="43" t="n">
        <f aca="false">INDEX($BJ$7:$BJ$40,BDC_EAD!$B7)</f>
        <v>0.493705251006457</v>
      </c>
      <c r="BC8" s="43" t="n">
        <f aca="false">INDEX($BK$7:$BK$40,BDC_EAD!$B7)</f>
        <v>0.0608491891753863</v>
      </c>
      <c r="BD8" s="22" t="n">
        <f aca="false">INDEX(BDC!$Q$6:$Q$39,BDC_EAD!$B7)</f>
        <v>0.193373831775701</v>
      </c>
      <c r="BE8" s="43" t="n">
        <f aca="false">BB8*(1-$AK$32)-BC8-p_c_liq</f>
        <v>0.160688698878165</v>
      </c>
      <c r="BF8" s="43" t="n">
        <f aca="false">p_phi*MAX(0,p_a_spv-BE8)/p_a_spv+(1-p_phi)*MAX(0,p_a_spv-BB8)/p_a_spv</f>
        <v>0.675297129565967</v>
      </c>
      <c r="BG8" s="43" t="n">
        <f aca="false">IF(BD8&gt;0,p_phi*MAX(0,BD8-BE8)/BD8+(1-p_phi)*MAX(0,BD8-BB8)/BD8,0)</f>
        <v>0.135220500508872</v>
      </c>
      <c r="BI8" s="12" t="str">
        <f aca="false">BDC!$A$7</f>
        <v>OCIC</v>
      </c>
      <c r="BJ8" s="43" t="n">
        <f aca="false">1-((1-BDC!$D$7)*$CD$23+BDC!$D$7*$CD$24)-p_gap-$CD$13*(1-BDC!$M$7)</f>
        <v>0.421663471178492</v>
      </c>
      <c r="BK8" s="43" t="n">
        <f aca="false">(1-BDC!$D$7)*$CD$25+BDC!$D$7*$CD$26</f>
        <v>0.0639790560171777</v>
      </c>
      <c r="BL8" s="45" t="n">
        <f aca="false">BJ8/BDC!$K$7</f>
        <v>0.885029923022989</v>
      </c>
      <c r="BM8" s="35" t="n">
        <f aca="false">IF(BL8&lt;1.5,BDC!$C$7,0)</f>
        <v>35.69</v>
      </c>
      <c r="BN8" s="43" t="n">
        <f aca="false">MAX(0,1-BJ8*(1-CE_mig_hc)-p_bb_cush)*BDC!$Q$7</f>
        <v>0.166158381578111</v>
      </c>
      <c r="BO8" s="43" t="n">
        <f aca="false">MAX(0,BDC!$K$7-BJ8/1.5)</f>
        <v>0.195330809790255</v>
      </c>
      <c r="BP8" s="43" t="n">
        <f aca="false">MIN(MIN(1,BDC!$H$7*$CD$16),$CD$15)</f>
        <v>0.249999999977776</v>
      </c>
      <c r="BQ8" s="43" t="n">
        <f aca="false">BDC!$I$7*BDC!$J$7*BP8*(1-0.3)</f>
        <v>0.0916230366410698</v>
      </c>
      <c r="BR8" s="45" t="n">
        <f aca="false">BDC!$C$7*($CD$14*MAX(BN8,BO8)+BQ8)</f>
        <v>10.241382778979</v>
      </c>
      <c r="BT8" s="10" t="s">
        <v>817</v>
      </c>
      <c r="BU8" s="43" t="n">
        <f aca="false">NORMSDIST((NORMSINV(CreditEngine!$D$7)-SQRT(g_rho)*$CD$11)/SQRT(1-g_rho))</f>
        <v>0.694145194884367</v>
      </c>
      <c r="BV8" s="43" t="n">
        <f aca="false">NORMSDIST((NORMSINV(MIN(0.999,CreditEngine!$D$7*p_m_sw))-SQRT(g_rho)*$CD$11)/SQRT(1-g_rho))</f>
        <v>0.863150017473289</v>
      </c>
      <c r="CC8" s="10" t="s">
        <v>974</v>
      </c>
      <c r="CD8" s="43" t="n">
        <f aca="false">0</f>
        <v>0</v>
      </c>
    </row>
    <row r="9" customFormat="false" ht="15" hidden="false" customHeight="true" outlineLevel="0" collapsed="false">
      <c r="A9" s="10" t="s">
        <v>501</v>
      </c>
      <c r="B9" s="35" t="n">
        <f aca="false">Modules!$W8</f>
        <v>99.4835980300635</v>
      </c>
      <c r="C9" s="39" t="n">
        <f aca="false">Modules!$X8</f>
        <v>0.0747742857540621</v>
      </c>
      <c r="D9" s="44" t="n">
        <f aca="false">IF(C9&lt;Inputs_Banks!$I8,1,0)</f>
        <v>1</v>
      </c>
      <c r="E9" s="44" t="n">
        <f aca="false">IF(C9&lt;0.045,1,0)</f>
        <v>0</v>
      </c>
      <c r="F9" s="44" t="n">
        <f aca="false">IF(B9&lt;0,1,0)</f>
        <v>0</v>
      </c>
      <c r="G9" s="44" t="n">
        <f aca="false">MIN(6,MIN(3,INT(MAX(0,Inputs_Banks!$BA8-C9)/p_notch_step))+D9+2*E9)</f>
        <v>3</v>
      </c>
      <c r="H9" s="39" t="n">
        <f aca="false">C9-Inputs_Banks!$I8</f>
        <v>-0.0412257142459379</v>
      </c>
      <c r="I9" s="44" t="n">
        <f aca="false">RANK(H9,$H$7:$H$30,1)</f>
        <v>7</v>
      </c>
      <c r="J9" s="44" t="n">
        <f aca="false">MAX(IF(I9&lt;=g_n_weak,1,0),E9)</f>
        <v>0</v>
      </c>
      <c r="K9" s="44" t="n">
        <f aca="false">IF(I9&gt;12,1,0)*(1-E9)</f>
        <v>0</v>
      </c>
      <c r="L9" s="35" t="n">
        <f aca="false">INDEX(Inputs_Banks!$AR8:$AX8,1,G9+1)</f>
        <v>0.6</v>
      </c>
      <c r="M9" s="35" t="n">
        <f aca="false">Inputs_Banks!$AI8*MIN(1,p_u_base+$CD$10*p_u_pan_all+J9*($CD$10*p_u_pan_weak+p_u_mda*D9)+p_u_notch*G9+p_u_fail*E9)</f>
        <v>199.664999991783</v>
      </c>
      <c r="N9" s="35" t="n">
        <f aca="false">Inputs_Banks!$AK8*MIN(1,p_w_base+p_w_pan*$CD$10+p_w_notch*G9+0.5*D9+1*E9)</f>
        <v>60.978</v>
      </c>
      <c r="O9" s="35" t="n">
        <f aca="false">Inputs_Banks!$AO8*MIN(1,p_cp_base+p_cp_pan*$CD$10+p_cp_notch*G9)</f>
        <v>3.89</v>
      </c>
      <c r="P9" s="35" t="n">
        <f aca="false">Inputs_Banks!$AN8*(p_dh+p_dh_pan*$CD$10+MIN(1,0.5*$CD$17+0.25*G9))</f>
        <v>103.709885330987</v>
      </c>
      <c r="Q9" s="35" t="n">
        <f aca="false">Modules!$Y8</f>
        <v>24.8867432</v>
      </c>
      <c r="R9" s="35" t="n">
        <f aca="false">Inputs_Banks!$AJ8*K9</f>
        <v>0</v>
      </c>
      <c r="S9" s="35" t="n">
        <f aca="false">p_liq_on*$CD$18*SUM($M$7:$M$30)*R9/MAX(0.000000001,SUM($R$7:$R$30))</f>
        <v>0</v>
      </c>
      <c r="T9" s="35" t="n">
        <f aca="false">p_liq_on*(L9+M9+N9+O9+P9+Q9)</f>
        <v>393.72962852277</v>
      </c>
      <c r="U9" s="35" t="n">
        <f aca="false">g_usable*Inputs_Banks!$AG8+p_cb_on*Inputs_Banks!$AQ8+S9</f>
        <v>626.52</v>
      </c>
      <c r="V9" s="35" t="n">
        <f aca="false">MAX(0,T9-U9)</f>
        <v>0</v>
      </c>
      <c r="W9" s="44" t="n">
        <f aca="false">IF(V9&gt;0.9*Inputs_Banks!$BB8,1,0)</f>
        <v>0</v>
      </c>
      <c r="X9" s="43" t="n">
        <f aca="false">MAX(p_htm_forced,(1-p_cb_on)*MIN(1,T9/Inputs_Banks!$AG8)*g_theta_sell)</f>
        <v>0.153512799642377</v>
      </c>
      <c r="Y9" s="35" t="n">
        <f aca="false">MAX(0,Modules!$V8-B9/(Inputs_Banks!$I8+g_del_buf))</f>
        <v>508.273503883773</v>
      </c>
      <c r="Z9" s="35" t="n">
        <f aca="false">MIN(g_del_cap*Inputs_Banks!$BB8,Y9)</f>
        <v>49.625</v>
      </c>
      <c r="AA9" s="35" t="n">
        <f aca="false">MIN(Inputs_Banks!$BB8,V9+Z9)</f>
        <v>49.625</v>
      </c>
      <c r="AB9" s="35" t="n">
        <f aca="false">$AA9*Holdings!Q8</f>
        <v>0</v>
      </c>
      <c r="AC9" s="35" t="n">
        <f aca="false">$AA9*Holdings!R8</f>
        <v>0</v>
      </c>
      <c r="AD9" s="35" t="n">
        <f aca="false">$AA9*Holdings!S8</f>
        <v>0</v>
      </c>
      <c r="AE9" s="35" t="n">
        <f aca="false">$AA9*Holdings!T8</f>
        <v>2.4925</v>
      </c>
      <c r="AF9" s="35" t="n">
        <f aca="false">$AA9*Holdings!U8</f>
        <v>7.8925</v>
      </c>
      <c r="AG9" s="35" t="n">
        <f aca="false">$AA9*Holdings!V8</f>
        <v>0</v>
      </c>
      <c r="AH9" s="35" t="n">
        <f aca="false">$AA9*Holdings!W8</f>
        <v>0.3625</v>
      </c>
      <c r="AI9" s="35" t="n">
        <f aca="false">$AA9*Holdings!X8</f>
        <v>4.5575</v>
      </c>
      <c r="AJ9" s="35" t="n">
        <f aca="false">$AA9*Holdings!Y8</f>
        <v>2.12</v>
      </c>
      <c r="AK9" s="35" t="n">
        <f aca="false">$AA9*Holdings!Z8</f>
        <v>0</v>
      </c>
      <c r="AL9" s="35" t="n">
        <f aca="false">$AA9*Holdings!AA8</f>
        <v>24.4825</v>
      </c>
      <c r="AM9" s="35" t="n">
        <f aca="false">$AA9*Holdings!AB8</f>
        <v>0</v>
      </c>
      <c r="AN9" s="35" t="n">
        <f aca="false">$AA9*Holdings!AC8</f>
        <v>7.7175</v>
      </c>
      <c r="AO9" s="43" t="n">
        <f aca="false">MIN(1,$CD$17+0.5*G9)</f>
        <v>1</v>
      </c>
      <c r="AP9" s="35" t="n">
        <f aca="false">p_liq_on*Inputs_Banks!$AP8*AO9*p_mb_psi</f>
        <v>10.488</v>
      </c>
      <c r="AQ9" s="44" t="n">
        <f aca="false">MAX(F9,E9,W9*(1-p_cb_on))</f>
        <v>0</v>
      </c>
      <c r="AR9" s="35" t="n">
        <f aca="false">p_ib_on*p_lgd_ib*g_s_in*g_u_ib*SUMPRODUCT(Network!E$6:E$29,$AQ$7:$AQ$30)</f>
        <v>1.71205640937563</v>
      </c>
      <c r="AS9" s="35" t="n">
        <f aca="false">p_sw_M1*(SUMPRODUCT(BDC_EAD!E$106:E$127,$BF$7:$BF$28)+SUMPRODUCT(BDC_EAD!E$131:E$152,$BG$7:$BG$28)+(Inputs_Banks!$Y8+p_ccf_bl*Inputs_Banks!$Z8)*$CD$30+Modules!$E8)</f>
        <v>52.4702922215853</v>
      </c>
      <c r="AT9" s="35" t="n">
        <f aca="false">p_sw_M3*(Inputs_Banks!$U8+p_ccf_abf*Inputs_Banks!$V8)*$CD$31</f>
        <v>2.86687324966591</v>
      </c>
      <c r="AU9" s="35" t="n">
        <f aca="false">p_sw_M10*Inputs_Banks!$AC8*$CD$32</f>
        <v>0</v>
      </c>
      <c r="AV9" s="35" t="n">
        <f aca="false">p_sw_M8*(Modules!$M8+Modules!$N8*IF(p_liq_on&gt;0,X9,p_htm_forced))</f>
        <v>10.3073226877133</v>
      </c>
      <c r="AW9" s="35" t="n">
        <f aca="false">SUMPRODUCT(Holdings!$C8:$O8,Holdings!$C$32:$O$32,$AB$32:$AN$32)+Inputs_Banks!$P8*$AL$32</f>
        <v>8.60988113983159</v>
      </c>
      <c r="AX9" s="35" t="n">
        <f aca="false">Modules!$T8+AS9+AT9+AU9+AV9+AW9+AR9</f>
        <v>93.0350850688199</v>
      </c>
      <c r="AY9" s="35" t="n">
        <f aca="false">Modules!$U8-(1-p_tax)*AX9</f>
        <v>64.3649149311801</v>
      </c>
      <c r="AZ9" s="39" t="n">
        <f aca="false">AY9/Modules!$V8</f>
        <v>0.0483782315567793</v>
      </c>
      <c r="BA9" s="48" t="s">
        <v>636</v>
      </c>
      <c r="BB9" s="43" t="n">
        <f aca="false">INDEX($BJ$7:$BJ$40,BDC_EAD!$B8)</f>
        <v>0.404374605294844</v>
      </c>
      <c r="BC9" s="43" t="n">
        <f aca="false">INDEX($BK$7:$BK$40,BDC_EAD!$B8)</f>
        <v>0.0611100114122023</v>
      </c>
      <c r="BD9" s="22" t="n">
        <f aca="false">INDEX(BDC!$Q$6:$Q$39,BDC_EAD!$B8)</f>
        <v>0.270100917431193</v>
      </c>
      <c r="BE9" s="43" t="n">
        <f aca="false">BB9*(1-$AK$32)-BC9-p_c_liq</f>
        <v>0.111296021499962</v>
      </c>
      <c r="BF9" s="43" t="n">
        <f aca="false">p_phi*MAX(0,p_a_spv-BE9)/p_a_spv+(1-p_phi)*MAX(0,p_a_spv-BB9)/p_a_spv</f>
        <v>0.757268945344374</v>
      </c>
      <c r="BG9" s="43" t="n">
        <f aca="false">IF(BD9&gt;0,p_phi*MAX(0,BD9-BE9)/BD9+(1-p_phi)*MAX(0,BD9-BB9)/BD9,0)</f>
        <v>0.470357220379855</v>
      </c>
      <c r="BI9" s="12" t="str">
        <f aca="false">BDC!$A$8</f>
        <v>ARCC</v>
      </c>
      <c r="BJ9" s="43" t="n">
        <f aca="false">1-((1-BDC!$D$8)*$CD$23+BDC!$D$8*$CD$24)-p_gap-$CD$13*(1-BDC!$M$8)</f>
        <v>0.493705251006457</v>
      </c>
      <c r="BK9" s="43" t="n">
        <f aca="false">(1-BDC!$D$8)*$CD$25+BDC!$D$8*$CD$26</f>
        <v>0.0608491891753863</v>
      </c>
      <c r="BL9" s="45" t="n">
        <f aca="false">BJ9/BDC!$K$8</f>
        <v>0.926780032591068</v>
      </c>
      <c r="BM9" s="35" t="n">
        <f aca="false">IF(BL9&lt;1.5,BDC!$C$8,0)</f>
        <v>29.35</v>
      </c>
      <c r="BN9" s="43" t="n">
        <f aca="false">MAX(0,1-BJ9*(1-CE_mig_hc)-p_bb_cush)*BDC!$Q$8</f>
        <v>0.104092949216505</v>
      </c>
      <c r="BO9" s="43" t="n">
        <f aca="false">MAX(0,BDC!$K$8-BJ9/1.5)</f>
        <v>0.203573446369527</v>
      </c>
      <c r="BP9" s="43" t="n">
        <f aca="false">MIN(MIN(1,BDC!$H$8*$CD$16),$CD$15)</f>
        <v>0</v>
      </c>
      <c r="BQ9" s="43" t="n">
        <f aca="false">BDC!$I$8*BDC!$J$8*BP9*(1-0.3)</f>
        <v>0</v>
      </c>
      <c r="BR9" s="45" t="n">
        <f aca="false">BDC!$C$8*($CD$14*MAX(BN9,BO9)+BQ9)</f>
        <v>5.97488065081284</v>
      </c>
      <c r="BT9" s="10" t="s">
        <v>818</v>
      </c>
      <c r="BU9" s="43" t="n">
        <f aca="false">NORMSDIST((NORMSINV(CreditEngine!$D$8)-SQRT(g_rho)*$CD$11)/SQRT(1-g_rho))</f>
        <v>0.77844094733792</v>
      </c>
      <c r="BV9" s="43" t="n">
        <f aca="false">NORMSDIST((NORMSINV(MIN(0.999,CreditEngine!$D$8*p_m_sw))-SQRT(g_rho)*$CD$11)/SQRT(1-g_rho))</f>
        <v>0.928422699695118</v>
      </c>
      <c r="CC9" s="10" t="s">
        <v>975</v>
      </c>
      <c r="CD9" s="45" t="n">
        <f aca="false">p_news0+g_w_cov*$CD$7+g_w_notch*SUMPRODUCT($G$7:$G$30,Inputs_Banks!$D$6:$D$29)/(3*SUM(Inputs_Banks!$D$6:$D$29))+g_w_mda*SUMPRODUCT($D$7:$D$30,Inputs_Banks!$D$6:$D$29)/SUM(Inputs_Banks!$D$6:$D$29)+g_w_def*MAX($BA$7:$BA$30)+g_w_fs*$CD$8/0.3</f>
        <v>2.63816459350234</v>
      </c>
    </row>
    <row r="10" customFormat="false" ht="15" hidden="false" customHeight="true" outlineLevel="0" collapsed="false">
      <c r="A10" s="10" t="s">
        <v>503</v>
      </c>
      <c r="B10" s="35" t="n">
        <f aca="false">Modules!$W9</f>
        <v>61.4171621731369</v>
      </c>
      <c r="C10" s="39" t="n">
        <f aca="false">Modules!$X9</f>
        <v>0.042444949061729</v>
      </c>
      <c r="D10" s="44" t="n">
        <f aca="false">IF(C10&lt;Inputs_Banks!$I9,1,0)</f>
        <v>1</v>
      </c>
      <c r="E10" s="44" t="n">
        <f aca="false">IF(C10&lt;0.045,1,0)</f>
        <v>1</v>
      </c>
      <c r="F10" s="44" t="n">
        <f aca="false">IF(B10&lt;0,1,0)</f>
        <v>0</v>
      </c>
      <c r="G10" s="44" t="n">
        <f aca="false">MIN(6,MIN(3,INT(MAX(0,Inputs_Banks!$BA9-C10)/p_notch_step))+D10+2*E10)</f>
        <v>5</v>
      </c>
      <c r="H10" s="39" t="n">
        <f aca="false">C10-Inputs_Banks!$I9</f>
        <v>-0.042555050938271</v>
      </c>
      <c r="I10" s="44" t="n">
        <f aca="false">RANK(H10,$H$7:$H$30,1)</f>
        <v>6</v>
      </c>
      <c r="J10" s="44" t="n">
        <f aca="false">MAX(IF(I10&lt;=g_n_weak,1,0),E10)</f>
        <v>1</v>
      </c>
      <c r="K10" s="44" t="n">
        <f aca="false">IF(I10&gt;12,1,0)*(1-E10)</f>
        <v>0</v>
      </c>
      <c r="L10" s="35" t="n">
        <f aca="false">INDEX(Inputs_Banks!$AR9:$AX9,1,G10+1)</f>
        <v>4.1</v>
      </c>
      <c r="M10" s="35" t="n">
        <f aca="false">Inputs_Banks!$AI9*MIN(1,p_u_base+$CD$10*p_u_pan_all+J10*($CD$10*p_u_pan_weak+p_u_mda*D10)+p_u_notch*G10+p_u_fail*E10)</f>
        <v>707.579999956319</v>
      </c>
      <c r="N10" s="35" t="n">
        <f aca="false">Inputs_Banks!$AK9*MIN(1,p_w_base+p_w_pan*$CD$10+p_w_notch*G10+0.5*D10+1*E10)</f>
        <v>25.168</v>
      </c>
      <c r="O10" s="35" t="n">
        <f aca="false">Inputs_Banks!$AO9*MIN(1,p_cp_base+p_cp_pan*$CD$10+p_cp_notch*G10)</f>
        <v>12.67</v>
      </c>
      <c r="P10" s="35" t="n">
        <f aca="false">Inputs_Banks!$AN9*(p_dh+p_dh_pan*$CD$10+MIN(1,0.5*$CD$17+0.25*G10))</f>
        <v>62.636801353074</v>
      </c>
      <c r="Q10" s="35" t="n">
        <f aca="false">Modules!$Y9</f>
        <v>53.0660504</v>
      </c>
      <c r="R10" s="35" t="n">
        <f aca="false">Inputs_Banks!$AJ9*K10</f>
        <v>0</v>
      </c>
      <c r="S10" s="35" t="n">
        <f aca="false">p_liq_on*$CD$18*SUM($M$7:$M$30)*R10/MAX(0.000000001,SUM($R$7:$R$30))</f>
        <v>0</v>
      </c>
      <c r="T10" s="35" t="n">
        <f aca="false">p_liq_on*(L10+M10+N10+O10+P10+Q10)</f>
        <v>865.220851709393</v>
      </c>
      <c r="U10" s="35" t="n">
        <f aca="false">g_usable*Inputs_Banks!$AG9+p_cb_on*Inputs_Banks!$AQ9+S10</f>
        <v>570.088</v>
      </c>
      <c r="V10" s="35" t="n">
        <f aca="false">MAX(0,T10-U10)</f>
        <v>295.132851709393</v>
      </c>
      <c r="W10" s="44" t="n">
        <f aca="false">IF(V10&gt;0.9*Inputs_Banks!$BB9,1,0)</f>
        <v>1</v>
      </c>
      <c r="X10" s="43" t="n">
        <f aca="false">MAX(p_htm_forced,(1-p_cb_on)*MIN(1,T10/Inputs_Banks!$AG9)*g_theta_sell)</f>
        <v>0.25</v>
      </c>
      <c r="Y10" s="35" t="n">
        <f aca="false">MAX(0,Modules!$V9-B10/(Inputs_Banks!$I9+g_del_buf))</f>
        <v>764.571086965146</v>
      </c>
      <c r="Z10" s="35" t="n">
        <f aca="false">MIN(g_del_cap*Inputs_Banks!$BB9,Y10)</f>
        <v>31.935</v>
      </c>
      <c r="AA10" s="35" t="n">
        <f aca="false">MIN(Inputs_Banks!$BB9,V10+Z10)</f>
        <v>127.74</v>
      </c>
      <c r="AB10" s="35" t="n">
        <f aca="false">$AA10*Holdings!Q9</f>
        <v>0</v>
      </c>
      <c r="AC10" s="35" t="n">
        <f aca="false">$AA10*Holdings!R9</f>
        <v>0</v>
      </c>
      <c r="AD10" s="35" t="n">
        <f aca="false">$AA10*Holdings!S9</f>
        <v>0</v>
      </c>
      <c r="AE10" s="35" t="n">
        <f aca="false">$AA10*Holdings!T9</f>
        <v>29.87</v>
      </c>
      <c r="AF10" s="35" t="n">
        <f aca="false">$AA10*Holdings!U9</f>
        <v>17.09</v>
      </c>
      <c r="AG10" s="35" t="n">
        <f aca="false">$AA10*Holdings!V9</f>
        <v>0</v>
      </c>
      <c r="AH10" s="35" t="n">
        <f aca="false">$AA10*Holdings!W9</f>
        <v>5.03</v>
      </c>
      <c r="AI10" s="35" t="n">
        <f aca="false">$AA10*Holdings!X9</f>
        <v>13.21</v>
      </c>
      <c r="AJ10" s="35" t="n">
        <f aca="false">$AA10*Holdings!Y9</f>
        <v>5.26</v>
      </c>
      <c r="AK10" s="35" t="n">
        <f aca="false">$AA10*Holdings!Z9</f>
        <v>0</v>
      </c>
      <c r="AL10" s="35" t="n">
        <f aca="false">$AA10*Holdings!AA9</f>
        <v>37.96</v>
      </c>
      <c r="AM10" s="35" t="n">
        <f aca="false">$AA10*Holdings!AB9</f>
        <v>0</v>
      </c>
      <c r="AN10" s="35" t="n">
        <f aca="false">$AA10*Holdings!AC9</f>
        <v>19.32</v>
      </c>
      <c r="AO10" s="43" t="n">
        <f aca="false">MIN(1,$CD$17+0.5*G10)</f>
        <v>1</v>
      </c>
      <c r="AP10" s="35" t="n">
        <f aca="false">p_liq_on*Inputs_Banks!$AP9*AO10*p_mb_psi</f>
        <v>10.32</v>
      </c>
      <c r="AQ10" s="44" t="n">
        <f aca="false">MAX(F10,E10,W10*(1-p_cb_on))</f>
        <v>1</v>
      </c>
      <c r="AR10" s="35" t="n">
        <f aca="false">p_ib_on*p_lgd_ib*g_s_in*g_u_ib*SUMPRODUCT(Network!F$6:F$29,$AQ$7:$AQ$30)</f>
        <v>1.01409007258143</v>
      </c>
      <c r="AS10" s="35" t="n">
        <f aca="false">p_sw_M1*(SUMPRODUCT(BDC_EAD!F$106:F$127,$BF$7:$BF$28)+SUMPRODUCT(BDC_EAD!F$131:F$152,$BG$7:$BG$28)+(Inputs_Banks!$Y9+p_ccf_bl*Inputs_Banks!$Z9)*$CD$30+Modules!$E9)</f>
        <v>79.548723634908</v>
      </c>
      <c r="AT10" s="35" t="n">
        <f aca="false">p_sw_M3*(Inputs_Banks!$U9+p_ccf_abf*Inputs_Banks!$V9)*$CD$31</f>
        <v>0</v>
      </c>
      <c r="AU10" s="35" t="n">
        <f aca="false">p_sw_M10*Inputs_Banks!$AC9*$CD$32</f>
        <v>0</v>
      </c>
      <c r="AV10" s="35" t="n">
        <f aca="false">p_sw_M8*(Modules!$M9+Modules!$N9*IF(p_liq_on&gt;0,X10,p_htm_forced))</f>
        <v>17.338745</v>
      </c>
      <c r="AW10" s="35" t="n">
        <f aca="false">SUMPRODUCT(Holdings!$C9:$O9,Holdings!$C$32:$O$32,$AB$32:$AN$32)+Inputs_Banks!$P9*$AL$32</f>
        <v>7.03623081913173</v>
      </c>
      <c r="AX10" s="35" t="n">
        <f aca="false">Modules!$T9+AS10+AT10+AU10+AV10+AW10+AR10</f>
        <v>122.478370600938</v>
      </c>
      <c r="AY10" s="35" t="n">
        <f aca="false">Modules!$U9-(1-p_tax)*AX10</f>
        <v>12.121629399062</v>
      </c>
      <c r="AZ10" s="39" t="n">
        <f aca="false">AY10/Modules!$V9</f>
        <v>0.00837716892450916</v>
      </c>
      <c r="BA10" s="48" t="s">
        <v>656</v>
      </c>
      <c r="BB10" s="43" t="n">
        <f aca="false">INDEX($BJ$7:$BJ$40,BDC_EAD!$B9)</f>
        <v>0.440484450686784</v>
      </c>
      <c r="BC10" s="43" t="n">
        <f aca="false">INDEX($BK$7:$BK$40,BDC_EAD!$B9)</f>
        <v>0.0655439894380735</v>
      </c>
      <c r="BD10" s="22" t="n">
        <f aca="false">INDEX(BDC!$Q$6:$Q$39,BDC_EAD!$B9)</f>
        <v>0.275784753363229</v>
      </c>
      <c r="BE10" s="43" t="n">
        <f aca="false">BB10*(1-$AK$32)-BC10-p_c_liq</f>
        <v>0.126722458439658</v>
      </c>
      <c r="BF10" s="43" t="n">
        <f aca="false">p_phi*MAX(0,p_a_spv-BE10)/p_a_spv+(1-p_phi)*MAX(0,p_a_spv-BB10)/p_a_spv</f>
        <v>0.729321633015595</v>
      </c>
      <c r="BG10" s="43" t="n">
        <f aca="false">IF(BD10&gt;0,p_phi*MAX(0,BD10-BE10)/BD10+(1-p_phi)*MAX(0,BD10-BB10)/BD10,0)</f>
        <v>0.432401844136017</v>
      </c>
      <c r="BI10" s="12" t="str">
        <f aca="false">BDC!$A$9</f>
        <v>ADS</v>
      </c>
      <c r="BJ10" s="43" t="n">
        <f aca="false">1-((1-BDC!$D$9)*$CD$23+BDC!$D$9*$CD$24)-p_gap-$CD$13*(1-BDC!$M$9)</f>
        <v>0.428174862225581</v>
      </c>
      <c r="BK10" s="43" t="n">
        <f aca="false">(1-BDC!$D$9)*$CD$25+BDC!$D$9*$CD$26</f>
        <v>0.0650596052839867</v>
      </c>
      <c r="BL10" s="45" t="n">
        <f aca="false">BJ10/BDC!$K$9</f>
        <v>0.920329876277972</v>
      </c>
      <c r="BM10" s="35" t="n">
        <f aca="false">IF(BL10&lt;1.5,BDC!$C$9,0)</f>
        <v>25.37</v>
      </c>
      <c r="BN10" s="43" t="n">
        <f aca="false">MAX(0,1-BJ10*(1-CE_mig_hc)-p_bb_cush)*BDC!$Q$9</f>
        <v>0.145198875279137</v>
      </c>
      <c r="BO10" s="43" t="n">
        <f aca="false">MAX(0,BDC!$K$9-BJ10/1.5)</f>
        <v>0.179790733560843</v>
      </c>
      <c r="BP10" s="43" t="n">
        <f aca="false">MIN(MIN(1,BDC!$H$9*$CD$16),$CD$15)</f>
        <v>0.249999999977776</v>
      </c>
      <c r="BQ10" s="43" t="n">
        <f aca="false">BDC!$I$9*BDC!$J$9*BP10*(1-0.3)</f>
        <v>0.0935828876922157</v>
      </c>
      <c r="BR10" s="45" t="n">
        <f aca="false">BDC!$C$9*($CD$14*MAX(BN10,BO10)+BQ10)</f>
        <v>6.93548877108873</v>
      </c>
      <c r="BT10" s="10" t="s">
        <v>819</v>
      </c>
      <c r="BU10" s="43" t="n">
        <f aca="false">NORMSDIST((NORMSINV(CreditEngine!$D$9)-SQRT(g_rho)*$CD$11)/SQRT(1-g_rho))</f>
        <v>0.940080923870423</v>
      </c>
      <c r="BV10" s="43" t="n">
        <f aca="false">NORMSDIST((NORMSINV(MIN(0.999,CreditEngine!$D$9*p_m_sw))-SQRT(g_rho)*$CD$11)/SQRT(1-g_rho))</f>
        <v>0.999738169883192</v>
      </c>
      <c r="CC10" s="7" t="s">
        <v>976</v>
      </c>
      <c r="CD10" s="49" t="n">
        <f aca="false">p_panic_on*(p_S0+(1-p_S0)*MAX(0,1/(1+EXP(-($CD$9-g_theta_news)/g_tau_news))-(1/(1+EXP(g_theta_news/g_tau_news))))/(1-(1/(1+EXP(g_theta_news/g_tau_news)))))</f>
        <v>0.999999999777762</v>
      </c>
    </row>
    <row r="11" customFormat="false" ht="15" hidden="false" customHeight="true" outlineLevel="0" collapsed="false">
      <c r="A11" s="10" t="s">
        <v>505</v>
      </c>
      <c r="B11" s="35" t="n">
        <f aca="false">Modules!$W10</f>
        <v>53.3030782980058</v>
      </c>
      <c r="C11" s="39" t="n">
        <f aca="false">Modules!$X10</f>
        <v>0.0604096721270295</v>
      </c>
      <c r="D11" s="44" t="n">
        <f aca="false">IF(C11&lt;Inputs_Banks!$I10,1,0)</f>
        <v>1</v>
      </c>
      <c r="E11" s="44" t="n">
        <f aca="false">IF(C11&lt;0.045,1,0)</f>
        <v>0</v>
      </c>
      <c r="F11" s="44" t="n">
        <f aca="false">IF(B11&lt;0,1,0)</f>
        <v>0</v>
      </c>
      <c r="G11" s="44" t="n">
        <f aca="false">MIN(6,MIN(3,INT(MAX(0,Inputs_Banks!$BA10-C11)/p_notch_step))+D11+2*E11)</f>
        <v>3</v>
      </c>
      <c r="H11" s="39" t="n">
        <f aca="false">C11-Inputs_Banks!$I10</f>
        <v>-0.0535903278729705</v>
      </c>
      <c r="I11" s="44" t="n">
        <f aca="false">RANK(H11,$H$7:$H$30,1)</f>
        <v>4</v>
      </c>
      <c r="J11" s="44" t="n">
        <f aca="false">MAX(IF(I11&lt;=g_n_weak,1,0),E11)</f>
        <v>1</v>
      </c>
      <c r="K11" s="44" t="n">
        <f aca="false">IF(I11&gt;12,1,0)*(1-E11)</f>
        <v>0</v>
      </c>
      <c r="L11" s="35" t="n">
        <f aca="false">INDEX(Inputs_Banks!$AR10:$AX10,1,G11+1)</f>
        <v>2.667</v>
      </c>
      <c r="M11" s="35" t="n">
        <f aca="false">Inputs_Banks!$AI10*MIN(1,p_u_base+$CD$10*p_u_pan_all+J11*($CD$10*p_u_pan_weak+p_u_mda*D11)+p_u_notch*G11+p_u_fail*E11)</f>
        <v>121.97999998811</v>
      </c>
      <c r="N11" s="35" t="n">
        <f aca="false">Inputs_Banks!$AK10*MIN(1,p_w_base+p_w_pan*$CD$10+p_w_notch*G11+0.5*D11+1*E11)</f>
        <v>55.681</v>
      </c>
      <c r="O11" s="35" t="n">
        <f aca="false">Inputs_Banks!$AO10*MIN(1,p_cp_base+p_cp_pan*$CD$10+p_cp_notch*G11)</f>
        <v>1.51</v>
      </c>
      <c r="P11" s="35" t="n">
        <f aca="false">Inputs_Banks!$AN10*(p_dh+p_dh_pan*$CD$10+MIN(1,0.5*$CD$17+0.25*G11))</f>
        <v>172.798154368545</v>
      </c>
      <c r="Q11" s="35" t="n">
        <f aca="false">Modules!$Y10</f>
        <v>24.4757226</v>
      </c>
      <c r="R11" s="35" t="n">
        <f aca="false">Inputs_Banks!$AJ10*K11</f>
        <v>0</v>
      </c>
      <c r="S11" s="35" t="n">
        <f aca="false">p_liq_on*$CD$18*SUM($M$7:$M$30)*R11/MAX(0.000000001,SUM($R$7:$R$30))</f>
        <v>0</v>
      </c>
      <c r="T11" s="35" t="n">
        <f aca="false">p_liq_on*(L11+M11+N11+O11+P11+Q11)</f>
        <v>379.111876956655</v>
      </c>
      <c r="U11" s="35" t="n">
        <f aca="false">g_usable*Inputs_Banks!$AG10+p_cb_on*Inputs_Banks!$AQ10+S11</f>
        <v>575.89165</v>
      </c>
      <c r="V11" s="35" t="n">
        <f aca="false">MAX(0,T11-U11)</f>
        <v>0</v>
      </c>
      <c r="W11" s="44" t="n">
        <f aca="false">IF(V11&gt;0.9*Inputs_Banks!$BB10,1,0)</f>
        <v>0</v>
      </c>
      <c r="X11" s="43" t="n">
        <f aca="false">MAX(p_htm_forced,(1-p_cb_on)*MIN(1,T11/Inputs_Banks!$AG10)*g_theta_sell)</f>
        <v>0.208601689976568</v>
      </c>
      <c r="Y11" s="35" t="n">
        <f aca="false">MAX(0,Modules!$V10-B11/(Inputs_Banks!$I10+g_del_buf))</f>
        <v>434.434972285666</v>
      </c>
      <c r="Z11" s="35" t="n">
        <f aca="false">MIN(g_del_cap*Inputs_Banks!$BB10,Y11)</f>
        <v>91.7425</v>
      </c>
      <c r="AA11" s="35" t="n">
        <f aca="false">MIN(Inputs_Banks!$BB10,V11+Z11)</f>
        <v>91.7425</v>
      </c>
      <c r="AB11" s="35" t="n">
        <f aca="false">$AA11*Holdings!Q10</f>
        <v>0</v>
      </c>
      <c r="AC11" s="35" t="n">
        <f aca="false">$AA11*Holdings!R10</f>
        <v>0</v>
      </c>
      <c r="AD11" s="35" t="n">
        <f aca="false">$AA11*Holdings!S10</f>
        <v>0</v>
      </c>
      <c r="AE11" s="35" t="n">
        <f aca="false">$AA11*Holdings!T10</f>
        <v>0.2225</v>
      </c>
      <c r="AF11" s="35" t="n">
        <f aca="false">$AA11*Holdings!U10</f>
        <v>16.98</v>
      </c>
      <c r="AG11" s="35" t="n">
        <f aca="false">$AA11*Holdings!V10</f>
        <v>0</v>
      </c>
      <c r="AH11" s="35" t="n">
        <f aca="false">$AA11*Holdings!W10</f>
        <v>5.9525</v>
      </c>
      <c r="AI11" s="35" t="n">
        <f aca="false">$AA11*Holdings!X10</f>
        <v>0</v>
      </c>
      <c r="AJ11" s="35" t="n">
        <f aca="false">$AA11*Holdings!Y10</f>
        <v>5.7675</v>
      </c>
      <c r="AK11" s="35" t="n">
        <f aca="false">$AA11*Holdings!Z10</f>
        <v>0</v>
      </c>
      <c r="AL11" s="35" t="n">
        <f aca="false">$AA11*Holdings!AA10</f>
        <v>61.7925</v>
      </c>
      <c r="AM11" s="35" t="n">
        <f aca="false">$AA11*Holdings!AB10</f>
        <v>0</v>
      </c>
      <c r="AN11" s="35" t="n">
        <f aca="false">$AA11*Holdings!AC10</f>
        <v>1.0275</v>
      </c>
      <c r="AO11" s="43" t="n">
        <f aca="false">MIN(1,$CD$17+0.5*G11)</f>
        <v>1</v>
      </c>
      <c r="AP11" s="35" t="n">
        <f aca="false">p_liq_on*Inputs_Banks!$AP10*AO11*p_mb_psi</f>
        <v>1.422</v>
      </c>
      <c r="AQ11" s="44" t="n">
        <f aca="false">MAX(F11,E11,W11*(1-p_cb_on))</f>
        <v>0</v>
      </c>
      <c r="AR11" s="35" t="n">
        <f aca="false">p_ib_on*p_lgd_ib*g_s_in*g_u_ib*SUMPRODUCT(Network!G$6:G$29,$AQ$7:$AQ$30)</f>
        <v>2.16505062014257</v>
      </c>
      <c r="AS11" s="35" t="n">
        <f aca="false">p_sw_M1*(SUMPRODUCT(BDC_EAD!G$106:G$127,$BF$7:$BF$28)+SUMPRODUCT(BDC_EAD!G$131:G$152,$BG$7:$BG$28)+(Inputs_Banks!$Y10+p_ccf_bl*Inputs_Banks!$Z10)*$CD$30+Modules!$E10)</f>
        <v>31.3129915778606</v>
      </c>
      <c r="AT11" s="35" t="n">
        <f aca="false">p_sw_M3*(Inputs_Banks!$U10+p_ccf_abf*Inputs_Banks!$V10)*$CD$31</f>
        <v>0</v>
      </c>
      <c r="AU11" s="35" t="n">
        <f aca="false">p_sw_M10*Inputs_Banks!$AC10*$CD$32</f>
        <v>0</v>
      </c>
      <c r="AV11" s="35" t="n">
        <f aca="false">p_sw_M8*(Modules!$M10+Modules!$N10*IF(p_liq_on&gt;0,X11,p_htm_forced))</f>
        <v>4.82595290328617</v>
      </c>
      <c r="AW11" s="35" t="n">
        <f aca="false">SUMPRODUCT(Holdings!$C10:$O10,Holdings!$C$32:$O$32,$AB$32:$AN$32)+Inputs_Banks!$P10*$AL$32</f>
        <v>16.129786152813</v>
      </c>
      <c r="AX11" s="35" t="n">
        <f aca="false">Modules!$T10+AS11+AT11+AU11+AV11+AW11+AR11</f>
        <v>79.3359602317171</v>
      </c>
      <c r="AY11" s="35" t="n">
        <f aca="false">Modules!$U10-(1-p_tax)*AX11</f>
        <v>22.064039768283</v>
      </c>
      <c r="AZ11" s="39" t="n">
        <f aca="false">AY11/Modules!$V10</f>
        <v>0.0250057116916938</v>
      </c>
      <c r="BA11" s="48" t="s">
        <v>629</v>
      </c>
      <c r="BB11" s="43" t="n">
        <f aca="false">INDEX($BJ$7:$BJ$40,BDC_EAD!$B10)</f>
        <v>0.394270722635569</v>
      </c>
      <c r="BC11" s="43" t="n">
        <f aca="false">INDEX($BK$7:$BK$40,BDC_EAD!$B10)</f>
        <v>0.0594332970326711</v>
      </c>
      <c r="BD11" s="22" t="n">
        <f aca="false">INDEX(BDC!$Q$6:$Q$39,BDC_EAD!$B10)</f>
        <v>0.259516483516484</v>
      </c>
      <c r="BE11" s="43" t="n">
        <f aca="false">BB11*(1-$AK$32)-BC11-p_c_liq</f>
        <v>0.107415600416892</v>
      </c>
      <c r="BF11" s="43" t="n">
        <f aca="false">p_phi*MAX(0,p_a_spv-BE11)/p_a_spv+(1-p_phi)*MAX(0,p_a_spv-BB11)/p_a_spv</f>
        <v>0.76459053591339</v>
      </c>
      <c r="BG11" s="43" t="n">
        <f aca="false">IF(BD11&gt;0,p_phi*MAX(0,BD11-BE11)/BD11+(1-p_phi)*MAX(0,BD11-BB11)/BD11,0)</f>
        <v>0.468874673511614</v>
      </c>
      <c r="BI11" s="12" t="str">
        <f aca="false">BDC!$A$10</f>
        <v>HLEND</v>
      </c>
      <c r="BJ11" s="43" t="n">
        <f aca="false">1-((1-BDC!$D$10)*$CD$23+BDC!$D$10*$CD$24)-p_gap-$CD$13*(1-BDC!$M$10)</f>
        <v>0.412682242148026</v>
      </c>
      <c r="BK11" s="43" t="n">
        <f aca="false">(1-BDC!$D$10)*$CD$25+BDC!$D$10*$CD$26</f>
        <v>0.0624886432353723</v>
      </c>
      <c r="BL11" s="45" t="n">
        <f aca="false">BJ11/BDC!$K$10</f>
        <v>0.825364484296051</v>
      </c>
      <c r="BM11" s="35" t="n">
        <f aca="false">IF(BL11&lt;1.5,BDC!$C$10,0)</f>
        <v>24.18</v>
      </c>
      <c r="BN11" s="43" t="n">
        <f aca="false">MAX(0,1-BJ11*(1-CE_mig_hc)-p_bb_cush)*BDC!$Q$10</f>
        <v>0.166906113398943</v>
      </c>
      <c r="BO11" s="43" t="n">
        <f aca="false">MAX(0,BDC!$K$10-BJ11/1.5)</f>
        <v>0.22487850523465</v>
      </c>
      <c r="BP11" s="43" t="n">
        <f aca="false">MIN(MIN(1,BDC!$H$10*$CD$16),$CD$15)</f>
        <v>0.249999999977776</v>
      </c>
      <c r="BQ11" s="43" t="n">
        <f aca="false">BDC!$I$10*BDC!$J$10*BP11*(1-0.3)</f>
        <v>0.0874999999922217</v>
      </c>
      <c r="BR11" s="45" t="n">
        <f aca="false">BDC!$C$10*($CD$14*MAX(BN11,BO11)+BQ11)</f>
        <v>7.5533122562649</v>
      </c>
      <c r="BT11" s="10" t="s">
        <v>820</v>
      </c>
      <c r="BU11" s="43" t="n">
        <f aca="false">NORMSDIST((NORMSINV(CreditEngine!$D$10)-SQRT(g_rho)*$CD$11)/SQRT(1-g_rho))</f>
        <v>0.940080923870423</v>
      </c>
      <c r="BV11" s="43" t="n">
        <f aca="false">NORMSDIST((NORMSINV(MIN(0.999,CreditEngine!$D$10*p_m_sw))-SQRT(g_rho)*$CD$11)/SQRT(1-g_rho))</f>
        <v>0.999738169883192</v>
      </c>
      <c r="CC11" s="10" t="s">
        <v>977</v>
      </c>
      <c r="CD11" s="45" t="n">
        <f aca="false">p_z-p_zc*$CD$10</f>
        <v>-3.24999999983332</v>
      </c>
    </row>
    <row r="12" customFormat="false" ht="15" hidden="false" customHeight="true" outlineLevel="0" collapsed="false">
      <c r="A12" s="10" t="s">
        <v>507</v>
      </c>
      <c r="B12" s="35" t="n">
        <f aca="false">Modules!$W11</f>
        <v>48.0143955773822</v>
      </c>
      <c r="C12" s="39" t="n">
        <f aca="false">Modules!$X11</f>
        <v>0.0746186198099384</v>
      </c>
      <c r="D12" s="44" t="n">
        <f aca="false">IF(C12&lt;Inputs_Banks!$I11,1,0)</f>
        <v>1</v>
      </c>
      <c r="E12" s="44" t="n">
        <f aca="false">IF(C12&lt;0.045,1,0)</f>
        <v>0</v>
      </c>
      <c r="F12" s="44" t="n">
        <f aca="false">IF(B12&lt;0,1,0)</f>
        <v>0</v>
      </c>
      <c r="G12" s="44" t="n">
        <f aca="false">MIN(6,MIN(3,INT(MAX(0,Inputs_Banks!$BA11-C12)/p_notch_step))+D12+2*E12)</f>
        <v>3</v>
      </c>
      <c r="H12" s="39" t="n">
        <f aca="false">C12-Inputs_Banks!$I11</f>
        <v>-0.0433813801900616</v>
      </c>
      <c r="I12" s="44" t="n">
        <f aca="false">RANK(H12,$H$7:$H$30,1)</f>
        <v>5</v>
      </c>
      <c r="J12" s="44" t="n">
        <f aca="false">MAX(IF(I12&lt;=g_n_weak,1,0),E12)</f>
        <v>1</v>
      </c>
      <c r="K12" s="44" t="n">
        <f aca="false">IF(I12&gt;12,1,0)*(1-E12)</f>
        <v>0</v>
      </c>
      <c r="L12" s="35" t="n">
        <f aca="false">INDEX(Inputs_Banks!$AR11:$AX11,1,G12+1)</f>
        <v>1.3125</v>
      </c>
      <c r="M12" s="35" t="n">
        <f aca="false">Inputs_Banks!$AI11*MIN(1,p_u_base+$CD$10*p_u_pan_all+J12*($CD$10*p_u_pan_weak+p_u_mda*D12)+p_u_notch*G12+p_u_fail*E12)</f>
        <v>90.8009999911494</v>
      </c>
      <c r="N12" s="35" t="n">
        <f aca="false">Inputs_Banks!$AK11*MIN(1,p_w_base+p_w_pan*$CD$10+p_w_notch*G12+0.5*D12+1*E12)</f>
        <v>9.4</v>
      </c>
      <c r="O12" s="35" t="n">
        <f aca="false">Inputs_Banks!$AO11*MIN(1,p_cp_base+p_cp_pan*$CD$10+p_cp_notch*G12)</f>
        <v>0</v>
      </c>
      <c r="P12" s="35" t="n">
        <f aca="false">Inputs_Banks!$AN11*(p_dh+p_dh_pan*$CD$10+MIN(1,0.5*$CD$17+0.25*G12))</f>
        <v>89.5356182735489</v>
      </c>
      <c r="Q12" s="35" t="n">
        <f aca="false">Modules!$Y11</f>
        <v>18.2013845</v>
      </c>
      <c r="R12" s="35" t="n">
        <f aca="false">Inputs_Banks!$AJ11*K12</f>
        <v>0</v>
      </c>
      <c r="S12" s="35" t="n">
        <f aca="false">p_liq_on*$CD$18*SUM($M$7:$M$30)*R12/MAX(0.000000001,SUM($R$7:$R$30))</f>
        <v>0</v>
      </c>
      <c r="T12" s="35" t="n">
        <f aca="false">p_liq_on*(L12+M12+N12+O12+P12+Q12)</f>
        <v>209.250502764698</v>
      </c>
      <c r="U12" s="35" t="n">
        <f aca="false">g_usable*Inputs_Banks!$AG11+p_cb_on*Inputs_Banks!$AQ11+S12</f>
        <v>351.0815</v>
      </c>
      <c r="V12" s="35" t="n">
        <f aca="false">MAX(0,T12-U12)</f>
        <v>0</v>
      </c>
      <c r="W12" s="44" t="n">
        <f aca="false">IF(V12&gt;0.9*Inputs_Banks!$BB11,1,0)</f>
        <v>0</v>
      </c>
      <c r="X12" s="43" t="n">
        <f aca="false">MAX(p_htm_forced,(1-p_cb_on)*MIN(1,T12/Inputs_Banks!$AG11)*g_theta_sell)</f>
        <v>0.163904643965267</v>
      </c>
      <c r="Y12" s="35" t="n">
        <f aca="false">MAX(0,Modules!$V11-B12/(Inputs_Banks!$I11+g_del_buf))</f>
        <v>253.103060346486</v>
      </c>
      <c r="Z12" s="35" t="n">
        <f aca="false">MIN(g_del_cap*Inputs_Banks!$BB11,Y12)</f>
        <v>74.495</v>
      </c>
      <c r="AA12" s="35" t="n">
        <f aca="false">MIN(Inputs_Banks!$BB11,V12+Z12)</f>
        <v>74.495</v>
      </c>
      <c r="AB12" s="35" t="n">
        <f aca="false">$AA12*Holdings!Q11</f>
        <v>0</v>
      </c>
      <c r="AC12" s="35" t="n">
        <f aca="false">$AA12*Holdings!R11</f>
        <v>0</v>
      </c>
      <c r="AD12" s="35" t="n">
        <f aca="false">$AA12*Holdings!S11</f>
        <v>0</v>
      </c>
      <c r="AE12" s="35" t="n">
        <f aca="false">$AA12*Holdings!T11</f>
        <v>1.6275</v>
      </c>
      <c r="AF12" s="35" t="n">
        <f aca="false">$AA12*Holdings!U11</f>
        <v>11.67</v>
      </c>
      <c r="AG12" s="35" t="n">
        <f aca="false">$AA12*Holdings!V11</f>
        <v>0</v>
      </c>
      <c r="AH12" s="35" t="n">
        <f aca="false">$AA12*Holdings!W11</f>
        <v>6.04</v>
      </c>
      <c r="AI12" s="35" t="n">
        <f aca="false">$AA12*Holdings!X11</f>
        <v>0</v>
      </c>
      <c r="AJ12" s="35" t="n">
        <f aca="false">$AA12*Holdings!Y11</f>
        <v>1.3075</v>
      </c>
      <c r="AK12" s="35" t="n">
        <f aca="false">$AA12*Holdings!Z11</f>
        <v>0</v>
      </c>
      <c r="AL12" s="35" t="n">
        <f aca="false">$AA12*Holdings!AA11</f>
        <v>52.9975</v>
      </c>
      <c r="AM12" s="35" t="n">
        <f aca="false">$AA12*Holdings!AB11</f>
        <v>0</v>
      </c>
      <c r="AN12" s="35" t="n">
        <f aca="false">$AA12*Holdings!AC11</f>
        <v>0.8525</v>
      </c>
      <c r="AO12" s="43" t="n">
        <f aca="false">MIN(1,$CD$17+0.5*G12)</f>
        <v>1</v>
      </c>
      <c r="AP12" s="35" t="n">
        <f aca="false">p_liq_on*Inputs_Banks!$AP11*AO12*p_mb_psi</f>
        <v>0</v>
      </c>
      <c r="AQ12" s="44" t="n">
        <f aca="false">MAX(F12,E12,W12*(1-p_cb_on))</f>
        <v>0</v>
      </c>
      <c r="AR12" s="35" t="n">
        <f aca="false">p_ib_on*p_lgd_ib*g_s_in*g_u_ib*SUMPRODUCT(Network!H$6:H$29,$AQ$7:$AQ$30)</f>
        <v>1.59428684720973</v>
      </c>
      <c r="AS12" s="35" t="n">
        <f aca="false">p_sw_M1*(SUMPRODUCT(BDC_EAD!H$106:H$127,$BF$7:$BF$28)+SUMPRODUCT(BDC_EAD!H$131:H$152,$BG$7:$BG$28)+(Inputs_Banks!$Y11+p_ccf_bl*Inputs_Banks!$Z11)*$CD$30+Modules!$E11)</f>
        <v>24.1216345669609</v>
      </c>
      <c r="AT12" s="35" t="n">
        <f aca="false">p_sw_M3*(Inputs_Banks!$U11+p_ccf_abf*Inputs_Banks!$V11)*$CD$31</f>
        <v>0</v>
      </c>
      <c r="AU12" s="35" t="n">
        <f aca="false">p_sw_M10*Inputs_Banks!$AC11*$CD$32</f>
        <v>0</v>
      </c>
      <c r="AV12" s="35" t="n">
        <f aca="false">p_sw_M8*(Modules!$M11+Modules!$N11*IF(p_liq_on&gt;0,X12,p_htm_forced))</f>
        <v>4.33861727365977</v>
      </c>
      <c r="AW12" s="35" t="n">
        <f aca="false">SUMPRODUCT(Holdings!$C11:$O11,Holdings!$C$32:$O$32,$AB$32:$AN$32)+Inputs_Banks!$P11*$AL$32</f>
        <v>12.8074137051214</v>
      </c>
      <c r="AX12" s="35" t="n">
        <f aca="false">Modules!$T11+AS12+AT12+AU12+AV12+AW12+AR12</f>
        <v>66.3214588838046</v>
      </c>
      <c r="AY12" s="35" t="n">
        <f aca="false">Modules!$U11-(1-p_tax)*AX12</f>
        <v>22.4785411161954</v>
      </c>
      <c r="AZ12" s="39" t="n">
        <f aca="false">AY12/Modules!$V11</f>
        <v>0.0349336421558866</v>
      </c>
      <c r="BA12" s="48" t="s">
        <v>640</v>
      </c>
      <c r="BB12" s="43" t="n">
        <f aca="false">INDEX($BJ$7:$BJ$40,BDC_EAD!$B11)</f>
        <v>0.489308710627635</v>
      </c>
      <c r="BC12" s="43" t="n">
        <f aca="false">INDEX($BK$7:$BK$40,BDC_EAD!$B11)</f>
        <v>0.0620042590812855</v>
      </c>
      <c r="BD12" s="22" t="n">
        <f aca="false">INDEX(BDC!$Q$6:$Q$39,BDC_EAD!$B11)</f>
        <v>0.18126872246696</v>
      </c>
      <c r="BE12" s="43" t="n">
        <f aca="false">BB12*(1-$AK$32)-BC12-p_c_liq</f>
        <v>0.157115531763914</v>
      </c>
      <c r="BF12" s="43" t="n">
        <f aca="false">p_phi*MAX(0,p_a_spv-BE12)/p_a_spv+(1-p_phi)*MAX(0,p_a_spv-BB12)/p_a_spv</f>
        <v>0.68063690351906</v>
      </c>
      <c r="BG12" s="43" t="n">
        <f aca="false">IF(BD12&gt;0,p_phi*MAX(0,BD12-BE12)/BD12+(1-p_phi)*MAX(0,BD12-BB12)/BD12,0)</f>
        <v>0.106596175553448</v>
      </c>
      <c r="BI12" s="12" t="str">
        <f aca="false">BDC!$A$11</f>
        <v>ASIF</v>
      </c>
      <c r="BJ12" s="43" t="n">
        <f aca="false">1-((1-BDC!$D$11)*$CD$23+BDC!$D$11*$CD$24)-p_gap-$CD$13*(1-BDC!$M$11)</f>
        <v>0.404374605294844</v>
      </c>
      <c r="BK12" s="43" t="n">
        <f aca="false">(1-BDC!$D$11)*$CD$25+BDC!$D$11*$CD$26</f>
        <v>0.0611100114122023</v>
      </c>
      <c r="BL12" s="45" t="n">
        <f aca="false">BJ12/BDC!$K$11</f>
        <v>0.747064948765051</v>
      </c>
      <c r="BM12" s="35" t="n">
        <f aca="false">IF(BL12&lt;1.5,BDC!$C$11,0)</f>
        <v>21.84</v>
      </c>
      <c r="BN12" s="43" t="n">
        <f aca="false">MAX(0,1-BJ12*(1-CE_mig_hc)-p_bb_cush)*BDC!$Q$11</f>
        <v>0.166493090844248</v>
      </c>
      <c r="BO12" s="43" t="n">
        <f aca="false">MAX(0,BDC!$K$11-BJ12/1.5)</f>
        <v>0.271701333473162</v>
      </c>
      <c r="BP12" s="43" t="n">
        <f aca="false">MIN(MIN(1,BDC!$H$11*$CD$16),$CD$15)</f>
        <v>0.249999999977776</v>
      </c>
      <c r="BQ12" s="43" t="n">
        <f aca="false">BDC!$I$11*BDC!$J$11*BP12*(1-0.3)</f>
        <v>0.0802752293506621</v>
      </c>
      <c r="BR12" s="45" t="n">
        <f aca="false">BDC!$C$11*($CD$14*MAX(BN12,BO12)+BQ12)</f>
        <v>7.68716813194045</v>
      </c>
      <c r="CC12" s="10" t="s">
        <v>978</v>
      </c>
      <c r="CD12" s="35" t="n">
        <f aca="false">p_ds+p_ds_pan*$CD$10</f>
        <v>1099.9999999111</v>
      </c>
    </row>
    <row r="13" customFormat="false" ht="15" hidden="false" customHeight="true" outlineLevel="0" collapsed="false">
      <c r="A13" s="10" t="s">
        <v>509</v>
      </c>
      <c r="B13" s="35" t="n">
        <f aca="false">Modules!$W12</f>
        <v>20.3555492876167</v>
      </c>
      <c r="C13" s="39" t="n">
        <f aca="false">Modules!$X12</f>
        <v>0.0376352452513326</v>
      </c>
      <c r="D13" s="44" t="n">
        <f aca="false">IF(C13&lt;Inputs_Banks!$I12,1,0)</f>
        <v>1</v>
      </c>
      <c r="E13" s="44" t="n">
        <f aca="false">IF(C13&lt;0.045,1,0)</f>
        <v>1</v>
      </c>
      <c r="F13" s="44" t="n">
        <f aca="false">IF(B13&lt;0,1,0)</f>
        <v>0</v>
      </c>
      <c r="G13" s="44" t="n">
        <f aca="false">MIN(6,MIN(3,INT(MAX(0,Inputs_Banks!$BA12-C13)/p_notch_step))+D13+2*E13)</f>
        <v>5</v>
      </c>
      <c r="H13" s="39" t="n">
        <f aca="false">C13-Inputs_Banks!$I12</f>
        <v>-0.0323647547486675</v>
      </c>
      <c r="I13" s="44" t="n">
        <f aca="false">RANK(H13,$H$7:$H$30,1)</f>
        <v>9</v>
      </c>
      <c r="J13" s="44" t="n">
        <f aca="false">MAX(IF(I13&lt;=g_n_weak,1,0),E13)</f>
        <v>1</v>
      </c>
      <c r="K13" s="44" t="n">
        <f aca="false">IF(I13&gt;12,1,0)*(1-E13)</f>
        <v>0</v>
      </c>
      <c r="L13" s="35" t="n">
        <f aca="false">INDEX(Inputs_Banks!$AR12:$AX12,1,G13+1)</f>
        <v>2</v>
      </c>
      <c r="M13" s="35" t="n">
        <f aca="false">Inputs_Banks!$AI12*MIN(1,p_u_base+$CD$10*p_u_pan_all+J13*($CD$10*p_u_pan_weak+p_u_mda*D13)+p_u_notch*G13+p_u_fail*E13)</f>
        <v>184.409999988616</v>
      </c>
      <c r="N13" s="35" t="n">
        <f aca="false">Inputs_Banks!$AK12*MIN(1,p_w_base+p_w_pan*$CD$10+p_w_notch*G13+0.5*D13+1*E13)</f>
        <v>2.767</v>
      </c>
      <c r="O13" s="35" t="n">
        <f aca="false">Inputs_Banks!$AO12*MIN(1,p_cp_base+p_cp_pan*$CD$10+p_cp_notch*G13)</f>
        <v>0</v>
      </c>
      <c r="P13" s="35" t="n">
        <f aca="false">Inputs_Banks!$AN12*(p_dh+p_dh_pan*$CD$10+MIN(1,0.5*$CD$17+0.25*G13))</f>
        <v>0</v>
      </c>
      <c r="Q13" s="35" t="n">
        <f aca="false">Modules!$Y12</f>
        <v>25.4204874</v>
      </c>
      <c r="R13" s="35" t="n">
        <f aca="false">Inputs_Banks!$AJ12*K13</f>
        <v>0</v>
      </c>
      <c r="S13" s="35" t="n">
        <f aca="false">p_liq_on*$CD$18*SUM($M$7:$M$30)*R13/MAX(0.000000001,SUM($R$7:$R$30))</f>
        <v>0</v>
      </c>
      <c r="T13" s="35" t="n">
        <f aca="false">p_liq_on*(L13+M13+N13+O13+P13+Q13)</f>
        <v>214.597487388616</v>
      </c>
      <c r="U13" s="35" t="n">
        <f aca="false">g_usable*Inputs_Banks!$AG12+p_cb_on*Inputs_Banks!$AQ12+S13</f>
        <v>151.195</v>
      </c>
      <c r="V13" s="35" t="n">
        <f aca="false">MAX(0,T13-U13)</f>
        <v>63.4024873886159</v>
      </c>
      <c r="W13" s="44" t="n">
        <f aca="false">IF(V13&gt;0.9*Inputs_Banks!$BB12,1,0)</f>
        <v>1</v>
      </c>
      <c r="X13" s="43" t="n">
        <f aca="false">MAX(p_htm_forced,(1-p_cb_on)*MIN(1,T13/Inputs_Banks!$AG12)*g_theta_sell)</f>
        <v>0.25</v>
      </c>
      <c r="Y13" s="35" t="n">
        <f aca="false">MAX(0,Modules!$V12-B13/(Inputs_Banks!$I12+g_del_buf))</f>
        <v>269.45667616511</v>
      </c>
      <c r="Z13" s="35" t="n">
        <f aca="false">MIN(g_del_cap*Inputs_Banks!$BB12,Y13)</f>
        <v>2.2875</v>
      </c>
      <c r="AA13" s="35" t="n">
        <f aca="false">MIN(Inputs_Banks!$BB12,V13+Z13)</f>
        <v>9.15</v>
      </c>
      <c r="AB13" s="35" t="n">
        <f aca="false">$AA13*Holdings!Q12</f>
        <v>0</v>
      </c>
      <c r="AC13" s="35" t="n">
        <f aca="false">$AA13*Holdings!R12</f>
        <v>0</v>
      </c>
      <c r="AD13" s="35" t="n">
        <f aca="false">$AA13*Holdings!S12</f>
        <v>0</v>
      </c>
      <c r="AE13" s="35" t="n">
        <f aca="false">$AA13*Holdings!T12</f>
        <v>2.37</v>
      </c>
      <c r="AF13" s="35" t="n">
        <f aca="false">$AA13*Holdings!U12</f>
        <v>2.02</v>
      </c>
      <c r="AG13" s="35" t="n">
        <f aca="false">$AA13*Holdings!V12</f>
        <v>0</v>
      </c>
      <c r="AH13" s="35" t="n">
        <f aca="false">$AA13*Holdings!W12</f>
        <v>0.02</v>
      </c>
      <c r="AI13" s="35" t="n">
        <f aca="false">$AA13*Holdings!X12</f>
        <v>0.06</v>
      </c>
      <c r="AJ13" s="35" t="n">
        <f aca="false">$AA13*Holdings!Y12</f>
        <v>4.68</v>
      </c>
      <c r="AK13" s="35" t="n">
        <f aca="false">$AA13*Holdings!Z12</f>
        <v>0</v>
      </c>
      <c r="AL13" s="35" t="n">
        <f aca="false">$AA13*Holdings!AA12</f>
        <v>0</v>
      </c>
      <c r="AM13" s="35" t="n">
        <f aca="false">$AA13*Holdings!AB12</f>
        <v>0</v>
      </c>
      <c r="AN13" s="35" t="n">
        <f aca="false">$AA13*Holdings!AC12</f>
        <v>0</v>
      </c>
      <c r="AO13" s="43" t="n">
        <f aca="false">MIN(1,$CD$17+0.5*G13)</f>
        <v>1</v>
      </c>
      <c r="AP13" s="35" t="n">
        <f aca="false">p_liq_on*Inputs_Banks!$AP12*AO13*p_mb_psi</f>
        <v>0</v>
      </c>
      <c r="AQ13" s="44" t="n">
        <f aca="false">MAX(F13,E13,W13*(1-p_cb_on))</f>
        <v>1</v>
      </c>
      <c r="AR13" s="35" t="n">
        <f aca="false">p_ib_on*p_lgd_ib*g_s_in*g_u_ib*SUMPRODUCT(Network!I$6:I$29,$AQ$7:$AQ$30)</f>
        <v>0.0923997001699927</v>
      </c>
      <c r="AS13" s="35" t="n">
        <f aca="false">p_sw_M1*(SUMPRODUCT(BDC_EAD!I$106:I$127,$BF$7:$BF$28)+SUMPRODUCT(BDC_EAD!I$131:I$152,$BG$7:$BG$28)+(Inputs_Banks!$Y12+p_ccf_bl*Inputs_Banks!$Z12)*$CD$30+Modules!$E12)</f>
        <v>37.3288498351887</v>
      </c>
      <c r="AT13" s="35" t="n">
        <f aca="false">p_sw_M3*(Inputs_Banks!$U12+p_ccf_abf*Inputs_Banks!$V12)*$CD$31</f>
        <v>0</v>
      </c>
      <c r="AU13" s="35" t="n">
        <f aca="false">p_sw_M10*Inputs_Banks!$AC12*$CD$32</f>
        <v>0</v>
      </c>
      <c r="AV13" s="35" t="n">
        <f aca="false">p_sw_M8*(Modules!$M12+Modules!$N12*IF(p_liq_on&gt;0,X13,p_htm_forced))</f>
        <v>2.868215</v>
      </c>
      <c r="AW13" s="35" t="n">
        <f aca="false">SUMPRODUCT(Holdings!$C12:$O12,Holdings!$C$32:$O$32,$AB$32:$AN$32)+Inputs_Banks!$P12*$AL$32</f>
        <v>0.786991205994984</v>
      </c>
      <c r="AX13" s="35" t="n">
        <f aca="false">Modules!$T12+AS13+AT13+AU13+AV13+AW13+AR13</f>
        <v>46.5600525424358</v>
      </c>
      <c r="AY13" s="35" t="n">
        <f aca="false">Modules!$U12-(1-p_tax)*AX13</f>
        <v>2.53994745756425</v>
      </c>
      <c r="AZ13" s="39" t="n">
        <f aca="false">AY13/Modules!$V12</f>
        <v>0.00469609265464931</v>
      </c>
      <c r="BA13" s="48" t="s">
        <v>657</v>
      </c>
      <c r="BB13" s="43" t="n">
        <f aca="false">INDEX($BJ$7:$BJ$40,BDC_EAD!$B12)</f>
        <v>0.378165749030607</v>
      </c>
      <c r="BC13" s="43" t="n">
        <f aca="false">INDEX($BK$7:$BK$40,BDC_EAD!$B12)</f>
        <v>0.064314398893084</v>
      </c>
      <c r="BD13" s="22" t="n">
        <f aca="false">INDEX(BDC!$Q$6:$Q$39,BDC_EAD!$B12)</f>
        <v>0.295054794520548</v>
      </c>
      <c r="BE13" s="43" t="n">
        <f aca="false">BB13*(1-$AK$32)-BC13-p_c_liq</f>
        <v>0.0936767630737498</v>
      </c>
      <c r="BF13" s="43" t="n">
        <f aca="false">p_phi*MAX(0,p_a_spv-BE13)/p_a_spv+(1-p_phi)*MAX(0,p_a_spv-BB13)/p_a_spv</f>
        <v>0.784893485335541</v>
      </c>
      <c r="BG13" s="43" t="n">
        <f aca="false">IF(BD13&gt;0,p_phi*MAX(0,BD13-BE13)/BD13+(1-p_phi)*MAX(0,BD13-BB13)/BD13,0)</f>
        <v>0.546008497910442</v>
      </c>
      <c r="BI13" s="12" t="str">
        <f aca="false">BDC!$A$12</f>
        <v>GS PCC</v>
      </c>
      <c r="BJ13" s="43" t="n">
        <f aca="false">1-((1-BDC!$D$12)*$CD$23+BDC!$D$12*$CD$24)-p_gap-$CD$13*(1-BDC!$M$12)</f>
        <v>0.398087744973517</v>
      </c>
      <c r="BK13" s="43" t="n">
        <f aca="false">(1-BDC!$D$12)*$CD$25+BDC!$D$12*$CD$26</f>
        <v>0.0600667224649385</v>
      </c>
      <c r="BL13" s="45" t="n">
        <f aca="false">BJ13/BDC!$K$12</f>
        <v>0.812762479320931</v>
      </c>
      <c r="BM13" s="35" t="n">
        <f aca="false">IF(BL13&lt;1.5,BDC!$C$12,0)</f>
        <v>18.19</v>
      </c>
      <c r="BN13" s="43" t="n">
        <f aca="false">MAX(0,1-BJ13*(1-CE_mig_hc)-p_bb_cush)*BDC!$Q$12</f>
        <v>0.171189689898215</v>
      </c>
      <c r="BO13" s="43" t="n">
        <f aca="false">MAX(0,BDC!$K$12-BJ13/1.5)</f>
        <v>0.224404088385002</v>
      </c>
      <c r="BP13" s="43" t="n">
        <f aca="false">MIN(MIN(1,BDC!$H$12*$CD$16),$CD$15)</f>
        <v>0.0608999999909771</v>
      </c>
      <c r="BQ13" s="43" t="n">
        <f aca="false">BDC!$I$12*BDC!$J$12*BP13*(1-0.3)</f>
        <v>0.0217499999967776</v>
      </c>
      <c r="BR13" s="45" t="n">
        <f aca="false">BDC!$C$12*($CD$14*MAX(BN13,BO13)+BQ13)</f>
        <v>4.47754286757386</v>
      </c>
      <c r="CC13" s="10" t="s">
        <v>979</v>
      </c>
      <c r="CD13" s="43" t="n">
        <f aca="false">p_w_mkt+(1-p_w_mkt)*$CD$10</f>
        <v>1</v>
      </c>
    </row>
    <row r="14" customFormat="false" ht="15" hidden="false" customHeight="true" outlineLevel="0" collapsed="false">
      <c r="A14" s="10" t="s">
        <v>510</v>
      </c>
      <c r="B14" s="35" t="n">
        <f aca="false">Modules!$W13</f>
        <v>40.9485975550948</v>
      </c>
      <c r="C14" s="39" t="n">
        <f aca="false">Modules!$X13</f>
        <v>0.0746071784859687</v>
      </c>
      <c r="D14" s="44" t="n">
        <f aca="false">IF(C14&lt;Inputs_Banks!$I13,1,0)</f>
        <v>0</v>
      </c>
      <c r="E14" s="44" t="n">
        <f aca="false">IF(C14&lt;0.045,1,0)</f>
        <v>0</v>
      </c>
      <c r="F14" s="44" t="n">
        <f aca="false">IF(B14&lt;0,1,0)</f>
        <v>0</v>
      </c>
      <c r="G14" s="44" t="n">
        <f aca="false">MIN(6,MIN(3,INT(MAX(0,Inputs_Banks!$BA13-C14)/p_notch_step))+D14+2*E14)</f>
        <v>1</v>
      </c>
      <c r="H14" s="39" t="n">
        <f aca="false">C14-Inputs_Banks!$I13</f>
        <v>0.0036071784859687</v>
      </c>
      <c r="I14" s="44" t="n">
        <f aca="false">RANK(H14,$H$7:$H$30,1)</f>
        <v>20</v>
      </c>
      <c r="J14" s="44" t="n">
        <f aca="false">MAX(IF(I14&lt;=g_n_weak,1,0),E14)</f>
        <v>0</v>
      </c>
      <c r="K14" s="44" t="n">
        <f aca="false">IF(I14&gt;12,1,0)*(1-E14)</f>
        <v>1</v>
      </c>
      <c r="L14" s="35" t="n">
        <f aca="false">INDEX(Inputs_Banks!$AR13:$AX13,1,G14+1)</f>
        <v>0.075</v>
      </c>
      <c r="M14" s="35" t="n">
        <f aca="false">Inputs_Banks!$AI13*MIN(1,p_u_base+$CD$10*p_u_pan_all+J14*($CD$10*p_u_pan_weak+p_u_mda*D14)+p_u_notch*G14+p_u_fail*E14)</f>
        <v>53.7509999968565</v>
      </c>
      <c r="N14" s="35" t="n">
        <f aca="false">Inputs_Banks!$AK13*MIN(1,p_w_base+p_w_pan*$CD$10+p_w_notch*G14+0.5*D14+1*E14)</f>
        <v>37.337</v>
      </c>
      <c r="O14" s="35" t="n">
        <f aca="false">Inputs_Banks!$AO13*MIN(1,p_cp_base+p_cp_pan*$CD$10+p_cp_notch*G14)</f>
        <v>0</v>
      </c>
      <c r="P14" s="35" t="n">
        <f aca="false">Inputs_Banks!$AN13*(p_dh+p_dh_pan*$CD$10+MIN(1,0.5*$CD$17+0.25*G14))</f>
        <v>1.08199874992837</v>
      </c>
      <c r="Q14" s="35" t="n">
        <f aca="false">Modules!$Y13</f>
        <v>12.7415604</v>
      </c>
      <c r="R14" s="35" t="n">
        <f aca="false">Inputs_Banks!$AJ13*K14</f>
        <v>532.066</v>
      </c>
      <c r="S14" s="35" t="n">
        <f aca="false">p_liq_on*$CD$18*SUM($M$7:$M$30)*R14/MAX(0.000000001,SUM($R$7:$R$30))</f>
        <v>45.8551491436298</v>
      </c>
      <c r="T14" s="35" t="n">
        <f aca="false">p_liq_on*(L14+M14+N14+O14+P14+Q14)</f>
        <v>104.986559146785</v>
      </c>
      <c r="U14" s="35" t="n">
        <f aca="false">g_usable*Inputs_Banks!$AG13+p_cb_on*Inputs_Banks!$AQ13+S14</f>
        <v>234.79104914363</v>
      </c>
      <c r="V14" s="35" t="n">
        <f aca="false">MAX(0,T14-U14)</f>
        <v>0</v>
      </c>
      <c r="W14" s="44" t="n">
        <f aca="false">IF(V14&gt;0.9*Inputs_Banks!$BB13,1,0)</f>
        <v>0</v>
      </c>
      <c r="X14" s="43" t="n">
        <f aca="false">MAX(p_htm_forced,(1-p_cb_on)*MIN(1,T14/Inputs_Banks!$AG13)*g_theta_sell)</f>
        <v>0.24116213487234</v>
      </c>
      <c r="Y14" s="35" t="n">
        <f aca="false">MAX(0,Modules!$V13-B14/(Inputs_Banks!$I13+g_del_buf))</f>
        <v>10.0586637487521</v>
      </c>
      <c r="Z14" s="35" t="n">
        <f aca="false">MIN(g_del_cap*Inputs_Banks!$BB13,Y14)</f>
        <v>3.2525</v>
      </c>
      <c r="AA14" s="35" t="n">
        <f aca="false">MIN(Inputs_Banks!$BB13,V14+Z14)</f>
        <v>3.2525</v>
      </c>
      <c r="AB14" s="35" t="n">
        <f aca="false">$AA14*Holdings!Q13</f>
        <v>0</v>
      </c>
      <c r="AC14" s="35" t="n">
        <f aca="false">$AA14*Holdings!R13</f>
        <v>0</v>
      </c>
      <c r="AD14" s="35" t="n">
        <f aca="false">$AA14*Holdings!S13</f>
        <v>0</v>
      </c>
      <c r="AE14" s="35" t="n">
        <f aca="false">$AA14*Holdings!T13</f>
        <v>1.845</v>
      </c>
      <c r="AF14" s="35" t="n">
        <f aca="false">$AA14*Holdings!U13</f>
        <v>0</v>
      </c>
      <c r="AG14" s="35" t="n">
        <f aca="false">$AA14*Holdings!V13</f>
        <v>0</v>
      </c>
      <c r="AH14" s="35" t="n">
        <f aca="false">$AA14*Holdings!W13</f>
        <v>0.0225</v>
      </c>
      <c r="AI14" s="35" t="n">
        <f aca="false">$AA14*Holdings!X13</f>
        <v>1.095</v>
      </c>
      <c r="AJ14" s="35" t="n">
        <f aca="false">$AA14*Holdings!Y13</f>
        <v>0.29</v>
      </c>
      <c r="AK14" s="35" t="n">
        <f aca="false">$AA14*Holdings!Z13</f>
        <v>0</v>
      </c>
      <c r="AL14" s="35" t="n">
        <f aca="false">$AA14*Holdings!AA13</f>
        <v>0</v>
      </c>
      <c r="AM14" s="35" t="n">
        <f aca="false">$AA14*Holdings!AB13</f>
        <v>0</v>
      </c>
      <c r="AN14" s="35" t="n">
        <f aca="false">$AA14*Holdings!AC13</f>
        <v>0</v>
      </c>
      <c r="AO14" s="43" t="n">
        <f aca="false">MIN(1,$CD$17+0.5*G14)</f>
        <v>1</v>
      </c>
      <c r="AP14" s="35" t="n">
        <f aca="false">p_liq_on*Inputs_Banks!$AP13*AO14*p_mb_psi</f>
        <v>0.636</v>
      </c>
      <c r="AQ14" s="44" t="n">
        <f aca="false">MAX(F14,E14,W14*(1-p_cb_on))</f>
        <v>0</v>
      </c>
      <c r="AR14" s="35" t="n">
        <f aca="false">p_ib_on*p_lgd_ib*g_s_in*g_u_ib*SUMPRODUCT(Network!J$6:J$29,$AQ$7:$AQ$30)</f>
        <v>0.111049363209975</v>
      </c>
      <c r="AS14" s="35" t="n">
        <f aca="false">p_sw_M1*(SUMPRODUCT(BDC_EAD!J$106:J$127,$BF$7:$BF$28)+SUMPRODUCT(BDC_EAD!J$131:J$152,$BG$7:$BG$28)+(Inputs_Banks!$Y13+p_ccf_bl*Inputs_Banks!$Z13)*$CD$30+Modules!$E13)</f>
        <v>14.5195684655598</v>
      </c>
      <c r="AT14" s="35" t="n">
        <f aca="false">p_sw_M3*(Inputs_Banks!$U13+p_ccf_abf*Inputs_Banks!$V13)*$CD$31</f>
        <v>0</v>
      </c>
      <c r="AU14" s="35" t="n">
        <f aca="false">p_sw_M10*Inputs_Banks!$AC13*$CD$32</f>
        <v>0</v>
      </c>
      <c r="AV14" s="35" t="n">
        <f aca="false">p_sw_M8*(Modules!$M13+Modules!$N13*IF(p_liq_on&gt;0,X14,p_htm_forced))</f>
        <v>4.96292983501822</v>
      </c>
      <c r="AW14" s="35" t="n">
        <f aca="false">SUMPRODUCT(Holdings!$C13:$O13,Holdings!$C$32:$O$32,$AB$32:$AN$32)+Inputs_Banks!$P13*$AL$32</f>
        <v>1.16088525780205</v>
      </c>
      <c r="AX14" s="35" t="n">
        <f aca="false">Modules!$T13+AS14+AT14+AU14+AV14+AW14+AR14</f>
        <v>26.0248359503191</v>
      </c>
      <c r="AY14" s="35" t="n">
        <f aca="false">Modules!$U13-(1-p_tax)*AX14</f>
        <v>28.9751640496809</v>
      </c>
      <c r="AZ14" s="39" t="n">
        <f aca="false">AY14/Modules!$V13</f>
        <v>0.052791923655168</v>
      </c>
      <c r="BA14" s="48" t="s">
        <v>641</v>
      </c>
      <c r="BB14" s="43" t="n">
        <f aca="false">INDEX($BJ$7:$BJ$40,BDC_EAD!$B13)</f>
        <v>0.329896338858821</v>
      </c>
      <c r="BC14" s="43" t="n">
        <f aca="false">INDEX($BK$7:$BK$40,BDC_EAD!$B13)</f>
        <v>0.0624513829158272</v>
      </c>
      <c r="BD14" s="22" t="n">
        <f aca="false">INDEX(BDC!$Q$6:$Q$39,BDC_EAD!$B13)</f>
        <v>0.167256637168142</v>
      </c>
      <c r="BE14" s="43" t="n">
        <f aca="false">BB14*(1-$AK$32)-BC14-p_c_liq</f>
        <v>0.0689916034565242</v>
      </c>
      <c r="BF14" s="43" t="n">
        <f aca="false">p_phi*MAX(0,p_a_spv-BE14)/p_a_spv+(1-p_phi)*MAX(0,p_a_spv-BB14)/p_a_spv</f>
        <v>0.826896356375738</v>
      </c>
      <c r="BG14" s="43" t="n">
        <f aca="false">IF(BD14&gt;0,p_phi*MAX(0,BD14-BE14)/BD14+(1-p_phi)*MAX(0,BD14-BB14)/BD14,0)</f>
        <v>0.470008415213239</v>
      </c>
      <c r="BI14" s="12" t="str">
        <f aca="false">BDC!$A$13</f>
        <v>OBDC</v>
      </c>
      <c r="BJ14" s="43" t="n">
        <f aca="false">1-((1-BDC!$D$13)*$CD$23+BDC!$D$13*$CD$24)-p_gap-$CD$13*(1-BDC!$M$13)</f>
        <v>0.393709594078688</v>
      </c>
      <c r="BK14" s="43" t="n">
        <f aca="false">(1-BDC!$D$13)*$CD$25+BDC!$D$13*$CD$26</f>
        <v>0.0647242624080805</v>
      </c>
      <c r="BL14" s="45" t="n">
        <f aca="false">BJ14/BDC!$K$13</f>
        <v>0.74523601736323</v>
      </c>
      <c r="BM14" s="35" t="n">
        <f aca="false">IF(BL14&lt;1.5,BDC!$C$13,0)</f>
        <v>14.96</v>
      </c>
      <c r="BN14" s="43" t="n">
        <f aca="false">MAX(0,1-BJ14*(1-CE_mig_hc)-p_bb_cush)*BDC!$Q$13</f>
        <v>0.111074092525371</v>
      </c>
      <c r="BO14" s="43" t="n">
        <f aca="false">MAX(0,BDC!$K$13-BJ14/1.5)</f>
        <v>0.265828824073328</v>
      </c>
      <c r="BP14" s="43" t="n">
        <f aca="false">MIN(MIN(1,BDC!$H$13*$CD$16),$CD$15)</f>
        <v>0</v>
      </c>
      <c r="BQ14" s="43" t="n">
        <f aca="false">BDC!$I$13*BDC!$J$13*BP14*(1-0.3)</f>
        <v>0</v>
      </c>
      <c r="BR14" s="45" t="n">
        <f aca="false">BDC!$C$13*($CD$14*MAX(BN14,BO14)+BQ14)</f>
        <v>3.9767992080486</v>
      </c>
      <c r="CC14" s="10" t="s">
        <v>980</v>
      </c>
      <c r="CD14" s="43" t="n">
        <f aca="false">p_theta_lev+(1-p_theta_lev)*$CD$10</f>
        <v>0.999999999977776</v>
      </c>
    </row>
    <row r="15" customFormat="false" ht="15" hidden="false" customHeight="true" outlineLevel="0" collapsed="false">
      <c r="A15" s="10" t="s">
        <v>512</v>
      </c>
      <c r="B15" s="35" t="n">
        <f aca="false">Modules!$W14</f>
        <v>24.2268561136284</v>
      </c>
      <c r="C15" s="39" t="n">
        <f aca="false">Modules!$X14</f>
        <v>0.051950611809369</v>
      </c>
      <c r="D15" s="44" t="n">
        <f aca="false">IF(C15&lt;Inputs_Banks!$I14,1,0)</f>
        <v>1</v>
      </c>
      <c r="E15" s="44" t="n">
        <f aca="false">IF(C15&lt;0.045,1,0)</f>
        <v>0</v>
      </c>
      <c r="F15" s="44" t="n">
        <f aca="false">IF(B15&lt;0,1,0)</f>
        <v>0</v>
      </c>
      <c r="G15" s="44" t="n">
        <f aca="false">MIN(6,MIN(3,INT(MAX(0,Inputs_Banks!$BA14-C15)/p_notch_step))+D15+2*E15)</f>
        <v>3</v>
      </c>
      <c r="H15" s="39" t="n">
        <f aca="false">C15-Inputs_Banks!$I14</f>
        <v>-0.018049388190631</v>
      </c>
      <c r="I15" s="44" t="n">
        <f aca="false">RANK(H15,$H$7:$H$30,1)</f>
        <v>15</v>
      </c>
      <c r="J15" s="44" t="n">
        <f aca="false">MAX(IF(I15&lt;=g_n_weak,1,0),E15)</f>
        <v>0</v>
      </c>
      <c r="K15" s="44" t="n">
        <f aca="false">IF(I15&gt;12,1,0)*(1-E15)</f>
        <v>1</v>
      </c>
      <c r="L15" s="35" t="n">
        <f aca="false">INDEX(Inputs_Banks!$AR14:$AX14,1,G15+1)</f>
        <v>0.2784</v>
      </c>
      <c r="M15" s="35" t="n">
        <f aca="false">Inputs_Banks!$AI14*MIN(1,p_u_base+$CD$10*p_u_pan_all+J15*($CD$10*p_u_pan_weak+p_u_mda*D15)+p_u_notch*G15+p_u_fail*E15)</f>
        <v>50.8409999979076</v>
      </c>
      <c r="N15" s="35" t="n">
        <f aca="false">Inputs_Banks!$AK14*MIN(1,p_w_base+p_w_pan*$CD$10+p_w_notch*G15+0.5*D15+1*E15)</f>
        <v>3.414</v>
      </c>
      <c r="O15" s="35" t="n">
        <f aca="false">Inputs_Banks!$AO14*MIN(1,p_cp_base+p_cp_pan*$CD$10+p_cp_notch*G15)</f>
        <v>5.98</v>
      </c>
      <c r="P15" s="35" t="n">
        <f aca="false">Inputs_Banks!$AN14*(p_dh+p_dh_pan*$CD$10+MIN(1,0.5*$CD$17+0.25*G15))</f>
        <v>0.8013914999863</v>
      </c>
      <c r="Q15" s="35" t="n">
        <f aca="false">Modules!$Y14</f>
        <v>19.9439417</v>
      </c>
      <c r="R15" s="35" t="n">
        <f aca="false">Inputs_Banks!$AJ14*K15</f>
        <v>409.379</v>
      </c>
      <c r="S15" s="35" t="n">
        <f aca="false">p_liq_on*$CD$18*SUM($M$7:$M$30)*R15/MAX(0.000000001,SUM($R$7:$R$30))</f>
        <v>35.2815911959607</v>
      </c>
      <c r="T15" s="35" t="n">
        <f aca="false">p_liq_on*(L15+M15+N15+O15+P15+Q15)</f>
        <v>81.258733197894</v>
      </c>
      <c r="U15" s="35" t="n">
        <f aca="false">g_usable*Inputs_Banks!$AG14+p_cb_on*Inputs_Banks!$AQ14+S15</f>
        <v>168.409091195961</v>
      </c>
      <c r="V15" s="35" t="n">
        <f aca="false">MAX(0,T15-U15)</f>
        <v>0</v>
      </c>
      <c r="W15" s="44" t="n">
        <f aca="false">IF(V15&gt;0.9*Inputs_Banks!$BB14,1,0)</f>
        <v>0</v>
      </c>
      <c r="X15" s="43" t="n">
        <f aca="false">MAX(p_htm_forced,(1-p_cb_on)*MIN(1,T15/Inputs_Banks!$AG14)*g_theta_sell)</f>
        <v>0.218908225209844</v>
      </c>
      <c r="Y15" s="35" t="n">
        <f aca="false">MAX(0,Modules!$V14-B15/(Inputs_Banks!$I14+g_del_buf))</f>
        <v>143.319251818288</v>
      </c>
      <c r="Z15" s="35" t="n">
        <f aca="false">MIN(g_del_cap*Inputs_Banks!$BB14,Y15)</f>
        <v>1.1025</v>
      </c>
      <c r="AA15" s="35" t="n">
        <f aca="false">MIN(Inputs_Banks!$BB14,V15+Z15)</f>
        <v>1.1025</v>
      </c>
      <c r="AB15" s="35" t="n">
        <f aca="false">$AA15*Holdings!Q14</f>
        <v>0</v>
      </c>
      <c r="AC15" s="35" t="n">
        <f aca="false">$AA15*Holdings!R14</f>
        <v>0</v>
      </c>
      <c r="AD15" s="35" t="n">
        <f aca="false">$AA15*Holdings!S14</f>
        <v>0</v>
      </c>
      <c r="AE15" s="35" t="n">
        <f aca="false">$AA15*Holdings!T14</f>
        <v>0.085</v>
      </c>
      <c r="AF15" s="35" t="n">
        <f aca="false">$AA15*Holdings!U14</f>
        <v>0</v>
      </c>
      <c r="AG15" s="35" t="n">
        <f aca="false">$AA15*Holdings!V14</f>
        <v>0</v>
      </c>
      <c r="AH15" s="35" t="n">
        <f aca="false">$AA15*Holdings!W14</f>
        <v>0.0425</v>
      </c>
      <c r="AI15" s="35" t="n">
        <f aca="false">$AA15*Holdings!X14</f>
        <v>0</v>
      </c>
      <c r="AJ15" s="35" t="n">
        <f aca="false">$AA15*Holdings!Y14</f>
        <v>0.32</v>
      </c>
      <c r="AK15" s="35" t="n">
        <f aca="false">$AA15*Holdings!Z14</f>
        <v>0</v>
      </c>
      <c r="AL15" s="35" t="n">
        <f aca="false">$AA15*Holdings!AA14</f>
        <v>0</v>
      </c>
      <c r="AM15" s="35" t="n">
        <f aca="false">$AA15*Holdings!AB14</f>
        <v>0</v>
      </c>
      <c r="AN15" s="35" t="n">
        <f aca="false">$AA15*Holdings!AC14</f>
        <v>0.655</v>
      </c>
      <c r="AO15" s="43" t="n">
        <f aca="false">MIN(1,$CD$17+0.5*G15)</f>
        <v>1</v>
      </c>
      <c r="AP15" s="35" t="n">
        <f aca="false">p_liq_on*Inputs_Banks!$AP14*AO15*p_mb_psi</f>
        <v>0.03</v>
      </c>
      <c r="AQ15" s="44" t="n">
        <f aca="false">MAX(F15,E15,W15*(1-p_cb_on))</f>
        <v>0</v>
      </c>
      <c r="AR15" s="35" t="n">
        <f aca="false">p_ib_on*p_lgd_ib*g_s_in*g_u_ib*SUMPRODUCT(Network!K$6:K$29,$AQ$7:$AQ$30)</f>
        <v>0.0862265643880522</v>
      </c>
      <c r="AS15" s="35" t="n">
        <f aca="false">p_sw_M1*(SUMPRODUCT(BDC_EAD!K$106:K$127,$BF$7:$BF$28)+SUMPRODUCT(BDC_EAD!K$131:K$152,$BG$7:$BG$28)+(Inputs_Banks!$Y14+p_ccf_bl*Inputs_Banks!$Z14)*$CD$30+Modules!$E14)</f>
        <v>29.6250912213524</v>
      </c>
      <c r="AT15" s="35" t="n">
        <f aca="false">p_sw_M3*(Inputs_Banks!$U14+p_ccf_abf*Inputs_Banks!$V14)*$CD$31</f>
        <v>0</v>
      </c>
      <c r="AU15" s="35" t="n">
        <f aca="false">p_sw_M10*Inputs_Banks!$AC14*$CD$32</f>
        <v>0</v>
      </c>
      <c r="AV15" s="35" t="n">
        <f aca="false">p_sw_M8*(Modules!$M14+Modules!$N14*IF(p_liq_on&gt;0,X15,p_htm_forced))</f>
        <v>3.79856885809665</v>
      </c>
      <c r="AW15" s="35" t="n">
        <f aca="false">SUMPRODUCT(Holdings!$C14:$O14,Holdings!$C$32:$O$32,$AB$32:$AN$32)+Inputs_Banks!$P14*$AL$32</f>
        <v>0.344928509418779</v>
      </c>
      <c r="AX15" s="35" t="n">
        <f aca="false">Modules!$T14+AS15+AT15+AU15+AV15+AW15+AR15</f>
        <v>37.9394901532559</v>
      </c>
      <c r="AY15" s="35" t="n">
        <f aca="false">Modules!$U14-(1-p_tax)*AX15</f>
        <v>8.36050984674408</v>
      </c>
      <c r="AZ15" s="39" t="n">
        <f aca="false">AY15/Modules!$V14</f>
        <v>0.0179277740182013</v>
      </c>
      <c r="BA15" s="48" t="s">
        <v>644</v>
      </c>
      <c r="BB15" s="43" t="n">
        <f aca="false">INDEX($BJ$7:$BJ$40,BDC_EAD!$B14)</f>
        <v>0.440432081152052</v>
      </c>
      <c r="BC15" s="43" t="n">
        <f aca="false">INDEX($BK$7:$BK$40,BDC_EAD!$B14)</f>
        <v>0.0593587763935809</v>
      </c>
      <c r="BD15" s="22" t="n">
        <f aca="false">INDEX(BDC!$Q$6:$Q$39,BDC_EAD!$B14)</f>
        <v>0.198013452914798</v>
      </c>
      <c r="BE15" s="43" t="n">
        <f aca="false">BB15*(1-$AK$32)-BC15-p_c_liq</f>
        <v>0.132878868240048</v>
      </c>
      <c r="BF15" s="43" t="n">
        <f aca="false">p_phi*MAX(0,p_a_spv-BE15)/p_a_spv+(1-p_phi)*MAX(0,p_a_spv-BB15)/p_a_spv</f>
        <v>0.722300698825074</v>
      </c>
      <c r="BG15" s="43" t="n">
        <f aca="false">IF(BD15&gt;0,p_phi*MAX(0,BD15-BE15)/BD15+(1-p_phi)*MAX(0,BD15-BB15)/BD15,0)</f>
        <v>0.263152159475859</v>
      </c>
      <c r="BI15" s="12" t="str">
        <f aca="false">BDC!$A$14</f>
        <v>OTF</v>
      </c>
      <c r="BJ15" s="43" t="n">
        <f aca="false">1-((1-BDC!$D$14)*$CD$23+BDC!$D$14*$CD$24)-p_gap-$CD$13*(1-BDC!$M$14)</f>
        <v>0.261914595456692</v>
      </c>
      <c r="BK15" s="43" t="n">
        <f aca="false">(1-BDC!$D$14)*$CD$25+BDC!$D$14*$CD$26</f>
        <v>0.0568250746645116</v>
      </c>
      <c r="BL15" s="45" t="n">
        <f aca="false">BJ15/BDC!$K$14</f>
        <v>0.537614169621631</v>
      </c>
      <c r="BM15" s="35" t="n">
        <f aca="false">IF(BL15&lt;1.5,BDC!$C$14,0)</f>
        <v>14.68</v>
      </c>
      <c r="BN15" s="43" t="n">
        <f aca="false">MAX(0,1-BJ15*(1-CE_mig_hc)-p_bb_cush)*BDC!$Q$14</f>
        <v>0.23031152919963</v>
      </c>
      <c r="BO15" s="43" t="n">
        <f aca="false">MAX(0,BDC!$K$14-BJ15/1.5)</f>
        <v>0.312569756875026</v>
      </c>
      <c r="BP15" s="43" t="n">
        <f aca="false">MIN(MIN(1,BDC!$H$14*$CD$16),$CD$15)</f>
        <v>0</v>
      </c>
      <c r="BQ15" s="43" t="n">
        <f aca="false">BDC!$I$14*BDC!$J$14*BP15*(1-0.3)</f>
        <v>0</v>
      </c>
      <c r="BR15" s="45" t="n">
        <f aca="false">BDC!$C$14*($CD$14*MAX(BN15,BO15)+BQ15)</f>
        <v>4.58852403082341</v>
      </c>
      <c r="CC15" s="10" t="s">
        <v>981</v>
      </c>
      <c r="CD15" s="43" t="n">
        <f aca="false">p_red_rate+p_red_pan*$CD$10</f>
        <v>0.249999999977776</v>
      </c>
    </row>
    <row r="16" customFormat="false" ht="15" hidden="false" customHeight="true" outlineLevel="0" collapsed="false">
      <c r="A16" s="10" t="s">
        <v>514</v>
      </c>
      <c r="B16" s="35" t="n">
        <f aca="false">Modules!$W15</f>
        <v>-1.68208281992903</v>
      </c>
      <c r="C16" s="39" t="n">
        <f aca="false">Modules!$X15</f>
        <v>-0.0110774117533918</v>
      </c>
      <c r="D16" s="44" t="n">
        <f aca="false">IF(C16&lt;Inputs_Banks!$I15,1,0)</f>
        <v>1</v>
      </c>
      <c r="E16" s="44" t="n">
        <f aca="false">IF(C16&lt;0.045,1,0)</f>
        <v>1</v>
      </c>
      <c r="F16" s="44" t="n">
        <f aca="false">IF(B16&lt;0,1,0)</f>
        <v>1</v>
      </c>
      <c r="G16" s="44" t="n">
        <f aca="false">MIN(6,MIN(3,INT(MAX(0,Inputs_Banks!$BA15-C16)/p_notch_step))+D16+2*E16)</f>
        <v>6</v>
      </c>
      <c r="H16" s="39" t="n">
        <f aca="false">C16-Inputs_Banks!$I15</f>
        <v>-0.0910774117533918</v>
      </c>
      <c r="I16" s="44" t="n">
        <f aca="false">RANK(H16,$H$7:$H$30,1)</f>
        <v>1</v>
      </c>
      <c r="J16" s="44" t="n">
        <f aca="false">MAX(IF(I16&lt;=g_n_weak,1,0),E16)</f>
        <v>1</v>
      </c>
      <c r="K16" s="44" t="n">
        <f aca="false">IF(I16&gt;12,1,0)*(1-E16)</f>
        <v>0</v>
      </c>
      <c r="L16" s="35" t="n">
        <f aca="false">INDEX(Inputs_Banks!$AR15:$AX15,1,G16+1)</f>
        <v>1.65</v>
      </c>
      <c r="M16" s="35" t="n">
        <f aca="false">Inputs_Banks!$AI15*MIN(1,p_u_base+$CD$10*p_u_pan_all+J16*($CD$10*p_u_pan_weak+p_u_mda*D16)+p_u_notch*G16+p_u_fail*E16)</f>
        <v>232.746819986243</v>
      </c>
      <c r="N16" s="35" t="n">
        <f aca="false">Inputs_Banks!$AK15*MIN(1,p_w_base+p_w_pan*$CD$10+p_w_notch*G16+0.5*D16+1*E16)</f>
        <v>4.372</v>
      </c>
      <c r="O16" s="35" t="n">
        <f aca="false">Inputs_Banks!$AO15*MIN(1,p_cp_base+p_cp_pan*$CD$10+p_cp_notch*G16)</f>
        <v>0</v>
      </c>
      <c r="P16" s="35" t="n">
        <f aca="false">Inputs_Banks!$AN15*(p_dh+p_dh_pan*$CD$10+MIN(1,0.5*$CD$17+0.25*G16))</f>
        <v>0.0768480629526813</v>
      </c>
      <c r="Q16" s="35" t="n">
        <f aca="false">Modules!$Y15</f>
        <v>9.3479398</v>
      </c>
      <c r="R16" s="35" t="n">
        <f aca="false">Inputs_Banks!$AJ15*K16</f>
        <v>0</v>
      </c>
      <c r="S16" s="35" t="n">
        <f aca="false">p_liq_on*$CD$18*SUM($M$7:$M$30)*R16/MAX(0.000000001,SUM($R$7:$R$30))</f>
        <v>0</v>
      </c>
      <c r="T16" s="35" t="n">
        <f aca="false">p_liq_on*(L16+M16+N16+O16+P16+Q16)</f>
        <v>248.193607849196</v>
      </c>
      <c r="U16" s="35" t="n">
        <f aca="false">g_usable*Inputs_Banks!$AG15+p_cb_on*Inputs_Banks!$AQ15+S16</f>
        <v>131.22555</v>
      </c>
      <c r="V16" s="35" t="n">
        <f aca="false">MAX(0,T16-U16)</f>
        <v>116.968057849196</v>
      </c>
      <c r="W16" s="44" t="n">
        <f aca="false">IF(V16&gt;0.9*Inputs_Banks!$BB15,1,0)</f>
        <v>1</v>
      </c>
      <c r="X16" s="43" t="n">
        <f aca="false">MAX(p_htm_forced,(1-p_cb_on)*MIN(1,T16/Inputs_Banks!$AG15)*g_theta_sell)</f>
        <v>0.25</v>
      </c>
      <c r="Y16" s="35" t="n">
        <f aca="false">MAX(0,Modules!$V15-B16/(Inputs_Banks!$I15+g_del_buf))</f>
        <v>171.637209646224</v>
      </c>
      <c r="Z16" s="35" t="n">
        <f aca="false">MIN(g_del_cap*Inputs_Banks!$BB15,Y16)</f>
        <v>4.0175</v>
      </c>
      <c r="AA16" s="35" t="n">
        <f aca="false">MIN(Inputs_Banks!$BB15,V16+Z16)</f>
        <v>16.07</v>
      </c>
      <c r="AB16" s="35" t="n">
        <f aca="false">$AA16*Holdings!Q15</f>
        <v>0</v>
      </c>
      <c r="AC16" s="35" t="n">
        <f aca="false">$AA16*Holdings!R15</f>
        <v>0</v>
      </c>
      <c r="AD16" s="35" t="n">
        <f aca="false">$AA16*Holdings!S15</f>
        <v>0</v>
      </c>
      <c r="AE16" s="35" t="n">
        <f aca="false">$AA16*Holdings!T15</f>
        <v>0.03</v>
      </c>
      <c r="AF16" s="35" t="n">
        <f aca="false">$AA16*Holdings!U15</f>
        <v>0.12</v>
      </c>
      <c r="AG16" s="35" t="n">
        <f aca="false">$AA16*Holdings!V15</f>
        <v>0</v>
      </c>
      <c r="AH16" s="35" t="n">
        <f aca="false">$AA16*Holdings!W15</f>
        <v>0</v>
      </c>
      <c r="AI16" s="35" t="n">
        <f aca="false">$AA16*Holdings!X15</f>
        <v>4.01</v>
      </c>
      <c r="AJ16" s="35" t="n">
        <f aca="false">$AA16*Holdings!Y15</f>
        <v>11.79</v>
      </c>
      <c r="AK16" s="35" t="n">
        <f aca="false">$AA16*Holdings!Z15</f>
        <v>0</v>
      </c>
      <c r="AL16" s="35" t="n">
        <f aca="false">$AA16*Holdings!AA15</f>
        <v>0</v>
      </c>
      <c r="AM16" s="35" t="n">
        <f aca="false">$AA16*Holdings!AB15</f>
        <v>0</v>
      </c>
      <c r="AN16" s="35" t="n">
        <f aca="false">$AA16*Holdings!AC15</f>
        <v>0.12</v>
      </c>
      <c r="AO16" s="43" t="n">
        <f aca="false">MIN(1,$CD$17+0.5*G16)</f>
        <v>1</v>
      </c>
      <c r="AP16" s="35" t="n">
        <f aca="false">p_liq_on*Inputs_Banks!$AP15*AO16*p_mb_psi</f>
        <v>0</v>
      </c>
      <c r="AQ16" s="44" t="n">
        <f aca="false">MAX(F16,E16,W16*(1-p_cb_on))</f>
        <v>1</v>
      </c>
      <c r="AR16" s="35" t="n">
        <f aca="false">p_ib_on*p_lgd_ib*g_s_in*g_u_ib*SUMPRODUCT(Network!L$6:L$29,$AQ$7:$AQ$30)</f>
        <v>0.220702975425623</v>
      </c>
      <c r="AS16" s="35" t="n">
        <f aca="false">p_sw_M1*(SUMPRODUCT(BDC_EAD!L$106:L$127,$BF$7:$BF$28)+SUMPRODUCT(BDC_EAD!L$131:L$152,$BG$7:$BG$28)+(Inputs_Banks!$Y15+p_ccf_bl*Inputs_Banks!$Z15)*$CD$30+Modules!$E15)</f>
        <v>21.1544650698209</v>
      </c>
      <c r="AT16" s="35" t="n">
        <f aca="false">p_sw_M3*(Inputs_Banks!$U15+p_ccf_abf*Inputs_Banks!$V15)*$CD$31</f>
        <v>0</v>
      </c>
      <c r="AU16" s="35" t="n">
        <f aca="false">p_sw_M10*Inputs_Banks!$AC15*$CD$32</f>
        <v>0</v>
      </c>
      <c r="AV16" s="35" t="n">
        <f aca="false">p_sw_M8*(Modules!$M15+Modules!$N15*IF(p_liq_on&gt;0,X16,p_htm_forced))</f>
        <v>3.383275</v>
      </c>
      <c r="AW16" s="35" t="n">
        <f aca="false">SUMPRODUCT(Holdings!$C15:$O15,Holdings!$C$32:$O$32,$AB$32:$AN$32)+Inputs_Banks!$P15*$AL$32</f>
        <v>1.99556760768275</v>
      </c>
      <c r="AX16" s="35" t="n">
        <f aca="false">Modules!$T15+AS16+AT16+AU16+AV16+AW16+AR16</f>
        <v>29.2178806529293</v>
      </c>
      <c r="AY16" s="35" t="n">
        <f aca="false">Modules!$U15-(1-p_tax)*AX16</f>
        <v>-13.8178806529293</v>
      </c>
      <c r="AZ16" s="39" t="n">
        <f aca="false">AY16/Modules!$V15</f>
        <v>-0.0909981076664115</v>
      </c>
      <c r="BA16" s="48" t="s">
        <v>654</v>
      </c>
      <c r="BB16" s="43" t="n">
        <f aca="false">INDEX($BJ$7:$BJ$40,BDC_EAD!$B15)</f>
        <v>0.402673902886958</v>
      </c>
      <c r="BC16" s="43" t="n">
        <f aca="false">INDEX($BK$7:$BK$40,BDC_EAD!$B15)</f>
        <v>0.0617434368444696</v>
      </c>
      <c r="BD16" s="22" t="n">
        <f aca="false">INDEX(BDC!$Q$6:$Q$39,BDC_EAD!$B15)</f>
        <v>0.211491525423729</v>
      </c>
      <c r="BE16" s="43" t="n">
        <f aca="false">BB16*(1-$AK$32)-BC16-p_c_liq</f>
        <v>0.109727209743357</v>
      </c>
      <c r="BF16" s="43" t="n">
        <f aca="false">p_phi*MAX(0,p_a_spv-BE16)/p_a_spv+(1-p_phi)*MAX(0,p_a_spv-BB16)/p_a_spv</f>
        <v>0.759547788039889</v>
      </c>
      <c r="BG16" s="43" t="n">
        <f aca="false">IF(BD16&gt;0,p_phi*MAX(0,BD16-BE16)/BD16+(1-p_phi)*MAX(0,BD16-BB16)/BD16,0)</f>
        <v>0.384939549616408</v>
      </c>
      <c r="BI16" s="12" t="str">
        <f aca="false">BDC!$A$15</f>
        <v>BXSL</v>
      </c>
      <c r="BJ16" s="43" t="n">
        <f aca="false">1-((1-BDC!$D$15)*$CD$23+BDC!$D$15*$CD$24)-p_gap-$CD$13*(1-BDC!$M$15)</f>
        <v>0.489308710627635</v>
      </c>
      <c r="BK16" s="43" t="n">
        <f aca="false">(1-BDC!$D$15)*$CD$25+BDC!$D$15*$CD$26</f>
        <v>0.0620042590812855</v>
      </c>
      <c r="BL16" s="45" t="n">
        <f aca="false">BJ16/BDC!$K$15</f>
        <v>0.874591159940733</v>
      </c>
      <c r="BM16" s="35" t="n">
        <f aca="false">IF(BL16&lt;1.5,BDC!$C$15,0)</f>
        <v>13.36</v>
      </c>
      <c r="BN16" s="43" t="n">
        <f aca="false">MAX(0,1-BJ16*(1-CE_mig_hc)-p_bb_cush)*BDC!$Q$15</f>
        <v>0.0982736463020586</v>
      </c>
      <c r="BO16" s="43" t="n">
        <f aca="false">MAX(0,BDC!$K$15-BJ16/1.5)</f>
        <v>0.233265558553677</v>
      </c>
      <c r="BP16" s="43" t="n">
        <f aca="false">MIN(MIN(1,BDC!$H$15*$CD$16),$CD$15)</f>
        <v>0</v>
      </c>
      <c r="BQ16" s="43" t="n">
        <f aca="false">BDC!$I$15*BDC!$J$15*BP16*(1-0.3)</f>
        <v>0</v>
      </c>
      <c r="BR16" s="45" t="n">
        <f aca="false">BDC!$C$15*($CD$14*MAX(BN16,BO16)+BQ16)</f>
        <v>3.11642786220786</v>
      </c>
      <c r="CC16" s="10" t="s">
        <v>982</v>
      </c>
      <c r="CD16" s="45" t="n">
        <f aca="false">1+p_req_pan*$CD$10</f>
        <v>2.99999999955552</v>
      </c>
    </row>
    <row r="17" customFormat="false" ht="15" hidden="false" customHeight="true" outlineLevel="0" collapsed="false">
      <c r="A17" s="10" t="s">
        <v>516</v>
      </c>
      <c r="B17" s="35" t="n">
        <f aca="false">Modules!$W16</f>
        <v>14.7475072558338</v>
      </c>
      <c r="C17" s="39" t="n">
        <f aca="false">Modules!$X16</f>
        <v>0.0711944698172953</v>
      </c>
      <c r="D17" s="44" t="n">
        <f aca="false">IF(C17&lt;Inputs_Banks!$I16,1,0)</f>
        <v>1</v>
      </c>
      <c r="E17" s="44" t="n">
        <f aca="false">IF(C17&lt;0.045,1,0)</f>
        <v>0</v>
      </c>
      <c r="F17" s="44" t="n">
        <f aca="false">IF(B17&lt;0,1,0)</f>
        <v>0</v>
      </c>
      <c r="G17" s="44" t="n">
        <f aca="false">MIN(6,MIN(3,INT(MAX(0,Inputs_Banks!$BA16-C17)/p_notch_step))+D17+2*E17)</f>
        <v>2</v>
      </c>
      <c r="H17" s="39" t="n">
        <f aca="false">C17-Inputs_Banks!$I16</f>
        <v>-0.0138055301827047</v>
      </c>
      <c r="I17" s="44" t="n">
        <f aca="false">RANK(H17,$H$7:$H$30,1)</f>
        <v>16</v>
      </c>
      <c r="J17" s="44" t="n">
        <f aca="false">MAX(IF(I17&lt;=g_n_weak,1,0),E17)</f>
        <v>0</v>
      </c>
      <c r="K17" s="44" t="n">
        <f aca="false">IF(I17&gt;12,1,0)*(1-E17)</f>
        <v>1</v>
      </c>
      <c r="L17" s="35" t="n">
        <f aca="false">INDEX(Inputs_Banks!$AR16:$AX16,1,G17+1)</f>
        <v>0.0396</v>
      </c>
      <c r="M17" s="35" t="n">
        <f aca="false">Inputs_Banks!$AI16*MIN(1,p_u_base+$CD$10*p_u_pan_all+J17*($CD$10*p_u_pan_weak+p_u_mda*D17)+p_u_notch*G17+p_u_fail*E17)</f>
        <v>58.4298899971771</v>
      </c>
      <c r="N17" s="35" t="n">
        <f aca="false">Inputs_Banks!$AK16*MIN(1,p_w_base+p_w_pan*$CD$10+p_w_notch*G17+0.5*D17+1*E17)</f>
        <v>5.217</v>
      </c>
      <c r="O17" s="35" t="n">
        <f aca="false">Inputs_Banks!$AO16*MIN(1,p_cp_base+p_cp_pan*$CD$10+p_cp_notch*G17)</f>
        <v>0</v>
      </c>
      <c r="P17" s="35" t="n">
        <f aca="false">Inputs_Banks!$AN16*(p_dh+p_dh_pan*$CD$10+MIN(1,0.5*$CD$17+0.25*G17))</f>
        <v>5.66399469466613</v>
      </c>
      <c r="Q17" s="35" t="n">
        <f aca="false">Modules!$Y16</f>
        <v>2.4536497</v>
      </c>
      <c r="R17" s="35" t="n">
        <f aca="false">Inputs_Banks!$AJ16*K17</f>
        <v>370.541</v>
      </c>
      <c r="S17" s="35" t="n">
        <f aca="false">p_liq_on*$CD$18*SUM($M$7:$M$30)*R17/MAX(0.000000001,SUM($R$7:$R$30))</f>
        <v>31.9344081727262</v>
      </c>
      <c r="T17" s="35" t="n">
        <f aca="false">p_liq_on*(L17+M17+N17+O17+P17+Q17)</f>
        <v>71.8041343918432</v>
      </c>
      <c r="U17" s="35" t="n">
        <f aca="false">g_usable*Inputs_Banks!$AG16+p_cb_on*Inputs_Banks!$AQ16+S17</f>
        <v>198.634408172726</v>
      </c>
      <c r="V17" s="35" t="n">
        <f aca="false">MAX(0,T17-U17)</f>
        <v>0</v>
      </c>
      <c r="W17" s="44" t="n">
        <f aca="false">IF(V17&gt;0.9*Inputs_Banks!$BB16,1,0)</f>
        <v>0</v>
      </c>
      <c r="X17" s="43" t="n">
        <f aca="false">MAX(p_htm_forced,(1-p_cb_on)*MIN(1,T17/Inputs_Banks!$AG16)*g_theta_sell)</f>
        <v>0.126415729563104</v>
      </c>
      <c r="Y17" s="35" t="n">
        <f aca="false">MAX(0,Modules!$V16-B17/(Inputs_Banks!$I16+g_del_buf))</f>
        <v>43.2828082685132</v>
      </c>
      <c r="Z17" s="35" t="n">
        <f aca="false">MIN(g_del_cap*Inputs_Banks!$BB16,Y17)</f>
        <v>6.73</v>
      </c>
      <c r="AA17" s="35" t="n">
        <f aca="false">MIN(Inputs_Banks!$BB16,V17+Z17)</f>
        <v>6.73</v>
      </c>
      <c r="AB17" s="35" t="n">
        <f aca="false">$AA17*Holdings!Q16</f>
        <v>0</v>
      </c>
      <c r="AC17" s="35" t="n">
        <f aca="false">$AA17*Holdings!R16</f>
        <v>0</v>
      </c>
      <c r="AD17" s="35" t="n">
        <f aca="false">$AA17*Holdings!S16</f>
        <v>0</v>
      </c>
      <c r="AE17" s="35" t="n">
        <f aca="false">$AA17*Holdings!T16</f>
        <v>0.0025</v>
      </c>
      <c r="AF17" s="35" t="n">
        <f aca="false">$AA17*Holdings!U16</f>
        <v>2.1425</v>
      </c>
      <c r="AG17" s="35" t="n">
        <f aca="false">$AA17*Holdings!V16</f>
        <v>0</v>
      </c>
      <c r="AH17" s="35" t="n">
        <f aca="false">$AA17*Holdings!W16</f>
        <v>0</v>
      </c>
      <c r="AI17" s="35" t="n">
        <f aca="false">$AA17*Holdings!X16</f>
        <v>2.2125</v>
      </c>
      <c r="AJ17" s="35" t="n">
        <f aca="false">$AA17*Holdings!Y16</f>
        <v>0.95</v>
      </c>
      <c r="AK17" s="35" t="n">
        <f aca="false">$AA17*Holdings!Z16</f>
        <v>0</v>
      </c>
      <c r="AL17" s="35" t="n">
        <f aca="false">$AA17*Holdings!AA16</f>
        <v>0</v>
      </c>
      <c r="AM17" s="35" t="n">
        <f aca="false">$AA17*Holdings!AB16</f>
        <v>0</v>
      </c>
      <c r="AN17" s="35" t="n">
        <f aca="false">$AA17*Holdings!AC16</f>
        <v>1.4225</v>
      </c>
      <c r="AO17" s="43" t="n">
        <f aca="false">MIN(1,$CD$17+0.5*G17)</f>
        <v>1</v>
      </c>
      <c r="AP17" s="35" t="n">
        <f aca="false">p_liq_on*Inputs_Banks!$AP16*AO17*p_mb_psi</f>
        <v>0.42</v>
      </c>
      <c r="AQ17" s="44" t="n">
        <f aca="false">MAX(F17,E17,W17*(1-p_cb_on))</f>
        <v>0</v>
      </c>
      <c r="AR17" s="35" t="n">
        <f aca="false">p_ib_on*p_lgd_ib*g_s_in*g_u_ib*SUMPRODUCT(Network!M$6:M$29,$AQ$7:$AQ$30)</f>
        <v>0.541986573899888</v>
      </c>
      <c r="AS17" s="35" t="n">
        <f aca="false">p_sw_M1*(SUMPRODUCT(BDC_EAD!M$106:M$127,$BF$7:$BF$28)+SUMPRODUCT(BDC_EAD!M$131:M$152,$BG$7:$BG$28)+(Inputs_Banks!$Y16+p_ccf_bl*Inputs_Banks!$Z16)*$CD$30+Modules!$E16)</f>
        <v>0.407121874986524</v>
      </c>
      <c r="AT17" s="35" t="n">
        <f aca="false">p_sw_M3*(Inputs_Banks!$U16+p_ccf_abf*Inputs_Banks!$V16)*$CD$31</f>
        <v>0</v>
      </c>
      <c r="AU17" s="35" t="n">
        <f aca="false">p_sw_M10*Inputs_Banks!$AC16*$CD$32</f>
        <v>0</v>
      </c>
      <c r="AV17" s="35" t="n">
        <f aca="false">p_sw_M8*(Modules!$M16+Modules!$N16*IF(p_liq_on&gt;0,X17,p_htm_forced))</f>
        <v>3.42242593188964</v>
      </c>
      <c r="AW17" s="35" t="n">
        <f aca="false">SUMPRODUCT(Holdings!$C16:$O16,Holdings!$C$32:$O$32,$AB$32:$AN$32)+Inputs_Banks!$P16*$AL$32</f>
        <v>2.61706083984046</v>
      </c>
      <c r="AX17" s="35" t="n">
        <f aca="false">Modules!$T16+AS17+AT17+AU17+AV17+AW17+AR17</f>
        <v>10.4571247206165</v>
      </c>
      <c r="AY17" s="35" t="n">
        <f aca="false">Modules!$U16-(1-p_tax)*AX17</f>
        <v>10.5428752793835</v>
      </c>
      <c r="AZ17" s="39" t="n">
        <f aca="false">AY17/Modules!$V16</f>
        <v>0.0508963584722873</v>
      </c>
      <c r="BA17" s="48" t="s">
        <v>635</v>
      </c>
      <c r="BB17" s="43" t="n">
        <f aca="false">INDEX($BJ$7:$BJ$40,BDC_EAD!$B16)</f>
        <v>0.412682242148026</v>
      </c>
      <c r="BC17" s="43" t="n">
        <f aca="false">INDEX($BK$7:$BK$40,BDC_EAD!$B16)</f>
        <v>0.0624886432353723</v>
      </c>
      <c r="BD17" s="22" t="n">
        <f aca="false">INDEX(BDC!$Q$6:$Q$39,BDC_EAD!$B16)</f>
        <v>0.274</v>
      </c>
      <c r="BE17" s="43" t="n">
        <f aca="false">BB17*(1-$AK$32)-BC17-p_c_liq</f>
        <v>0.114486589946042</v>
      </c>
      <c r="BF17" s="43" t="n">
        <f aca="false">p_phi*MAX(0,p_a_spv-BE17)/p_a_spv+(1-p_phi)*MAX(0,p_a_spv-BB17)/p_a_spv</f>
        <v>0.751248970876516</v>
      </c>
      <c r="BG17" s="43" t="n">
        <f aca="false">IF(BD17&gt;0,p_phi*MAX(0,BD17-BE17)/BD17+(1-p_phi)*MAX(0,BD17-BB17)/BD17,0)</f>
        <v>0.465732584099148</v>
      </c>
      <c r="BI17" s="12" t="str">
        <f aca="false">BDC!$A$16</f>
        <v>FSK</v>
      </c>
      <c r="BJ17" s="43" t="n">
        <f aca="false">1-((1-BDC!$D$16)*$CD$23+BDC!$D$16*$CD$24)-p_gap-$CD$13*(1-BDC!$M$16)</f>
        <v>0.329896338858821</v>
      </c>
      <c r="BK17" s="43" t="n">
        <f aca="false">(1-BDC!$D$16)*$CD$25+BDC!$D$16*$CD$26</f>
        <v>0.0624513829158272</v>
      </c>
      <c r="BL17" s="45" t="n">
        <f aca="false">BJ17/BDC!$K$16</f>
        <v>0.591718830016615</v>
      </c>
      <c r="BM17" s="35" t="n">
        <f aca="false">IF(BL17&lt;1.5,BDC!$C$16,0)</f>
        <v>11.42</v>
      </c>
      <c r="BN17" s="43" t="n">
        <f aca="false">MAX(0,1-BJ17*(1-CE_mig_hc)-p_bb_cush)*BDC!$Q$16</f>
        <v>0.113991293242136</v>
      </c>
      <c r="BO17" s="43" t="n">
        <f aca="false">MAX(0,BDC!$K$16-BJ17/1.5)</f>
        <v>0.337591231321258</v>
      </c>
      <c r="BP17" s="43" t="n">
        <f aca="false">MIN(MIN(1,BDC!$H$16*$CD$16),$CD$15)</f>
        <v>0</v>
      </c>
      <c r="BQ17" s="43" t="n">
        <f aca="false">BDC!$I$16*BDC!$J$16*BP17*(1-0.3)</f>
        <v>0</v>
      </c>
      <c r="BR17" s="45" t="n">
        <f aca="false">BDC!$C$16*($CD$14*MAX(BN17,BO17)+BQ17)</f>
        <v>3.85529186160309</v>
      </c>
      <c r="CC17" s="10" t="s">
        <v>983</v>
      </c>
      <c r="CD17" s="43" t="n">
        <f aca="false">p_pull_base+p_pull_pan*$CD$10</f>
        <v>1.24999999988888</v>
      </c>
    </row>
    <row r="18" customFormat="false" ht="15" hidden="false" customHeight="true" outlineLevel="0" collapsed="false">
      <c r="A18" s="10" t="s">
        <v>518</v>
      </c>
      <c r="B18" s="35" t="n">
        <f aca="false">Modules!$W17</f>
        <v>13.452100872806</v>
      </c>
      <c r="C18" s="39" t="n">
        <f aca="false">Modules!$X17</f>
        <v>0.0674737213234118</v>
      </c>
      <c r="D18" s="44" t="n">
        <f aca="false">IF(C18&lt;Inputs_Banks!$I17,1,0)</f>
        <v>1</v>
      </c>
      <c r="E18" s="44" t="n">
        <f aca="false">IF(C18&lt;0.045,1,0)</f>
        <v>0</v>
      </c>
      <c r="F18" s="44" t="n">
        <f aca="false">IF(B18&lt;0,1,0)</f>
        <v>0</v>
      </c>
      <c r="G18" s="44" t="n">
        <f aca="false">MIN(6,MIN(3,INT(MAX(0,Inputs_Banks!$BA17-C18)/p_notch_step))+D18+2*E18)</f>
        <v>2</v>
      </c>
      <c r="H18" s="39" t="n">
        <f aca="false">C18-Inputs_Banks!$I17</f>
        <v>-0.00252627867658818</v>
      </c>
      <c r="I18" s="44" t="n">
        <f aca="false">RANK(H18,$H$7:$H$30,1)</f>
        <v>19</v>
      </c>
      <c r="J18" s="44" t="n">
        <f aca="false">MAX(IF(I18&lt;=g_n_weak,1,0),E18)</f>
        <v>0</v>
      </c>
      <c r="K18" s="44" t="n">
        <f aca="false">IF(I18&gt;12,1,0)*(1-E18)</f>
        <v>1</v>
      </c>
      <c r="L18" s="35" t="n">
        <f aca="false">INDEX(Inputs_Banks!$AR17:$AX17,1,G18+1)</f>
        <v>0.11828</v>
      </c>
      <c r="M18" s="35" t="n">
        <f aca="false">Inputs_Banks!$AI17*MIN(1,p_u_base+$CD$10*p_u_pan_all+J18*($CD$10*p_u_pan_weak+p_u_mda*D18)+p_u_notch*G18+p_u_fail*E18)</f>
        <v>14.9637999992771</v>
      </c>
      <c r="N18" s="35" t="n">
        <f aca="false">Inputs_Banks!$AK17*MIN(1,p_w_base+p_w_pan*$CD$10+p_w_notch*G18+0.5*D18+1*E18)</f>
        <v>0</v>
      </c>
      <c r="O18" s="35" t="n">
        <f aca="false">Inputs_Banks!$AO17*MIN(1,p_cp_base+p_cp_pan*$CD$10+p_cp_notch*G18)</f>
        <v>0</v>
      </c>
      <c r="P18" s="35" t="n">
        <f aca="false">Inputs_Banks!$AN17*(p_dh+p_dh_pan*$CD$10+MIN(1,0.5*$CD$17+0.25*G18))</f>
        <v>0.0207479999996453</v>
      </c>
      <c r="Q18" s="35" t="n">
        <f aca="false">Modules!$Y17</f>
        <v>9.4376065</v>
      </c>
      <c r="R18" s="35" t="n">
        <f aca="false">Inputs_Banks!$AJ17*K18</f>
        <v>173.427</v>
      </c>
      <c r="S18" s="35" t="n">
        <f aca="false">p_liq_on*$CD$18*SUM($M$7:$M$30)*R18/MAX(0.000000001,SUM($R$7:$R$30))</f>
        <v>14.9464933871593</v>
      </c>
      <c r="T18" s="35" t="n">
        <f aca="false">p_liq_on*(L18+M18+N18+O18+P18+Q18)</f>
        <v>24.5404344992767</v>
      </c>
      <c r="U18" s="35" t="n">
        <f aca="false">g_usable*Inputs_Banks!$AG17+p_cb_on*Inputs_Banks!$AQ17+S18</f>
        <v>80.4754933871593</v>
      </c>
      <c r="V18" s="35" t="n">
        <f aca="false">MAX(0,T18-U18)</f>
        <v>0</v>
      </c>
      <c r="W18" s="44" t="n">
        <f aca="false">IF(V18&gt;0.9*Inputs_Banks!$BB17,1,0)</f>
        <v>0</v>
      </c>
      <c r="X18" s="43" t="n">
        <f aca="false">MAX(p_htm_forced,(1-p_cb_on)*MIN(1,T18/Inputs_Banks!$AG17)*g_theta_sell)</f>
        <v>0.103738732242462</v>
      </c>
      <c r="Y18" s="35" t="n">
        <f aca="false">MAX(0,Modules!$V17-B18/(Inputs_Banks!$I17+g_del_buf))</f>
        <v>20.0066550292538</v>
      </c>
      <c r="Z18" s="35" t="n">
        <f aca="false">MIN(g_del_cap*Inputs_Banks!$BB17,Y18)</f>
        <v>0.04</v>
      </c>
      <c r="AA18" s="35" t="n">
        <f aca="false">MIN(Inputs_Banks!$BB17,V18+Z18)</f>
        <v>0.04</v>
      </c>
      <c r="AB18" s="35" t="n">
        <f aca="false">$AA18*Holdings!Q17</f>
        <v>0</v>
      </c>
      <c r="AC18" s="35" t="n">
        <f aca="false">$AA18*Holdings!R17</f>
        <v>0</v>
      </c>
      <c r="AD18" s="35" t="n">
        <f aca="false">$AA18*Holdings!S17</f>
        <v>0</v>
      </c>
      <c r="AE18" s="35" t="n">
        <f aca="false">$AA18*Holdings!T17</f>
        <v>0.0025</v>
      </c>
      <c r="AF18" s="35" t="n">
        <f aca="false">$AA18*Holdings!U17</f>
        <v>0.0325</v>
      </c>
      <c r="AG18" s="35" t="n">
        <f aca="false">$AA18*Holdings!V17</f>
        <v>0</v>
      </c>
      <c r="AH18" s="35" t="n">
        <f aca="false">$AA18*Holdings!W17</f>
        <v>0</v>
      </c>
      <c r="AI18" s="35" t="n">
        <f aca="false">$AA18*Holdings!X17</f>
        <v>0</v>
      </c>
      <c r="AJ18" s="35" t="n">
        <f aca="false">$AA18*Holdings!Y17</f>
        <v>0.005</v>
      </c>
      <c r="AK18" s="35" t="n">
        <f aca="false">$AA18*Holdings!Z17</f>
        <v>0</v>
      </c>
      <c r="AL18" s="35" t="n">
        <f aca="false">$AA18*Holdings!AA17</f>
        <v>0</v>
      </c>
      <c r="AM18" s="35" t="n">
        <f aca="false">$AA18*Holdings!AB17</f>
        <v>0</v>
      </c>
      <c r="AN18" s="35" t="n">
        <f aca="false">$AA18*Holdings!AC17</f>
        <v>0</v>
      </c>
      <c r="AO18" s="43" t="n">
        <f aca="false">MIN(1,$CD$17+0.5*G18)</f>
        <v>1</v>
      </c>
      <c r="AP18" s="35" t="n">
        <f aca="false">p_liq_on*Inputs_Banks!$AP17*AO18*p_mb_psi</f>
        <v>0</v>
      </c>
      <c r="AQ18" s="44" t="n">
        <f aca="false">MAX(F18,E18,W18*(1-p_cb_on))</f>
        <v>0</v>
      </c>
      <c r="AR18" s="35" t="n">
        <f aca="false">p_ib_on*p_lgd_ib*g_s_in*g_u_ib*SUMPRODUCT(Network!N$6:N$29,$AQ$7:$AQ$30)</f>
        <v>0.0370930841733226</v>
      </c>
      <c r="AS18" s="35" t="n">
        <f aca="false">p_sw_M1*(SUMPRODUCT(BDC_EAD!N$106:N$127,$BF$7:$BF$28)+SUMPRODUCT(BDC_EAD!N$131:N$152,$BG$7:$BG$28)+(Inputs_Banks!$Y17+p_ccf_bl*Inputs_Banks!$Z17)*$CD$30+Modules!$E17)</f>
        <v>2.93860692948092</v>
      </c>
      <c r="AT18" s="35" t="n">
        <f aca="false">p_sw_M3*(Inputs_Banks!$U17+p_ccf_abf*Inputs_Banks!$V17)*$CD$31</f>
        <v>0</v>
      </c>
      <c r="AU18" s="35" t="n">
        <f aca="false">p_sw_M10*Inputs_Banks!$AC17*$CD$32</f>
        <v>0</v>
      </c>
      <c r="AV18" s="35" t="n">
        <f aca="false">p_sw_M8*(Modules!$M17+Modules!$N17*IF(p_liq_on&gt;0,X18,p_htm_forced))</f>
        <v>0.32632626177216</v>
      </c>
      <c r="AW18" s="35" t="n">
        <f aca="false">SUMPRODUCT(Holdings!$C17:$O17,Holdings!$C$32:$O$32,$AB$32:$AN$32)+Inputs_Banks!$P17*$AL$32</f>
        <v>0.0402544673149094</v>
      </c>
      <c r="AX18" s="35" t="n">
        <f aca="false">Modules!$T17+AS18+AT18+AU18+AV18+AW18+AR18</f>
        <v>7.84458074274131</v>
      </c>
      <c r="AY18" s="35" t="n">
        <f aca="false">Modules!$U17-(1-p_tax)*AX18</f>
        <v>12.0404192572587</v>
      </c>
      <c r="AZ18" s="39" t="n">
        <f aca="false">AY18/Modules!$V17</f>
        <v>0.0603929379702795</v>
      </c>
      <c r="BA18" s="48" t="s">
        <v>651</v>
      </c>
      <c r="BB18" s="43" t="n">
        <f aca="false">INDEX($BJ$7:$BJ$40,BDC_EAD!$B17)</f>
        <v>0.494222287764384</v>
      </c>
      <c r="BC18" s="43" t="n">
        <f aca="false">INDEX($BK$7:$BK$40,BDC_EAD!$B17)</f>
        <v>0.0568250746645116</v>
      </c>
      <c r="BD18" s="22" t="n">
        <f aca="false">INDEX(BDC!$Q$6:$Q$39,BDC_EAD!$B17)</f>
        <v>0.253694581280788</v>
      </c>
      <c r="BE18" s="43" t="n">
        <f aca="false">BB18*(1-$AK$32)-BC18-p_c_liq</f>
        <v>0.1649971836059</v>
      </c>
      <c r="BF18" s="43" t="n">
        <f aca="false">p_phi*MAX(0,p_a_spv-BE18)/p_a_spv+(1-p_phi)*MAX(0,p_a_spv-BB18)/p_a_spv</f>
        <v>0.670225422232005</v>
      </c>
      <c r="BG18" s="43" t="n">
        <f aca="false">IF(BD18&gt;0,p_phi*MAX(0,BD18-BE18)/BD18+(1-p_phi)*MAX(0,BD18-BB18)/BD18,0)</f>
        <v>0.279698201600037</v>
      </c>
      <c r="BI18" s="12" t="str">
        <f aca="false">BDC!$A$17</f>
        <v>GCRED</v>
      </c>
      <c r="BJ18" s="43" t="n">
        <f aca="false">1-((1-BDC!$D$17)*$CD$23+BDC!$D$17*$CD$24)-p_gap-$CD$13*(1-BDC!$M$17)</f>
        <v>0.405048197472129</v>
      </c>
      <c r="BK18" s="43" t="n">
        <f aca="false">(1-BDC!$D$17)*$CD$25+BDC!$D$17*$CD$26</f>
        <v>0.0612217923708377</v>
      </c>
      <c r="BL18" s="45" t="n">
        <f aca="false">BJ18/BDC!$K$17</f>
        <v>0.757264021360937</v>
      </c>
      <c r="BM18" s="35" t="n">
        <f aca="false">IF(BL18&lt;1.5,BDC!$C$17,0)</f>
        <v>9.62</v>
      </c>
      <c r="BN18" s="43" t="n">
        <f aca="false">MAX(0,1-BJ18*(1-CE_mig_hc)-p_bb_cush)*BDC!$Q$17</f>
        <v>0.18083675431732</v>
      </c>
      <c r="BO18" s="43" t="n">
        <f aca="false">MAX(0,BDC!$K$17-BJ18/1.5)</f>
        <v>0.264851589282147</v>
      </c>
      <c r="BP18" s="43" t="n">
        <f aca="false">MIN(MIN(1,BDC!$H$17*$CD$16),$CD$15)</f>
        <v>0.149999999977776</v>
      </c>
      <c r="BQ18" s="43" t="n">
        <f aca="false">BDC!$I$17*BDC!$J$17*BP18*(1-0.3)</f>
        <v>0.0488372092950899</v>
      </c>
      <c r="BR18" s="45" t="n">
        <f aca="false">BDC!$C$17*($CD$14*MAX(BN18,BO18)+BQ18)</f>
        <v>3.01768624225639</v>
      </c>
      <c r="CC18" s="10" t="s">
        <v>984</v>
      </c>
      <c r="CD18" s="43" t="n">
        <f aca="false">p_recyc*(1-p_rec_pan*$CD$10)</f>
        <v>0.225000000016668</v>
      </c>
    </row>
    <row r="19" customFormat="false" ht="15" hidden="false" customHeight="true" outlineLevel="0" collapsed="false">
      <c r="A19" s="10" t="s">
        <v>520</v>
      </c>
      <c r="B19" s="35" t="n">
        <f aca="false">Modules!$W18</f>
        <v>11.5744944268449</v>
      </c>
      <c r="C19" s="39" t="n">
        <f aca="false">Modules!$X18</f>
        <v>0.0604462745025428</v>
      </c>
      <c r="D19" s="44" t="n">
        <f aca="false">IF(C19&lt;Inputs_Banks!$I18,1,0)</f>
        <v>1</v>
      </c>
      <c r="E19" s="44" t="n">
        <f aca="false">IF(C19&lt;0.045,1,0)</f>
        <v>0</v>
      </c>
      <c r="F19" s="44" t="n">
        <f aca="false">IF(B19&lt;0,1,0)</f>
        <v>0</v>
      </c>
      <c r="G19" s="44" t="n">
        <f aca="false">MIN(6,MIN(3,INT(MAX(0,Inputs_Banks!$BA18-C19)/p_notch_step))+D19+2*E19)</f>
        <v>2</v>
      </c>
      <c r="H19" s="39" t="n">
        <f aca="false">C19-Inputs_Banks!$I18</f>
        <v>-0.0295537254974572</v>
      </c>
      <c r="I19" s="44" t="n">
        <f aca="false">RANK(H19,$H$7:$H$30,1)</f>
        <v>10</v>
      </c>
      <c r="J19" s="44" t="n">
        <f aca="false">MAX(IF(I19&lt;=g_n_weak,1,0),E19)</f>
        <v>0</v>
      </c>
      <c r="K19" s="44" t="n">
        <f aca="false">IF(I19&gt;12,1,0)*(1-E19)</f>
        <v>0</v>
      </c>
      <c r="L19" s="35" t="n">
        <f aca="false">INDEX(Inputs_Banks!$AR18:$AX18,1,G19+1)</f>
        <v>0.1026</v>
      </c>
      <c r="M19" s="35" t="n">
        <f aca="false">Inputs_Banks!$AI18*MIN(1,p_u_base+$CD$10*p_u_pan_all+J19*($CD$10*p_u_pan_weak+p_u_mda*D19)+p_u_notch*G19+p_u_fail*E19)</f>
        <v>20.6119099990042</v>
      </c>
      <c r="N19" s="35" t="n">
        <f aca="false">Inputs_Banks!$AK18*MIN(1,p_w_base+p_w_pan*$CD$10+p_w_notch*G19+0.5*D19+1*E19)</f>
        <v>1.159</v>
      </c>
      <c r="O19" s="35" t="n">
        <f aca="false">Inputs_Banks!$AO18*MIN(1,p_cp_base+p_cp_pan*$CD$10+p_cp_notch*G19)</f>
        <v>0</v>
      </c>
      <c r="P19" s="35" t="n">
        <f aca="false">Inputs_Banks!$AN18*(p_dh+p_dh_pan*$CD$10+MIN(1,0.5*$CD$17+0.25*G19))</f>
        <v>0</v>
      </c>
      <c r="Q19" s="35" t="n">
        <f aca="false">Modules!$Y18</f>
        <v>9.1258367</v>
      </c>
      <c r="R19" s="35" t="n">
        <f aca="false">Inputs_Banks!$AJ18*K19</f>
        <v>0</v>
      </c>
      <c r="S19" s="35" t="n">
        <f aca="false">p_liq_on*$CD$18*SUM($M$7:$M$30)*R19/MAX(0.000000001,SUM($R$7:$R$30))</f>
        <v>0</v>
      </c>
      <c r="T19" s="35" t="n">
        <f aca="false">p_liq_on*(L19+M19+N19+O19+P19+Q19)</f>
        <v>30.9993466990042</v>
      </c>
      <c r="U19" s="35" t="n">
        <f aca="false">g_usable*Inputs_Banks!$AG18+p_cb_on*Inputs_Banks!$AQ18+S19</f>
        <v>82.755</v>
      </c>
      <c r="V19" s="35" t="n">
        <f aca="false">MAX(0,T19-U19)</f>
        <v>0</v>
      </c>
      <c r="W19" s="44" t="n">
        <f aca="false">IF(V19&gt;0.9*Inputs_Banks!$BB18,1,0)</f>
        <v>0</v>
      </c>
      <c r="X19" s="43" t="n">
        <f aca="false">MAX(p_htm_forced,(1-p_cb_on)*MIN(1,T19/Inputs_Banks!$AG18)*g_theta_sell)</f>
        <v>0.151068941028286</v>
      </c>
      <c r="Y19" s="35" t="n">
        <f aca="false">MAX(0,Modules!$V18-B19/(Inputs_Banks!$I18+g_del_buf))</f>
        <v>69.6472165595274</v>
      </c>
      <c r="Z19" s="35" t="n">
        <f aca="false">MIN(g_del_cap*Inputs_Banks!$BB18,Y19)</f>
        <v>0.1825</v>
      </c>
      <c r="AA19" s="35" t="n">
        <f aca="false">MIN(Inputs_Banks!$BB18,V19+Z19)</f>
        <v>0.1825</v>
      </c>
      <c r="AB19" s="35" t="n">
        <f aca="false">$AA19*Holdings!Q18</f>
        <v>0</v>
      </c>
      <c r="AC19" s="35" t="n">
        <f aca="false">$AA19*Holdings!R18</f>
        <v>0</v>
      </c>
      <c r="AD19" s="35" t="n">
        <f aca="false">$AA19*Holdings!S18</f>
        <v>0</v>
      </c>
      <c r="AE19" s="35" t="n">
        <f aca="false">$AA19*Holdings!T18</f>
        <v>0</v>
      </c>
      <c r="AF19" s="35" t="n">
        <f aca="false">$AA19*Holdings!U18</f>
        <v>0</v>
      </c>
      <c r="AG19" s="35" t="n">
        <f aca="false">$AA19*Holdings!V18</f>
        <v>0</v>
      </c>
      <c r="AH19" s="35" t="n">
        <f aca="false">$AA19*Holdings!W18</f>
        <v>0.0375</v>
      </c>
      <c r="AI19" s="35" t="n">
        <f aca="false">$AA19*Holdings!X18</f>
        <v>0.01</v>
      </c>
      <c r="AJ19" s="35" t="n">
        <f aca="false">$AA19*Holdings!Y18</f>
        <v>0.135</v>
      </c>
      <c r="AK19" s="35" t="n">
        <f aca="false">$AA19*Holdings!Z18</f>
        <v>0</v>
      </c>
      <c r="AL19" s="35" t="n">
        <f aca="false">$AA19*Holdings!AA18</f>
        <v>0</v>
      </c>
      <c r="AM19" s="35" t="n">
        <f aca="false">$AA19*Holdings!AB18</f>
        <v>0</v>
      </c>
      <c r="AN19" s="35" t="n">
        <f aca="false">$AA19*Holdings!AC18</f>
        <v>0</v>
      </c>
      <c r="AO19" s="43" t="n">
        <f aca="false">MIN(1,$CD$17+0.5*G19)</f>
        <v>1</v>
      </c>
      <c r="AP19" s="35" t="n">
        <f aca="false">p_liq_on*Inputs_Banks!$AP18*AO19*p_mb_psi</f>
        <v>0</v>
      </c>
      <c r="AQ19" s="44" t="n">
        <f aca="false">MAX(F19,E19,W19*(1-p_cb_on))</f>
        <v>0</v>
      </c>
      <c r="AR19" s="35" t="n">
        <f aca="false">p_ib_on*p_lgd_ib*g_s_in*g_u_ib*SUMPRODUCT(Network!O$6:O$29,$AQ$7:$AQ$30)</f>
        <v>0.0364958190713664</v>
      </c>
      <c r="AS19" s="35" t="n">
        <f aca="false">p_sw_M1*(SUMPRODUCT(BDC_EAD!O$106:O$127,$BF$7:$BF$28)+SUMPRODUCT(BDC_EAD!O$131:O$152,$BG$7:$BG$28)+(Inputs_Banks!$Y18+p_ccf_bl*Inputs_Banks!$Z18)*$CD$30+Modules!$E18)</f>
        <v>7.14534260124012</v>
      </c>
      <c r="AT19" s="35" t="n">
        <f aca="false">p_sw_M3*(Inputs_Banks!$U18+p_ccf_abf*Inputs_Banks!$V18)*$CD$31</f>
        <v>0</v>
      </c>
      <c r="AU19" s="35" t="n">
        <f aca="false">p_sw_M10*Inputs_Banks!$AC18*$CD$32</f>
        <v>0</v>
      </c>
      <c r="AV19" s="35" t="n">
        <f aca="false">p_sw_M8*(Modules!$M18+Modules!$N18*IF(p_liq_on&gt;0,X19,p_htm_forced))</f>
        <v>0.566429973006736</v>
      </c>
      <c r="AW19" s="35" t="n">
        <f aca="false">SUMPRODUCT(Holdings!$C18:$O18,Holdings!$C$32:$O$32,$AB$32:$AN$32)+Inputs_Banks!$P18*$AL$32</f>
        <v>0.149887487202232</v>
      </c>
      <c r="AX19" s="35" t="n">
        <f aca="false">Modules!$T18+AS19+AT19+AU19+AV19+AW19+AR19</f>
        <v>10.5354558805205</v>
      </c>
      <c r="AY19" s="35" t="n">
        <f aca="false">Modules!$U18-(1-p_tax)*AX19</f>
        <v>8.16454411947955</v>
      </c>
      <c r="AZ19" s="39" t="n">
        <f aca="false">AY19/Modules!$V18</f>
        <v>0.0426382576062728</v>
      </c>
      <c r="BA19" s="48" t="s">
        <v>648</v>
      </c>
      <c r="BB19" s="43" t="n">
        <f aca="false">INDEX($BJ$7:$BJ$40,BDC_EAD!$B18)</f>
        <v>0.556417298800366</v>
      </c>
      <c r="BC19" s="43" t="n">
        <f aca="false">INDEX($BK$7:$BK$40,BDC_EAD!$B18)</f>
        <v>0.0671461831785143</v>
      </c>
      <c r="BD19" s="22" t="n">
        <f aca="false">INDEX(BDC!$Q$6:$Q$39,BDC_EAD!$B18)</f>
        <v>0.103555555555556</v>
      </c>
      <c r="BE19" s="43" t="n">
        <f aca="false">BB19*(1-$AK$32)-BC19-p_c_liq</f>
        <v>0.188883331161687</v>
      </c>
      <c r="BF19" s="43" t="n">
        <f aca="false">p_phi*MAX(0,p_a_spv-BE19)/p_a_spv+(1-p_phi)*MAX(0,p_a_spv-BB19)/p_a_spv</f>
        <v>0.625156964729396</v>
      </c>
      <c r="BG19" s="43" t="n">
        <f aca="false">IF(BD19&gt;0,p_phi*MAX(0,BD19-BE19)/BD19+(1-p_phi)*MAX(0,BD19-BB19)/BD19,0)</f>
        <v>0</v>
      </c>
      <c r="BI19" s="12" t="str">
        <f aca="false">BDC!$A$18</f>
        <v>SSLP</v>
      </c>
      <c r="BJ19" s="43" t="n">
        <f aca="false">1-((1-BDC!$D$18)*$CD$23+BDC!$D$18*$CD$24)-p_gap-$CD$13*(1-BDC!$M$18)</f>
        <v>0.432216415289291</v>
      </c>
      <c r="BK19" s="43" t="n">
        <f aca="false">(1-BDC!$D$18)*$CD$25+BDC!$D$18*$CD$26</f>
        <v>0.0657302910357991</v>
      </c>
      <c r="BL19" s="45" t="n">
        <f aca="false">BJ19/BDC!$K$18</f>
        <v>0.907179509013786</v>
      </c>
      <c r="BM19" s="35" t="n">
        <f aca="false">IF(BL19&lt;1.5,BDC!$C$18,0)</f>
        <v>8.65</v>
      </c>
      <c r="BN19" s="43" t="n">
        <f aca="false">MAX(0,1-BJ19*(1-CE_mig_hc)-p_bb_cush)*BDC!$Q$18</f>
        <v>0.13906720051018</v>
      </c>
      <c r="BO19" s="43" t="n">
        <f aca="false">MAX(0,BDC!$K$18-BJ19/1.5)</f>
        <v>0.188295513716389</v>
      </c>
      <c r="BP19" s="43" t="n">
        <f aca="false">MIN(MIN(1,BDC!$H$18*$CD$16),$CD$15)</f>
        <v>0</v>
      </c>
      <c r="BQ19" s="43" t="n">
        <f aca="false">BDC!$I$18*BDC!$J$18*BP19*(1-0.3)</f>
        <v>0</v>
      </c>
      <c r="BR19" s="45" t="n">
        <f aca="false">BDC!$C$18*($CD$14*MAX(BN19,BO19)+BQ19)</f>
        <v>1.62875619361057</v>
      </c>
      <c r="CC19" s="10" t="s">
        <v>985</v>
      </c>
      <c r="CD19" s="45" t="n">
        <f aca="false">p_dealer_mult*(1+p_dm_pan*$CD$10)</f>
        <v>9.99999999888881</v>
      </c>
    </row>
    <row r="20" customFormat="false" ht="15" hidden="false" customHeight="true" outlineLevel="0" collapsed="false">
      <c r="A20" s="10" t="s">
        <v>522</v>
      </c>
      <c r="B20" s="35" t="n">
        <f aca="false">Modules!$W19</f>
        <v>30.9642312286104</v>
      </c>
      <c r="C20" s="39" t="n">
        <f aca="false">Modules!$X19</f>
        <v>0.0592749158609733</v>
      </c>
      <c r="D20" s="44" t="n">
        <f aca="false">IF(C20&lt;Inputs_Banks!$I19,1,0)</f>
        <v>1</v>
      </c>
      <c r="E20" s="44" t="n">
        <f aca="false">IF(C20&lt;0.045,1,0)</f>
        <v>0</v>
      </c>
      <c r="F20" s="44" t="n">
        <f aca="false">IF(B20&lt;0,1,0)</f>
        <v>0</v>
      </c>
      <c r="G20" s="44" t="n">
        <f aca="false">MIN(6,MIN(3,INT(MAX(0,Inputs_Banks!$BA19-C20)/p_notch_step))+D20+2*E20)</f>
        <v>4</v>
      </c>
      <c r="H20" s="39" t="n">
        <f aca="false">C20-Inputs_Banks!$I19</f>
        <v>-0.0627250841390267</v>
      </c>
      <c r="I20" s="44" t="n">
        <f aca="false">RANK(H20,$H$7:$H$30,1)</f>
        <v>2</v>
      </c>
      <c r="J20" s="44" t="n">
        <f aca="false">MAX(IF(I20&lt;=g_n_weak,1,0),E20)</f>
        <v>1</v>
      </c>
      <c r="K20" s="44" t="n">
        <f aca="false">IF(I20&gt;12,1,0)*(1-E20)</f>
        <v>0</v>
      </c>
      <c r="L20" s="35" t="n">
        <f aca="false">INDEX(Inputs_Banks!$AR19:$AX19,1,G20+1)</f>
        <v>8.949825</v>
      </c>
      <c r="M20" s="35" t="n">
        <f aca="false">Inputs_Banks!$AI19*MIN(1,p_u_base+$CD$10*p_u_pan_all+J20*($CD$10*p_u_pan_weak+p_u_mda*D20)+p_u_notch*G20+p_u_fail*E20)</f>
        <v>216.321906239647</v>
      </c>
      <c r="N20" s="35" t="n">
        <f aca="false">Inputs_Banks!$AK19*MIN(1,p_w_base+p_w_pan*$CD$10+p_w_notch*G20+0.5*D20+1*E20)</f>
        <v>103.81797</v>
      </c>
      <c r="O20" s="35" t="n">
        <f aca="false">Inputs_Banks!$AO19*MIN(1,p_cp_base+p_cp_pan*$CD$10+p_cp_notch*G20)</f>
        <v>30.26</v>
      </c>
      <c r="P20" s="35" t="n">
        <f aca="false">Inputs_Banks!$AN19*(p_dh+p_dh_pan*$CD$10+MIN(1,0.5*$CD$17+0.25*G20))</f>
        <v>159.617894589655</v>
      </c>
      <c r="Q20" s="35" t="n">
        <f aca="false">Modules!$Y19</f>
        <v>26.8418486</v>
      </c>
      <c r="R20" s="35" t="n">
        <f aca="false">Inputs_Banks!$AJ19*K20</f>
        <v>0</v>
      </c>
      <c r="S20" s="35" t="n">
        <f aca="false">p_liq_on*$CD$18*SUM($M$7:$M$30)*R20/MAX(0.000000001,SUM($R$7:$R$30))</f>
        <v>0</v>
      </c>
      <c r="T20" s="35" t="n">
        <f aca="false">p_liq_on*(L20+M20+N20+O20+P20+Q20)</f>
        <v>545.809444429302</v>
      </c>
      <c r="U20" s="35" t="n">
        <f aca="false">g_usable*Inputs_Banks!$AG19+p_cb_on*Inputs_Banks!$AQ19+S20</f>
        <v>591.841983</v>
      </c>
      <c r="V20" s="35" t="n">
        <f aca="false">MAX(0,T20-U20)</f>
        <v>0</v>
      </c>
      <c r="W20" s="44" t="n">
        <f aca="false">IF(V20&gt;0.9*Inputs_Banks!$BB19,1,0)</f>
        <v>0</v>
      </c>
      <c r="X20" s="43" t="n">
        <f aca="false">MAX(p_htm_forced,(1-p_cb_on)*MIN(1,T20/Inputs_Banks!$AG19)*g_theta_sell)</f>
        <v>0.25</v>
      </c>
      <c r="Y20" s="35" t="n">
        <f aca="false">MAX(0,Modules!$V19-B20/(Inputs_Banks!$I19+g_del_buf))</f>
        <v>278.570541280233</v>
      </c>
      <c r="Z20" s="35" t="n">
        <f aca="false">MIN(g_del_cap*Inputs_Banks!$BB19,Y20)</f>
        <v>55.795</v>
      </c>
      <c r="AA20" s="35" t="n">
        <f aca="false">MIN(Inputs_Banks!$BB19,V20+Z20)</f>
        <v>55.795</v>
      </c>
      <c r="AB20" s="35" t="n">
        <f aca="false">$AA20*Holdings!Q19</f>
        <v>0</v>
      </c>
      <c r="AC20" s="35" t="n">
        <f aca="false">$AA20*Holdings!R19</f>
        <v>0</v>
      </c>
      <c r="AD20" s="35" t="n">
        <f aca="false">$AA20*Holdings!S19</f>
        <v>0</v>
      </c>
      <c r="AE20" s="35" t="n">
        <f aca="false">$AA20*Holdings!T19</f>
        <v>0</v>
      </c>
      <c r="AF20" s="35" t="n">
        <f aca="false">$AA20*Holdings!U19</f>
        <v>15.1275</v>
      </c>
      <c r="AG20" s="35" t="n">
        <f aca="false">$AA20*Holdings!V19</f>
        <v>0</v>
      </c>
      <c r="AH20" s="35" t="n">
        <f aca="false">$AA20*Holdings!W19</f>
        <v>4.06</v>
      </c>
      <c r="AI20" s="35" t="n">
        <f aca="false">$AA20*Holdings!X19</f>
        <v>0</v>
      </c>
      <c r="AJ20" s="35" t="n">
        <f aca="false">$AA20*Holdings!Y19</f>
        <v>8.945</v>
      </c>
      <c r="AK20" s="35" t="n">
        <f aca="false">$AA20*Holdings!Z19</f>
        <v>0</v>
      </c>
      <c r="AL20" s="35" t="n">
        <f aca="false">$AA20*Holdings!AA19</f>
        <v>27.5925</v>
      </c>
      <c r="AM20" s="35" t="n">
        <f aca="false">$AA20*Holdings!AB19</f>
        <v>0</v>
      </c>
      <c r="AN20" s="35" t="n">
        <f aca="false">$AA20*Holdings!AC19</f>
        <v>0.07</v>
      </c>
      <c r="AO20" s="43" t="n">
        <f aca="false">MIN(1,$CD$17+0.5*G20)</f>
        <v>1</v>
      </c>
      <c r="AP20" s="35" t="n">
        <f aca="false">p_liq_on*Inputs_Banks!$AP19*AO20*p_mb_psi</f>
        <v>1.692</v>
      </c>
      <c r="AQ20" s="44" t="n">
        <f aca="false">MAX(F20,E20,W20*(1-p_cb_on))</f>
        <v>0</v>
      </c>
      <c r="AR20" s="35" t="n">
        <f aca="false">p_ib_on*p_lgd_ib*g_s_in*g_u_ib*SUMPRODUCT(Network!P$6:P$29,$AQ$7:$AQ$30)</f>
        <v>1.37751795067854</v>
      </c>
      <c r="AS20" s="35" t="n">
        <f aca="false">p_sw_M1*(SUMPRODUCT(BDC_EAD!P$106:P$127,$BF$7:$BF$28)+SUMPRODUCT(BDC_EAD!P$131:P$152,$BG$7:$BG$28)+(Inputs_Banks!$Y19+p_ccf_bl*Inputs_Banks!$Z19)*$CD$30+Modules!$E19)</f>
        <v>20.6433742912178</v>
      </c>
      <c r="AT20" s="35" t="n">
        <f aca="false">p_sw_M3*(Inputs_Banks!$U19+p_ccf_abf*Inputs_Banks!$V19)*$CD$31</f>
        <v>12.5241947563671</v>
      </c>
      <c r="AU20" s="35" t="n">
        <f aca="false">p_sw_M10*Inputs_Banks!$AC19*$CD$32</f>
        <v>0</v>
      </c>
      <c r="AV20" s="35" t="n">
        <f aca="false">p_sw_M8*(Modules!$M19+Modules!$N19*IF(p_liq_on&gt;0,X20,p_htm_forced))</f>
        <v>2.742</v>
      </c>
      <c r="AW20" s="35" t="n">
        <f aca="false">SUMPRODUCT(Holdings!$C19:$O19,Holdings!$C$32:$O$32,$AB$32:$AN$32)+Inputs_Banks!$P19*$AL$32</f>
        <v>13.5796091076999</v>
      </c>
      <c r="AX20" s="35" t="n">
        <f aca="false">Modules!$T19+AS20+AT20+AU20+AV20+AW20+AR20</f>
        <v>70.0946408522353</v>
      </c>
      <c r="AY20" s="35" t="n">
        <f aca="false">Modules!$U19-(1-p_tax)*AX20</f>
        <v>-0.882660852235318</v>
      </c>
      <c r="AZ20" s="39" t="n">
        <f aca="false">AY20/Modules!$V19</f>
        <v>-0.00168968017851776</v>
      </c>
      <c r="BA20" s="48" t="s">
        <v>652</v>
      </c>
      <c r="BB20" s="43" t="n">
        <f aca="false">INDEX($BJ$7:$BJ$40,BDC_EAD!$B19)</f>
        <v>0.363449670134556</v>
      </c>
      <c r="BC20" s="43" t="n">
        <f aca="false">INDEX($BK$7:$BK$40,BDC_EAD!$B19)</f>
        <v>0.0611472717317474</v>
      </c>
      <c r="BD20" s="22" t="n">
        <f aca="false">INDEX(BDC!$Q$6:$Q$39,BDC_EAD!$B19)</f>
        <v>0.238909090909091</v>
      </c>
      <c r="BE20" s="43" t="n">
        <f aca="false">BB20*(1-$AK$32)-BC20-p_c_liq</f>
        <v>0.0887500468422582</v>
      </c>
      <c r="BF20" s="43" t="n">
        <f aca="false">p_phi*MAX(0,p_a_spv-BE20)/p_a_spv+(1-p_phi)*MAX(0,p_a_spv-BB20)/p_a_spv</f>
        <v>0.794728612141832</v>
      </c>
      <c r="BG20" s="43" t="n">
        <f aca="false">IF(BD20&gt;0,p_phi*MAX(0,BD20-BE20)/BD20+(1-p_phi)*MAX(0,BD20-BB20)/BD20,0)</f>
        <v>0.502815672674326</v>
      </c>
      <c r="BI20" s="12" t="str">
        <f aca="false">BDC!$A$19</f>
        <v>GBDC</v>
      </c>
      <c r="BJ20" s="43" t="n">
        <f aca="false">1-((1-BDC!$D$19)*$CD$23+BDC!$D$19*$CD$24)-p_gap-$CD$13*(1-BDC!$M$19)</f>
        <v>0.440432081152052</v>
      </c>
      <c r="BK20" s="43" t="n">
        <f aca="false">(1-BDC!$D$19)*$CD$25+BDC!$D$19*$CD$26</f>
        <v>0.0593587763935809</v>
      </c>
      <c r="BL20" s="45" t="n">
        <f aca="false">BJ20/BDC!$K$19</f>
        <v>0.798506943877297</v>
      </c>
      <c r="BM20" s="35" t="n">
        <f aca="false">IF(BL20&lt;1.5,BDC!$C$19,0)</f>
        <v>8.2</v>
      </c>
      <c r="BN20" s="43" t="n">
        <f aca="false">MAX(0,1-BJ20*(1-CE_mig_hc)-p_bb_cush)*BDC!$Q$19</f>
        <v>0.115814435930499</v>
      </c>
      <c r="BO20" s="43" t="n">
        <f aca="false">MAX(0,BDC!$K$19-BJ20/1.5)</f>
        <v>0.257948119291756</v>
      </c>
      <c r="BP20" s="43" t="n">
        <f aca="false">MIN(MIN(1,BDC!$H$19*$CD$16),$CD$15)</f>
        <v>0</v>
      </c>
      <c r="BQ20" s="43" t="n">
        <f aca="false">BDC!$I$19*BDC!$J$19*BP20*(1-0.3)</f>
        <v>0</v>
      </c>
      <c r="BR20" s="45" t="n">
        <f aca="false">BDC!$C$19*($CD$14*MAX(BN20,BO20)+BQ20)</f>
        <v>2.11517457814539</v>
      </c>
      <c r="CC20" s="10" t="s">
        <v>871</v>
      </c>
      <c r="CD20" s="35" t="n">
        <f aca="false">MIN(1,p_ins_run+p_ins_pan*$CD$10)*(g_fabr+g_fabn_6m)</f>
        <v>47.2999999960581</v>
      </c>
    </row>
    <row r="21" customFormat="false" ht="15" hidden="false" customHeight="true" outlineLevel="0" collapsed="false">
      <c r="A21" s="10" t="s">
        <v>525</v>
      </c>
      <c r="B21" s="35" t="n">
        <f aca="false">Modules!$W20</f>
        <v>104.288522925021</v>
      </c>
      <c r="C21" s="39" t="n">
        <f aca="false">Modules!$X20</f>
        <v>0.106535135870253</v>
      </c>
      <c r="D21" s="44" t="n">
        <f aca="false">IF(C21&lt;Inputs_Banks!$I20,1,0)</f>
        <v>1</v>
      </c>
      <c r="E21" s="44" t="n">
        <f aca="false">IF(C21&lt;0.045,1,0)</f>
        <v>0</v>
      </c>
      <c r="F21" s="44" t="n">
        <f aca="false">IF(B21&lt;0,1,0)</f>
        <v>0</v>
      </c>
      <c r="G21" s="44" t="n">
        <f aca="false">MIN(6,MIN(3,INT(MAX(0,Inputs_Banks!$BA20-C21)/p_notch_step))+D21+2*E21)</f>
        <v>2</v>
      </c>
      <c r="H21" s="39" t="n">
        <f aca="false">C21-Inputs_Banks!$I20</f>
        <v>-0.00546486412974713</v>
      </c>
      <c r="I21" s="44" t="n">
        <f aca="false">RANK(H21,$H$7:$H$30,1)</f>
        <v>18</v>
      </c>
      <c r="J21" s="44" t="n">
        <f aca="false">MAX(IF(I21&lt;=g_n_weak,1,0),E21)</f>
        <v>0</v>
      </c>
      <c r="K21" s="44" t="n">
        <f aca="false">IF(I21&gt;12,1,0)*(1-E21)</f>
        <v>1</v>
      </c>
      <c r="L21" s="35" t="n">
        <f aca="false">INDEX(Inputs_Banks!$AR20:$AX20,1,G21+1)</f>
        <v>0.12</v>
      </c>
      <c r="M21" s="35" t="n">
        <f aca="false">Inputs_Banks!$AI20*MIN(1,p_u_base+$CD$10*p_u_pan_all+J21*($CD$10*p_u_pan_weak+p_u_mda*D21)+p_u_notch*G21+p_u_fail*E21)</f>
        <v>218.502299989444</v>
      </c>
      <c r="N21" s="35" t="n">
        <f aca="false">Inputs_Banks!$AK20*MIN(1,p_w_base+p_w_pan*$CD$10+p_w_notch*G21+0.5*D21+1*E21)</f>
        <v>0</v>
      </c>
      <c r="O21" s="35" t="n">
        <f aca="false">Inputs_Banks!$AO20*MIN(1,p_cp_base+p_cp_pan*$CD$10+p_cp_notch*G21)</f>
        <v>0</v>
      </c>
      <c r="P21" s="35" t="n">
        <f aca="false">Inputs_Banks!$AN20*(p_dh+p_dh_pan*$CD$10+MIN(1,0.5*$CD$17+0.25*G21))</f>
        <v>143.147499931907</v>
      </c>
      <c r="Q21" s="35" t="n">
        <f aca="false">Modules!$Y20</f>
        <v>5.4922829</v>
      </c>
      <c r="R21" s="35" t="n">
        <f aca="false">Inputs_Banks!$AJ20*K21</f>
        <v>1919.104</v>
      </c>
      <c r="S21" s="35" t="n">
        <f aca="false">p_liq_on*$CD$18*SUM($M$7:$M$30)*R21/MAX(0.000000001,SUM($R$7:$R$30))</f>
        <v>165.394518992261</v>
      </c>
      <c r="T21" s="35" t="n">
        <f aca="false">p_liq_on*(L21+M21+N21+O21+P21+Q21)</f>
        <v>367.262082821351</v>
      </c>
      <c r="U21" s="35" t="n">
        <f aca="false">g_usable*Inputs_Banks!$AG20+p_cb_on*Inputs_Banks!$AQ20+S21</f>
        <v>950.430418992261</v>
      </c>
      <c r="V21" s="35" t="n">
        <f aca="false">MAX(0,T21-U21)</f>
        <v>0</v>
      </c>
      <c r="W21" s="44" t="n">
        <f aca="false">IF(V21&gt;0.9*Inputs_Banks!$BB20,1,0)</f>
        <v>0</v>
      </c>
      <c r="X21" s="43" t="n">
        <f aca="false">MAX(p_htm_forced,(1-p_cb_on)*MIN(1,T21/Inputs_Banks!$AG20)*g_theta_sell)</f>
        <v>0.128652807821746</v>
      </c>
      <c r="Y21" s="35" t="n">
        <f aca="false">MAX(0,Modules!$V20-B21/(Inputs_Banks!$I20+g_del_buf))</f>
        <v>87.5571032049489</v>
      </c>
      <c r="Z21" s="35" t="n">
        <f aca="false">MIN(g_del_cap*Inputs_Banks!$BB20,Y21)</f>
        <v>81.9675</v>
      </c>
      <c r="AA21" s="35" t="n">
        <f aca="false">MIN(Inputs_Banks!$BB20,V21+Z21)</f>
        <v>81.9675</v>
      </c>
      <c r="AB21" s="35" t="n">
        <f aca="false">$AA21*Holdings!Q20</f>
        <v>0</v>
      </c>
      <c r="AC21" s="35" t="n">
        <f aca="false">$AA21*Holdings!R20</f>
        <v>0</v>
      </c>
      <c r="AD21" s="35" t="n">
        <f aca="false">$AA21*Holdings!S20</f>
        <v>0</v>
      </c>
      <c r="AE21" s="35" t="n">
        <f aca="false">$AA21*Holdings!T20</f>
        <v>0</v>
      </c>
      <c r="AF21" s="35" t="n">
        <f aca="false">$AA21*Holdings!U20</f>
        <v>0</v>
      </c>
      <c r="AG21" s="35" t="n">
        <f aca="false">$AA21*Holdings!V20</f>
        <v>0</v>
      </c>
      <c r="AH21" s="35" t="n">
        <f aca="false">$AA21*Holdings!W20</f>
        <v>0</v>
      </c>
      <c r="AI21" s="35" t="n">
        <f aca="false">$AA21*Holdings!X20</f>
        <v>0.0525</v>
      </c>
      <c r="AJ21" s="35" t="n">
        <f aca="false">$AA21*Holdings!Y20</f>
        <v>0.02</v>
      </c>
      <c r="AK21" s="35" t="n">
        <f aca="false">$AA21*Holdings!Z20</f>
        <v>0</v>
      </c>
      <c r="AL21" s="35" t="n">
        <f aca="false">$AA21*Holdings!AA20</f>
        <v>44.0775</v>
      </c>
      <c r="AM21" s="35" t="n">
        <f aca="false">$AA21*Holdings!AB20</f>
        <v>0</v>
      </c>
      <c r="AN21" s="35" t="n">
        <f aca="false">$AA21*Holdings!AC20</f>
        <v>37.8175</v>
      </c>
      <c r="AO21" s="43" t="n">
        <f aca="false">MIN(1,$CD$17+0.5*G21)</f>
        <v>1</v>
      </c>
      <c r="AP21" s="35" t="n">
        <f aca="false">p_liq_on*Inputs_Banks!$AP20*AO21*p_mb_psi</f>
        <v>1.272</v>
      </c>
      <c r="AQ21" s="44" t="n">
        <f aca="false">MAX(F21,E21,W21*(1-p_cb_on))</f>
        <v>0</v>
      </c>
      <c r="AR21" s="35" t="n">
        <f aca="false">p_ib_on*p_lgd_ib*g_s_in*g_u_ib*SUMPRODUCT(Network!Q$6:Q$29,$AQ$7:$AQ$30)</f>
        <v>1.87468618000542</v>
      </c>
      <c r="AS21" s="35" t="n">
        <f aca="false">p_sw_M1*(SUMPRODUCT(BDC_EAD!Q$106:Q$127,$BF$7:$BF$28)+SUMPRODUCT(BDC_EAD!Q$131:Q$152,$BG$7:$BG$28)+(Inputs_Banks!$Y20+p_ccf_bl*Inputs_Banks!$Z20)*$CD$30+Modules!$E20)</f>
        <v>16.3815151659841</v>
      </c>
      <c r="AT21" s="35" t="n">
        <f aca="false">p_sw_M3*(Inputs_Banks!$U20+p_ccf_abf*Inputs_Banks!$V20)*$CD$31</f>
        <v>5.86897636959908</v>
      </c>
      <c r="AU21" s="35" t="n">
        <f aca="false">p_sw_M10*Inputs_Banks!$AC20*$CD$32</f>
        <v>0</v>
      </c>
      <c r="AV21" s="35" t="n">
        <f aca="false">p_sw_M8*(Modules!$M20+Modules!$N20*IF(p_liq_on&gt;0,X21,p_htm_forced))</f>
        <v>4.65327300483524</v>
      </c>
      <c r="AW21" s="35" t="n">
        <f aca="false">SUMPRODUCT(Holdings!$C20:$O20,Holdings!$C$32:$O$32,$AB$32:$AN$32)+Inputs_Banks!$P20*$AL$32</f>
        <v>5.01007395394497</v>
      </c>
      <c r="AX21" s="35" t="n">
        <f aca="false">Modules!$T20+AS21+AT21+AU21+AV21+AW21+AR21</f>
        <v>42.1899063541378</v>
      </c>
      <c r="AY21" s="35" t="n">
        <f aca="false">Modules!$U20-(1-p_tax)*AX21</f>
        <v>85.5100936458622</v>
      </c>
      <c r="AZ21" s="39" t="n">
        <f aca="false">AY21/Modules!$V20</f>
        <v>0.0873521763405313</v>
      </c>
      <c r="BA21" s="48" t="s">
        <v>647</v>
      </c>
      <c r="BB21" s="43" t="n">
        <f aca="false">INDEX($BJ$7:$BJ$40,BDC_EAD!$B20)</f>
        <v>0.401231175134181</v>
      </c>
      <c r="BC21" s="43" t="n">
        <f aca="false">INDEX($BK$7:$BK$40,BDC_EAD!$B20)</f>
        <v>0.0605883669385704</v>
      </c>
      <c r="BD21" s="22" t="n">
        <f aca="false">INDEX(BDC!$Q$6:$Q$39,BDC_EAD!$B20)</f>
        <v>0.244897959183673</v>
      </c>
      <c r="BE21" s="43" t="n">
        <f aca="false">BB21*(1-$AK$32)-BC21-p_c_liq</f>
        <v>0.110088779385229</v>
      </c>
      <c r="BF21" s="43" t="n">
        <f aca="false">p_phi*MAX(0,p_a_spv-BE21)/p_a_spv+(1-p_phi)*MAX(0,p_a_spv-BB21)/p_a_spv</f>
        <v>0.759546773521401</v>
      </c>
      <c r="BG21" s="43" t="n">
        <f aca="false">IF(BD21&gt;0,p_phi*MAX(0,BD21-BE21)/BD21+(1-p_phi)*MAX(0,BD21-BB21)/BD21,0)</f>
        <v>0.440376654008252</v>
      </c>
      <c r="BI21" s="12" t="str">
        <f aca="false">BDC!$A$20</f>
        <v>OSCF</v>
      </c>
      <c r="BJ21" s="43" t="n">
        <f aca="false">1-((1-BDC!$D$20)*$CD$23+BDC!$D$20*$CD$24)-p_gap-$CD$13*(1-BDC!$M$20)</f>
        <v>0.413355834325311</v>
      </c>
      <c r="BK21" s="43" t="n">
        <f aca="false">(1-BDC!$D$20)*$CD$25+BDC!$D$20*$CD$26</f>
        <v>0.0626004241940077</v>
      </c>
      <c r="BL21" s="45" t="n">
        <f aca="false">BJ21/BDC!$K$20</f>
        <v>1.0909883496127</v>
      </c>
      <c r="BM21" s="35" t="n">
        <f aca="false">IF(BL21&lt;1.5,BDC!$C$20,0)</f>
        <v>6.8</v>
      </c>
      <c r="BN21" s="43" t="n">
        <f aca="false">MAX(0,1-BJ21*(1-CE_mig_hc)-p_bb_cush)*BDC!$Q$20</f>
        <v>0.129350577015135</v>
      </c>
      <c r="BO21" s="43" t="n">
        <f aca="false">MAX(0,BDC!$K$20-BJ21/1.5)</f>
        <v>0.103311431360766</v>
      </c>
      <c r="BP21" s="43" t="n">
        <f aca="false">MIN(MIN(1,BDC!$H$20*$CD$16),$CD$15)</f>
        <v>0.11399999998311</v>
      </c>
      <c r="BQ21" s="43" t="n">
        <f aca="false">BDC!$I$20*BDC!$J$20*BP21*(1-0.3)</f>
        <v>0.0495652173839608</v>
      </c>
      <c r="BR21" s="45" t="n">
        <f aca="false">BDC!$C$20*($CD$14*MAX(BN21,BO21)+BQ21)</f>
        <v>1.2166274018943</v>
      </c>
      <c r="CC21" s="10" t="s">
        <v>986</v>
      </c>
      <c r="CD21" s="43" t="n">
        <f aca="false">SUMPRODUCT(CreditEngine!$B$6:$B$10,$BU$7:$BU$11)</f>
        <v>0.790768304603345</v>
      </c>
    </row>
    <row r="22" customFormat="false" ht="15" hidden="false" customHeight="true" outlineLevel="0" collapsed="false">
      <c r="A22" s="10" t="s">
        <v>527</v>
      </c>
      <c r="B22" s="35" t="n">
        <f aca="false">Modules!$W21</f>
        <v>24.4123827215704</v>
      </c>
      <c r="C22" s="39" t="n">
        <f aca="false">Modules!$X21</f>
        <v>0.0539177475366116</v>
      </c>
      <c r="D22" s="44" t="n">
        <f aca="false">IF(C22&lt;Inputs_Banks!$I21,1,0)</f>
        <v>1</v>
      </c>
      <c r="E22" s="44" t="n">
        <f aca="false">IF(C22&lt;0.045,1,0)</f>
        <v>0</v>
      </c>
      <c r="F22" s="44" t="n">
        <f aca="false">IF(B22&lt;0,1,0)</f>
        <v>0</v>
      </c>
      <c r="G22" s="44" t="n">
        <f aca="false">MIN(6,MIN(3,INT(MAX(0,Inputs_Banks!$BA21-C22)/p_notch_step))+D22+2*E22)</f>
        <v>4</v>
      </c>
      <c r="H22" s="39" t="n">
        <f aca="false">C22-Inputs_Banks!$I21</f>
        <v>-0.0580822524633884</v>
      </c>
      <c r="I22" s="44" t="n">
        <f aca="false">RANK(H22,$H$7:$H$30,1)</f>
        <v>3</v>
      </c>
      <c r="J22" s="44" t="n">
        <f aca="false">MAX(IF(I22&lt;=g_n_weak,1,0),E22)</f>
        <v>1</v>
      </c>
      <c r="K22" s="44" t="n">
        <f aca="false">IF(I22&gt;12,1,0)*(1-E22)</f>
        <v>0</v>
      </c>
      <c r="L22" s="35" t="n">
        <f aca="false">INDEX(Inputs_Banks!$AR21:$AX21,1,G22+1)</f>
        <v>0.5445909</v>
      </c>
      <c r="M22" s="35" t="n">
        <f aca="false">Inputs_Banks!$AI21*MIN(1,p_u_base+$CD$10*p_u_pan_all+J22*($CD$10*p_u_pan_weak+p_u_mda*D22)+p_u_notch*G22+p_u_fail*E22)</f>
        <v>181.281854646489</v>
      </c>
      <c r="N22" s="35" t="n">
        <f aca="false">Inputs_Banks!$AK21*MIN(1,p_w_base+p_w_pan*$CD$10+p_w_notch*G22+0.5*D22+1*E22)</f>
        <v>28.371245</v>
      </c>
      <c r="O22" s="35" t="n">
        <f aca="false">Inputs_Banks!$AO21*MIN(1,p_cp_base+p_cp_pan*$CD$10+p_cp_notch*G22)</f>
        <v>5.15</v>
      </c>
      <c r="P22" s="35" t="n">
        <f aca="false">Inputs_Banks!$AN21*(p_dh+p_dh_pan*$CD$10+MIN(1,0.5*$CD$17+0.25*G22))</f>
        <v>44.8565902699939</v>
      </c>
      <c r="Q22" s="35" t="n">
        <f aca="false">Modules!$Y21</f>
        <v>9.2558384</v>
      </c>
      <c r="R22" s="35" t="n">
        <f aca="false">Inputs_Banks!$AJ21*K22</f>
        <v>0</v>
      </c>
      <c r="S22" s="35" t="n">
        <f aca="false">p_liq_on*$CD$18*SUM($M$7:$M$30)*R22/MAX(0.000000001,SUM($R$7:$R$30))</f>
        <v>0</v>
      </c>
      <c r="T22" s="35" t="n">
        <f aca="false">p_liq_on*(L22+M22+N22+O22+P22+Q22)</f>
        <v>269.460119216483</v>
      </c>
      <c r="U22" s="35" t="n">
        <f aca="false">g_usable*Inputs_Banks!$AG21+p_cb_on*Inputs_Banks!$AQ21+S22</f>
        <v>309.53302303</v>
      </c>
      <c r="V22" s="35" t="n">
        <f aca="false">MAX(0,T22-U22)</f>
        <v>0</v>
      </c>
      <c r="W22" s="44" t="n">
        <f aca="false">IF(V22&gt;0.9*Inputs_Banks!$BB21,1,0)</f>
        <v>0</v>
      </c>
      <c r="X22" s="43" t="n">
        <f aca="false">MAX(p_htm_forced,(1-p_cb_on)*MIN(1,T22/Inputs_Banks!$AG21)*g_theta_sell)</f>
        <v>0.239397825986892</v>
      </c>
      <c r="Y22" s="35" t="n">
        <f aca="false">MAX(0,Modules!$V21-B22/(Inputs_Banks!$I21+g_del_buf))</f>
        <v>244.117975425894</v>
      </c>
      <c r="Z22" s="35" t="n">
        <f aca="false">MIN(g_del_cap*Inputs_Banks!$BB21,Y22)</f>
        <v>21.8225</v>
      </c>
      <c r="AA22" s="35" t="n">
        <f aca="false">MIN(Inputs_Banks!$BB21,V22+Z22)</f>
        <v>21.8225</v>
      </c>
      <c r="AB22" s="35" t="n">
        <f aca="false">$AA22*Holdings!Q21</f>
        <v>0</v>
      </c>
      <c r="AC22" s="35" t="n">
        <f aca="false">$AA22*Holdings!R21</f>
        <v>0</v>
      </c>
      <c r="AD22" s="35" t="n">
        <f aca="false">$AA22*Holdings!S21</f>
        <v>0</v>
      </c>
      <c r="AE22" s="35" t="n">
        <f aca="false">$AA22*Holdings!T21</f>
        <v>0.3875</v>
      </c>
      <c r="AF22" s="35" t="n">
        <f aca="false">$AA22*Holdings!U21</f>
        <v>17.255</v>
      </c>
      <c r="AG22" s="35" t="n">
        <f aca="false">$AA22*Holdings!V21</f>
        <v>0</v>
      </c>
      <c r="AH22" s="35" t="n">
        <f aca="false">$AA22*Holdings!W21</f>
        <v>3.6525</v>
      </c>
      <c r="AI22" s="35" t="n">
        <f aca="false">$AA22*Holdings!X21</f>
        <v>0</v>
      </c>
      <c r="AJ22" s="35" t="n">
        <f aca="false">$AA22*Holdings!Y21</f>
        <v>0</v>
      </c>
      <c r="AK22" s="35" t="n">
        <f aca="false">$AA22*Holdings!Z21</f>
        <v>0</v>
      </c>
      <c r="AL22" s="35" t="n">
        <f aca="false">$AA22*Holdings!AA21</f>
        <v>0.5275</v>
      </c>
      <c r="AM22" s="35" t="n">
        <f aca="false">$AA22*Holdings!AB21</f>
        <v>0</v>
      </c>
      <c r="AN22" s="35" t="n">
        <f aca="false">$AA22*Holdings!AC21</f>
        <v>0</v>
      </c>
      <c r="AO22" s="43" t="n">
        <f aca="false">MIN(1,$CD$17+0.5*G22)</f>
        <v>1</v>
      </c>
      <c r="AP22" s="35" t="n">
        <f aca="false">p_liq_on*Inputs_Banks!$AP21*AO22*p_mb_psi</f>
        <v>0</v>
      </c>
      <c r="AQ22" s="44" t="n">
        <f aca="false">MAX(F22,E22,W22*(1-p_cb_on))</f>
        <v>0</v>
      </c>
      <c r="AR22" s="35" t="n">
        <f aca="false">p_ib_on*p_lgd_ib*g_s_in*g_u_ib*SUMPRODUCT(Network!R$6:R$29,$AQ$7:$AQ$30)</f>
        <v>0.768020183915905</v>
      </c>
      <c r="AS22" s="35" t="n">
        <f aca="false">p_sw_M1*(SUMPRODUCT(BDC_EAD!R$106:R$127,$BF$7:$BF$28)+SUMPRODUCT(BDC_EAD!R$131:R$152,$BG$7:$BG$28)+(Inputs_Banks!$Y21+p_ccf_bl*Inputs_Banks!$Z21)*$CD$30+Modules!$E21)</f>
        <v>28.6741517751155</v>
      </c>
      <c r="AT22" s="35" t="n">
        <f aca="false">p_sw_M3*(Inputs_Banks!$U21+p_ccf_abf*Inputs_Banks!$V21)*$CD$31</f>
        <v>9.26351657304784</v>
      </c>
      <c r="AU22" s="35" t="n">
        <f aca="false">p_sw_M10*Inputs_Banks!$AC21*$CD$32</f>
        <v>0</v>
      </c>
      <c r="AV22" s="35" t="n">
        <f aca="false">p_sw_M8*(Modules!$M21+Modules!$N21*IF(p_liq_on&gt;0,X22,p_htm_forced))</f>
        <v>2.1157584325221</v>
      </c>
      <c r="AW22" s="35" t="n">
        <f aca="false">SUMPRODUCT(Holdings!$C21:$O21,Holdings!$C$32:$O$32,$AB$32:$AN$32)+Inputs_Banks!$P21*$AL$32</f>
        <v>9.14361092250616</v>
      </c>
      <c r="AX22" s="35" t="n">
        <f aca="false">Modules!$T21+AS22+AT22+AU22+AV22+AW22+AR22</f>
        <v>61.4079977498881</v>
      </c>
      <c r="AY22" s="35" t="n">
        <f aca="false">Modules!$U21-(1-p_tax)*AX22</f>
        <v>-3.06826944988806</v>
      </c>
      <c r="AZ22" s="39" t="n">
        <f aca="false">AY22/Modules!$V21</f>
        <v>-0.00677665017217624</v>
      </c>
      <c r="BA22" s="48" t="s">
        <v>659</v>
      </c>
      <c r="BB22" s="43" t="n">
        <f aca="false">INDEX($BJ$7:$BJ$40,BDC_EAD!$B21)</f>
        <v>0.361123826366566</v>
      </c>
      <c r="BC22" s="43" t="n">
        <f aca="false">INDEX($BK$7:$BK$40,BDC_EAD!$B21)</f>
        <v>0.0628985067503688</v>
      </c>
      <c r="BD22" s="22" t="n">
        <f aca="false">INDEX(BDC!$Q$6:$Q$39,BDC_EAD!$B21)</f>
        <v>0.239316017316017</v>
      </c>
      <c r="BE22" s="43" t="n">
        <f aca="false">BB22*(1-$AK$32)-BC22-p_c_liq</f>
        <v>0.0857195977512425</v>
      </c>
      <c r="BF22" s="43" t="n">
        <f aca="false">p_phi*MAX(0,p_a_spv-BE22)/p_a_spv+(1-p_phi)*MAX(0,p_a_spv-BB22)/p_a_spv</f>
        <v>0.798856509322418</v>
      </c>
      <c r="BG22" s="43" t="n">
        <f aca="false">IF(BD22&gt;0,p_phi*MAX(0,BD22-BE22)/BD22+(1-p_phi)*MAX(0,BD22-BB22)/BD22,0)</f>
        <v>0.513451364559357</v>
      </c>
      <c r="BI22" s="12" t="str">
        <f aca="false">BDC!$A$21</f>
        <v>PSEC</v>
      </c>
      <c r="BJ22" s="43" t="n">
        <f aca="false">1-((1-BDC!$D$21)*$CD$23+BDC!$D$21*$CD$24)-p_gap-$CD$13*(1-BDC!$M$21)</f>
        <v>0.113624404520465</v>
      </c>
      <c r="BK22" s="43" t="n">
        <f aca="false">(1-BDC!$D$21)*$CD$25+BDC!$D$21*$CD$26</f>
        <v>0.0681894721257781</v>
      </c>
      <c r="BL22" s="45" t="n">
        <f aca="false">BJ22/BDC!$K$21</f>
        <v>0.293980602171997</v>
      </c>
      <c r="BM22" s="35" t="n">
        <f aca="false">IF(BL22&lt;1.5,BDC!$C$21,0)</f>
        <v>6.34</v>
      </c>
      <c r="BN22" s="43" t="n">
        <f aca="false">MAX(0,1-BJ22*(1-CE_mig_hc)-p_bb_cush)*BDC!$Q$21</f>
        <v>0.16825360740654</v>
      </c>
      <c r="BO22" s="43" t="n">
        <f aca="false">MAX(0,BDC!$K$21-BJ22/1.5)</f>
        <v>0.310753464471019</v>
      </c>
      <c r="BP22" s="43" t="n">
        <f aca="false">MIN(MIN(1,BDC!$H$21*$CD$16),$CD$15)</f>
        <v>0</v>
      </c>
      <c r="BQ22" s="43" t="n">
        <f aca="false">BDC!$I$21*BDC!$J$21*BP22*(1-0.3)</f>
        <v>0</v>
      </c>
      <c r="BR22" s="45" t="n">
        <f aca="false">BDC!$C$21*($CD$14*MAX(BN22,BO22)+BQ22)</f>
        <v>1.97017696470248</v>
      </c>
      <c r="CC22" s="10" t="s">
        <v>987</v>
      </c>
      <c r="CD22" s="43" t="n">
        <f aca="false">SUMPRODUCT(CreditEngine!$B$6:$B$10,$BV$7:$BV$11)</f>
        <v>0.924318714447146</v>
      </c>
    </row>
    <row r="23" customFormat="false" ht="15" hidden="false" customHeight="true" outlineLevel="0" collapsed="false">
      <c r="A23" s="10" t="s">
        <v>530</v>
      </c>
      <c r="B23" s="35" t="n">
        <f aca="false">Modules!$W22</f>
        <v>80.3996908492729</v>
      </c>
      <c r="C23" s="39" t="n">
        <f aca="false">Modules!$X22</f>
        <v>0.082018437906808</v>
      </c>
      <c r="D23" s="44" t="n">
        <f aca="false">IF(C23&lt;Inputs_Banks!$I22,1,0)</f>
        <v>1</v>
      </c>
      <c r="E23" s="44" t="n">
        <f aca="false">IF(C23&lt;0.045,1,0)</f>
        <v>0</v>
      </c>
      <c r="F23" s="44" t="n">
        <f aca="false">IF(B23&lt;0,1,0)</f>
        <v>0</v>
      </c>
      <c r="G23" s="44" t="n">
        <f aca="false">MIN(6,MIN(3,INT(MAX(0,Inputs_Banks!$BA22-C23)/p_notch_step))+D23+2*E23)</f>
        <v>2</v>
      </c>
      <c r="H23" s="39" t="n">
        <f aca="false">C23-Inputs_Banks!$I22</f>
        <v>-0.022281562093192</v>
      </c>
      <c r="I23" s="44" t="n">
        <f aca="false">RANK(H23,$H$7:$H$30,1)</f>
        <v>13</v>
      </c>
      <c r="J23" s="44" t="n">
        <f aca="false">MAX(IF(I23&lt;=g_n_weak,1,0),E23)</f>
        <v>0</v>
      </c>
      <c r="K23" s="44" t="n">
        <f aca="false">IF(I23&gt;12,1,0)*(1-E23)</f>
        <v>1</v>
      </c>
      <c r="L23" s="35" t="n">
        <f aca="false">INDEX(Inputs_Banks!$AR22:$AX22,1,G23+1)</f>
        <v>0.981862</v>
      </c>
      <c r="M23" s="35" t="n">
        <f aca="false">Inputs_Banks!$AI22*MIN(1,p_u_base+$CD$10*p_u_pan_all+J23*($CD$10*p_u_pan_weak+p_u_mda*D23)+p_u_notch*G23+p_u_fail*E23)</f>
        <v>133.72131565154</v>
      </c>
      <c r="N23" s="35" t="n">
        <f aca="false">Inputs_Banks!$AK22*MIN(1,p_w_base+p_w_pan*$CD$10+p_w_notch*G23+0.5*D23+1*E23)</f>
        <v>28.3758118</v>
      </c>
      <c r="O23" s="35" t="n">
        <f aca="false">Inputs_Banks!$AO22*MIN(1,p_cp_base+p_cp_pan*$CD$10+p_cp_notch*G23)</f>
        <v>6.01</v>
      </c>
      <c r="P23" s="35" t="n">
        <f aca="false">Inputs_Banks!$AN22*(p_dh+p_dh_pan*$CD$10+MIN(1,0.5*$CD$17+0.25*G23))</f>
        <v>327.022854099865</v>
      </c>
      <c r="Q23" s="35" t="n">
        <f aca="false">Modules!$Y22</f>
        <v>9.7948712</v>
      </c>
      <c r="R23" s="35" t="n">
        <f aca="false">Inputs_Banks!$AJ22*K23</f>
        <v>1423.4110499</v>
      </c>
      <c r="S23" s="35" t="n">
        <f aca="false">p_liq_on*$CD$18*SUM($M$7:$M$30)*R23/MAX(0.000000001,SUM($R$7:$R$30))</f>
        <v>122.674115590651</v>
      </c>
      <c r="T23" s="35" t="n">
        <f aca="false">p_liq_on*(L23+M23+N23+O23+P23+Q23)</f>
        <v>505.906714751405</v>
      </c>
      <c r="U23" s="35" t="n">
        <f aca="false">g_usable*Inputs_Banks!$AG22+p_cb_on*Inputs_Banks!$AQ22+S23</f>
        <v>837.378315590651</v>
      </c>
      <c r="V23" s="35" t="n">
        <f aca="false">MAX(0,T23-U23)</f>
        <v>0</v>
      </c>
      <c r="W23" s="44" t="n">
        <f aca="false">IF(V23&gt;0.9*Inputs_Banks!$BB22,1,0)</f>
        <v>0</v>
      </c>
      <c r="X23" s="43" t="n">
        <f aca="false">MAX(p_htm_forced,(1-p_cb_on)*MIN(1,T23/Inputs_Banks!$AG22)*g_theta_sell)</f>
        <v>0.25</v>
      </c>
      <c r="Y23" s="35" t="n">
        <f aca="false">MAX(0,Modules!$V22-B23/(Inputs_Banks!$I22+g_del_buf))</f>
        <v>244.676329521749</v>
      </c>
      <c r="Z23" s="35" t="n">
        <f aca="false">MIN(g_del_cap*Inputs_Banks!$BB22,Y23)</f>
        <v>88.1275</v>
      </c>
      <c r="AA23" s="35" t="n">
        <f aca="false">MIN(Inputs_Banks!$BB22,V23+Z23)</f>
        <v>88.1275</v>
      </c>
      <c r="AB23" s="35" t="n">
        <f aca="false">$AA23*Holdings!Q22</f>
        <v>0</v>
      </c>
      <c r="AC23" s="35" t="n">
        <f aca="false">$AA23*Holdings!R22</f>
        <v>0</v>
      </c>
      <c r="AD23" s="35" t="n">
        <f aca="false">$AA23*Holdings!S22</f>
        <v>0</v>
      </c>
      <c r="AE23" s="35" t="n">
        <f aca="false">$AA23*Holdings!T22</f>
        <v>0</v>
      </c>
      <c r="AF23" s="35" t="n">
        <f aca="false">$AA23*Holdings!U22</f>
        <v>36.3325</v>
      </c>
      <c r="AG23" s="35" t="n">
        <f aca="false">$AA23*Holdings!V22</f>
        <v>0</v>
      </c>
      <c r="AH23" s="35" t="n">
        <f aca="false">$AA23*Holdings!W22</f>
        <v>3.365</v>
      </c>
      <c r="AI23" s="35" t="n">
        <f aca="false">$AA23*Holdings!X22</f>
        <v>0</v>
      </c>
      <c r="AJ23" s="35" t="n">
        <f aca="false">$AA23*Holdings!Y22</f>
        <v>0</v>
      </c>
      <c r="AK23" s="35" t="n">
        <f aca="false">$AA23*Holdings!Z22</f>
        <v>0</v>
      </c>
      <c r="AL23" s="35" t="n">
        <f aca="false">$AA23*Holdings!AA22</f>
        <v>48.43</v>
      </c>
      <c r="AM23" s="35" t="n">
        <f aca="false">$AA23*Holdings!AB22</f>
        <v>0</v>
      </c>
      <c r="AN23" s="35" t="n">
        <f aca="false">$AA23*Holdings!AC22</f>
        <v>0</v>
      </c>
      <c r="AO23" s="43" t="n">
        <f aca="false">MIN(1,$CD$17+0.5*G23)</f>
        <v>1</v>
      </c>
      <c r="AP23" s="35" t="n">
        <f aca="false">p_liq_on*Inputs_Banks!$AP22*AO23*p_mb_psi</f>
        <v>11.592</v>
      </c>
      <c r="AQ23" s="44" t="n">
        <f aca="false">MAX(F23,E23,W23*(1-p_cb_on))</f>
        <v>0</v>
      </c>
      <c r="AR23" s="35" t="n">
        <f aca="false">p_ib_on*p_lgd_ib*g_s_in*g_u_ib*SUMPRODUCT(Network!S$6:S$29,$AQ$7:$AQ$30)</f>
        <v>2.48920182764885</v>
      </c>
      <c r="AS23" s="35" t="n">
        <f aca="false">p_sw_M1*(SUMPRODUCT(BDC_EAD!S$106:S$127,$BF$7:$BF$28)+SUMPRODUCT(BDC_EAD!S$131:S$152,$BG$7:$BG$28)+(Inputs_Banks!$Y22+p_ccf_bl*Inputs_Banks!$Z22)*$CD$30+Modules!$E22)</f>
        <v>23.7487346886569</v>
      </c>
      <c r="AT23" s="35" t="n">
        <f aca="false">p_sw_M3*(Inputs_Banks!$U22+p_ccf_abf*Inputs_Banks!$V22)*$CD$31</f>
        <v>3.32869028858186</v>
      </c>
      <c r="AU23" s="35" t="n">
        <f aca="false">p_sw_M10*Inputs_Banks!$AC22*$CD$32</f>
        <v>0</v>
      </c>
      <c r="AV23" s="35" t="n">
        <f aca="false">p_sw_M8*(Modules!$M22+Modules!$N22*IF(p_liq_on&gt;0,X23,p_htm_forced))</f>
        <v>4.40625</v>
      </c>
      <c r="AW23" s="35" t="n">
        <f aca="false">SUMPRODUCT(Holdings!$C22:$O22,Holdings!$C$32:$O$32,$AB$32:$AN$32)+Inputs_Banks!$P22*$AL$32</f>
        <v>14.9887897656844</v>
      </c>
      <c r="AX23" s="35" t="n">
        <f aca="false">Modules!$T22+AS23+AT23+AU23+AV23+AW23+AR23</f>
        <v>68.9720443269147</v>
      </c>
      <c r="AY23" s="35" t="n">
        <f aca="false">Modules!$U22-(1-p_tax)*AX23</f>
        <v>48.8513956730853</v>
      </c>
      <c r="AZ23" s="39" t="n">
        <f aca="false">AY23/Modules!$V22</f>
        <v>0.0498349573281984</v>
      </c>
      <c r="BA23" s="48" t="s">
        <v>638</v>
      </c>
      <c r="BB23" s="43" t="n">
        <f aca="false">INDEX($BJ$7:$BJ$40,BDC_EAD!$B22)</f>
        <v>0.393709594078688</v>
      </c>
      <c r="BC23" s="43" t="n">
        <f aca="false">INDEX($BK$7:$BK$40,BDC_EAD!$B22)</f>
        <v>0.0647242624080805</v>
      </c>
      <c r="BD23" s="22" t="n">
        <f aca="false">INDEX(BDC!$Q$6:$Q$39,BDC_EAD!$B22)</f>
        <v>0.177509433962264</v>
      </c>
      <c r="BE23" s="43" t="n">
        <f aca="false">BB23*(1-$AK$32)-BC23-p_c_liq</f>
        <v>0.101816014335198</v>
      </c>
      <c r="BF23" s="43" t="n">
        <f aca="false">p_phi*MAX(0,p_a_spv-BE23)/p_a_spv+(1-p_phi)*MAX(0,p_a_spv-BB23)/p_a_spv</f>
        <v>0.771150385308721</v>
      </c>
      <c r="BG23" s="43" t="n">
        <f aca="false">IF(BD23&gt;0,p_phi*MAX(0,BD23-BE23)/BD23+(1-p_phi)*MAX(0,BD23-BB23)/BD23,0)</f>
        <v>0.341135309543752</v>
      </c>
      <c r="BI23" s="12" t="str">
        <f aca="false">BDC!$A$22</f>
        <v>NHPIF</v>
      </c>
      <c r="BJ23" s="43" t="n">
        <f aca="false">1-((1-BDC!$D$22)*$CD$23+BDC!$D$22*$CD$24)-p_gap-$CD$13*(1-BDC!$M$22)</f>
        <v>0.401231175134181</v>
      </c>
      <c r="BK23" s="43" t="n">
        <f aca="false">(1-BDC!$D$22)*$CD$25+BDC!$D$22*$CD$26</f>
        <v>0.0605883669385704</v>
      </c>
      <c r="BL23" s="45" t="n">
        <f aca="false">BJ23/BDC!$K$22</f>
        <v>0.819180315898952</v>
      </c>
      <c r="BM23" s="35" t="n">
        <f aca="false">IF(BL23&lt;1.5,BDC!$C$22,0)</f>
        <v>5.98</v>
      </c>
      <c r="BN23" s="43" t="n">
        <f aca="false">MAX(0,1-BJ23*(1-CE_mig_hc)-p_bb_cush)*BDC!$Q$22</f>
        <v>0.151630856361245</v>
      </c>
      <c r="BO23" s="43" t="n">
        <f aca="false">MAX(0,BDC!$K$22-BJ23/1.5)</f>
        <v>0.222308468277893</v>
      </c>
      <c r="BP23" s="43" t="n">
        <f aca="false">MIN(MIN(1,BDC!$H$22*$CD$16),$CD$15)</f>
        <v>0.249999999977776</v>
      </c>
      <c r="BQ23" s="43" t="n">
        <f aca="false">BDC!$I$22*BDC!$J$22*BP23*(1-0.3)</f>
        <v>0.0892857142777772</v>
      </c>
      <c r="BR23" s="45" t="n">
        <f aca="false">BDC!$C$22*($CD$14*MAX(BN23,BO23)+BQ23)</f>
        <v>1.86333321165336</v>
      </c>
      <c r="CC23" s="10" t="s">
        <v>988</v>
      </c>
      <c r="CD23" s="43" t="n">
        <f aca="false">$CD$21*p_lgd_gen-CE_PDb*g_lgd_gen_b</f>
        <v>0.332131634185789</v>
      </c>
    </row>
    <row r="24" customFormat="false" ht="15" hidden="false" customHeight="true" outlineLevel="0" collapsed="false">
      <c r="A24" s="10" t="s">
        <v>532</v>
      </c>
      <c r="B24" s="35" t="n">
        <f aca="false">Modules!$W23</f>
        <v>45.6054754912281</v>
      </c>
      <c r="C24" s="39" t="n">
        <f aca="false">Modules!$X23</f>
        <v>0.0910993331642846</v>
      </c>
      <c r="D24" s="44" t="n">
        <f aca="false">IF(C24&lt;Inputs_Banks!$I23,1,0)</f>
        <v>1</v>
      </c>
      <c r="E24" s="44" t="n">
        <f aca="false">IF(C24&lt;0.045,1,0)</f>
        <v>0</v>
      </c>
      <c r="F24" s="44" t="n">
        <f aca="false">IF(B24&lt;0,1,0)</f>
        <v>0</v>
      </c>
      <c r="G24" s="44" t="n">
        <f aca="false">MIN(6,MIN(3,INT(MAX(0,Inputs_Banks!$BA23-C24)/p_notch_step))+D24+2*E24)</f>
        <v>2</v>
      </c>
      <c r="H24" s="39" t="n">
        <f aca="false">C24-Inputs_Banks!$I23</f>
        <v>-0.0115006668357154</v>
      </c>
      <c r="I24" s="44" t="n">
        <f aca="false">RANK(H24,$H$7:$H$30,1)</f>
        <v>17</v>
      </c>
      <c r="J24" s="44" t="n">
        <f aca="false">MAX(IF(I24&lt;=g_n_weak,1,0),E24)</f>
        <v>0</v>
      </c>
      <c r="K24" s="44" t="n">
        <f aca="false">IF(I24&gt;12,1,0)*(1-E24)</f>
        <v>1</v>
      </c>
      <c r="L24" s="35" t="n">
        <f aca="false">INDEX(Inputs_Banks!$AR23:$AX23,1,G24+1)</f>
        <v>0.6005342</v>
      </c>
      <c r="M24" s="35" t="n">
        <f aca="false">Inputs_Banks!$AI23*MIN(1,p_u_base+$CD$10*p_u_pan_all+J24*($CD$10*p_u_pan_weak+p_u_mda*D24)+p_u_notch*G24+p_u_fail*E24)</f>
        <v>63.2828291918427</v>
      </c>
      <c r="N24" s="35" t="n">
        <f aca="false">Inputs_Banks!$AK23*MIN(1,p_w_base+p_w_pan*$CD$10+p_w_notch*G24+0.5*D24+1*E24)</f>
        <v>0</v>
      </c>
      <c r="O24" s="35" t="n">
        <f aca="false">Inputs_Banks!$AO23*MIN(1,p_cp_base+p_cp_pan*$CD$10+p_cp_notch*G24)</f>
        <v>3.8</v>
      </c>
      <c r="P24" s="35" t="n">
        <f aca="false">Inputs_Banks!$AN23*(p_dh+p_dh_pan*$CD$10+MIN(1,0.5*$CD$17+0.25*G24))</f>
        <v>128.300227262839</v>
      </c>
      <c r="Q24" s="35" t="n">
        <f aca="false">Modules!$Y23</f>
        <v>3.506521</v>
      </c>
      <c r="R24" s="35" t="n">
        <f aca="false">Inputs_Banks!$AJ23*K24</f>
        <v>611.4283014</v>
      </c>
      <c r="S24" s="35" t="n">
        <f aca="false">p_liq_on*$CD$18*SUM($M$7:$M$30)*R24/MAX(0.000000001,SUM($R$7:$R$30))</f>
        <v>52.6948460366444</v>
      </c>
      <c r="T24" s="35" t="n">
        <f aca="false">p_liq_on*(L24+M24+N24+O24+P24+Q24)</f>
        <v>199.490111654681</v>
      </c>
      <c r="U24" s="35" t="n">
        <f aca="false">g_usable*Inputs_Banks!$AG23+p_cb_on*Inputs_Banks!$AQ23+S24</f>
        <v>489.452181036644</v>
      </c>
      <c r="V24" s="35" t="n">
        <f aca="false">MAX(0,T24-U24)</f>
        <v>0</v>
      </c>
      <c r="W24" s="44" t="n">
        <f aca="false">IF(V24&gt;0.9*Inputs_Banks!$BB23,1,0)</f>
        <v>0</v>
      </c>
      <c r="X24" s="43" t="n">
        <f aca="false">MAX(p_htm_forced,(1-p_cb_on)*MIN(1,T24/Inputs_Banks!$AG23)*g_theta_sell)</f>
        <v>0.166093880793701</v>
      </c>
      <c r="Y24" s="35" t="n">
        <f aca="false">MAX(0,Modules!$V23-B24/(Inputs_Banks!$I23+g_del_buf))</f>
        <v>76.7699069737168</v>
      </c>
      <c r="Z24" s="35" t="n">
        <f aca="false">MIN(g_del_cap*Inputs_Banks!$BB23,Y24)</f>
        <v>40.9075</v>
      </c>
      <c r="AA24" s="35" t="n">
        <f aca="false">MIN(Inputs_Banks!$BB23,V24+Z24)</f>
        <v>40.9075</v>
      </c>
      <c r="AB24" s="35" t="n">
        <f aca="false">$AA24*Holdings!Q23</f>
        <v>0</v>
      </c>
      <c r="AC24" s="35" t="n">
        <f aca="false">$AA24*Holdings!R23</f>
        <v>0</v>
      </c>
      <c r="AD24" s="35" t="n">
        <f aca="false">$AA24*Holdings!S23</f>
        <v>0</v>
      </c>
      <c r="AE24" s="35" t="n">
        <f aca="false">$AA24*Holdings!T23</f>
        <v>0</v>
      </c>
      <c r="AF24" s="35" t="n">
        <f aca="false">$AA24*Holdings!U23</f>
        <v>6.4975</v>
      </c>
      <c r="AG24" s="35" t="n">
        <f aca="false">$AA24*Holdings!V23</f>
        <v>0</v>
      </c>
      <c r="AH24" s="35" t="n">
        <f aca="false">$AA24*Holdings!W23</f>
        <v>2.6375</v>
      </c>
      <c r="AI24" s="35" t="n">
        <f aca="false">$AA24*Holdings!X23</f>
        <v>0</v>
      </c>
      <c r="AJ24" s="35" t="n">
        <f aca="false">$AA24*Holdings!Y23</f>
        <v>0</v>
      </c>
      <c r="AK24" s="35" t="n">
        <f aca="false">$AA24*Holdings!Z23</f>
        <v>0</v>
      </c>
      <c r="AL24" s="35" t="n">
        <f aca="false">$AA24*Holdings!AA23</f>
        <v>31.7725</v>
      </c>
      <c r="AM24" s="35" t="n">
        <f aca="false">$AA24*Holdings!AB23</f>
        <v>0</v>
      </c>
      <c r="AN24" s="35" t="n">
        <f aca="false">$AA24*Holdings!AC23</f>
        <v>0</v>
      </c>
      <c r="AO24" s="43" t="n">
        <f aca="false">MIN(1,$CD$17+0.5*G24)</f>
        <v>1</v>
      </c>
      <c r="AP24" s="35" t="n">
        <f aca="false">p_liq_on*Inputs_Banks!$AP23*AO24*p_mb_psi</f>
        <v>5.856</v>
      </c>
      <c r="AQ24" s="44" t="n">
        <f aca="false">MAX(F24,E24,W24*(1-p_cb_on))</f>
        <v>0</v>
      </c>
      <c r="AR24" s="35" t="n">
        <f aca="false">p_ib_on*p_lgd_ib*g_s_in*g_u_ib*SUMPRODUCT(Network!T$6:T$29,$AQ$7:$AQ$30)</f>
        <v>1.64884440487313</v>
      </c>
      <c r="AS24" s="35" t="n">
        <f aca="false">p_sw_M1*(SUMPRODUCT(BDC_EAD!T$106:T$127,$BF$7:$BF$28)+SUMPRODUCT(BDC_EAD!T$131:T$152,$BG$7:$BG$28)+(Inputs_Banks!$Y23+p_ccf_bl*Inputs_Banks!$Z23)*$CD$30+Modules!$E23)</f>
        <v>11.9173703230476</v>
      </c>
      <c r="AT24" s="35" t="n">
        <f aca="false">p_sw_M3*(Inputs_Banks!$U23+p_ccf_abf*Inputs_Banks!$V23)*$CD$31</f>
        <v>0</v>
      </c>
      <c r="AU24" s="35" t="n">
        <f aca="false">p_sw_M10*Inputs_Banks!$AC23*$CD$32</f>
        <v>0</v>
      </c>
      <c r="AV24" s="35" t="n">
        <f aca="false">p_sw_M8*(Modules!$M23+Modules!$N23*IF(p_liq_on&gt;0,X24,p_htm_forced))</f>
        <v>1.43483020459436</v>
      </c>
      <c r="AW24" s="35" t="n">
        <f aca="false">SUMPRODUCT(Holdings!$C23:$O23,Holdings!$C$32:$O$32,$AB$32:$AN$32)+Inputs_Banks!$P23*$AL$32</f>
        <v>5.90533887749545</v>
      </c>
      <c r="AX24" s="35" t="n">
        <f aca="false">Modules!$T23+AS24+AT24+AU24+AV24+AW24+AR24</f>
        <v>28.3780559860926</v>
      </c>
      <c r="AY24" s="35" t="n">
        <f aca="false">Modules!$U23-(1-p_tax)*AX24</f>
        <v>32.7028940139074</v>
      </c>
      <c r="AZ24" s="39" t="n">
        <f aca="false">AY24/Modules!$V23</f>
        <v>0.0653257488299245</v>
      </c>
      <c r="BA24" s="48" t="s">
        <v>631</v>
      </c>
      <c r="BB24" s="43" t="n">
        <f aca="false">INDEX($BJ$7:$BJ$40,BDC_EAD!$B23)</f>
        <v>0.421663471178492</v>
      </c>
      <c r="BC24" s="43" t="n">
        <f aca="false">INDEX($BK$7:$BK$40,BDC_EAD!$B23)</f>
        <v>0.0639790560171777</v>
      </c>
      <c r="BD24" s="22" t="n">
        <f aca="false">INDEX(BDC!$Q$6:$Q$39,BDC_EAD!$B23)</f>
        <v>0.276335078534031</v>
      </c>
      <c r="BE24" s="43" t="n">
        <f aca="false">BB24*(1-$AK$32)-BC24-p_c_liq</f>
        <v>0.117935853130993</v>
      </c>
      <c r="BF24" s="43" t="n">
        <f aca="false">p_phi*MAX(0,p_a_spv-BE24)/p_a_spv+(1-p_phi)*MAX(0,p_a_spv-BB24)/p_a_spv</f>
        <v>0.744740890370725</v>
      </c>
      <c r="BG24" s="43" t="n">
        <f aca="false">IF(BD24&gt;0,p_phi*MAX(0,BD24-BE24)/BD24+(1-p_phi)*MAX(0,BD24-BB24)/BD24,0)</f>
        <v>0.458571459673821</v>
      </c>
      <c r="BI24" s="12" t="str">
        <f aca="false">BDC!$A$23</f>
        <v>MAIN</v>
      </c>
      <c r="BJ24" s="43" t="n">
        <f aca="false">1-((1-BDC!$D$23)*$CD$23+BDC!$D$23*$CD$24)-p_gap-$CD$13*(1-BDC!$M$23)</f>
        <v>0.556417298800366</v>
      </c>
      <c r="BK24" s="43" t="n">
        <f aca="false">(1-BDC!$D$23)*$CD$25+BDC!$D$23*$CD$26</f>
        <v>0.0671461831785143</v>
      </c>
      <c r="BL24" s="45" t="n">
        <f aca="false">BJ24/BDC!$K$23</f>
        <v>1.25193892230082</v>
      </c>
      <c r="BM24" s="35" t="n">
        <f aca="false">IF(BL24&lt;1.5,BDC!$C$23,0)</f>
        <v>5.75</v>
      </c>
      <c r="BN24" s="43" t="n">
        <f aca="false">MAX(0,1-BJ24*(1-CE_mig_hc)-p_bb_cush)*BDC!$Q$23</f>
        <v>0.0500652781165295</v>
      </c>
      <c r="BO24" s="43" t="n">
        <f aca="false">MAX(0,BDC!$K$23-BJ24/1.5)</f>
        <v>0.0734995785775341</v>
      </c>
      <c r="BP24" s="43" t="n">
        <f aca="false">MIN(MIN(1,BDC!$H$23*$CD$16),$CD$15)</f>
        <v>0</v>
      </c>
      <c r="BQ24" s="43" t="n">
        <f aca="false">BDC!$I$23*BDC!$J$23*BP24*(1-0.3)</f>
        <v>0</v>
      </c>
      <c r="BR24" s="45" t="n">
        <f aca="false">BDC!$C$23*($CD$14*MAX(BN24,BO24)+BQ24)</f>
        <v>0.422622576811429</v>
      </c>
      <c r="CC24" s="10" t="s">
        <v>989</v>
      </c>
      <c r="CD24" s="43" t="n">
        <f aca="false">$CD$22*p_lgd_sw-CE_PDb*g_lgd_sw_b</f>
        <v>0.556662359947455</v>
      </c>
    </row>
    <row r="25" customFormat="false" ht="15" hidden="false" customHeight="true" outlineLevel="0" collapsed="false">
      <c r="A25" s="10" t="s">
        <v>534</v>
      </c>
      <c r="B25" s="35" t="n">
        <f aca="false">Modules!$W24</f>
        <v>62.00224720233</v>
      </c>
      <c r="C25" s="39" t="n">
        <f aca="false">Modules!$X24</f>
        <v>0.113930319806123</v>
      </c>
      <c r="D25" s="44" t="n">
        <f aca="false">IF(C25&lt;Inputs_Banks!$I24,1,0)</f>
        <v>0</v>
      </c>
      <c r="E25" s="44" t="n">
        <f aca="false">IF(C25&lt;0.045,1,0)</f>
        <v>0</v>
      </c>
      <c r="F25" s="44" t="n">
        <f aca="false">IF(B25&lt;0,1,0)</f>
        <v>0</v>
      </c>
      <c r="G25" s="44" t="n">
        <f aca="false">MIN(6,MIN(3,INT(MAX(0,Inputs_Banks!$BA24-C25)/p_notch_step))+D25+2*E25)</f>
        <v>1</v>
      </c>
      <c r="H25" s="39" t="n">
        <f aca="false">C25-Inputs_Banks!$I24</f>
        <v>0.00563031980612339</v>
      </c>
      <c r="I25" s="44" t="n">
        <f aca="false">RANK(H25,$H$7:$H$30,1)</f>
        <v>23</v>
      </c>
      <c r="J25" s="44" t="n">
        <f aca="false">MAX(IF(I25&lt;=g_n_weak,1,0),E25)</f>
        <v>0</v>
      </c>
      <c r="K25" s="44" t="n">
        <f aca="false">IF(I25&gt;12,1,0)*(1-E25)</f>
        <v>1</v>
      </c>
      <c r="L25" s="35" t="n">
        <f aca="false">INDEX(Inputs_Banks!$AR24:$AX24,1,G25+1)</f>
        <v>0.3418</v>
      </c>
      <c r="M25" s="35" t="n">
        <f aca="false">Inputs_Banks!$AI24*MIN(1,p_u_base+$CD$10*p_u_pan_all+J25*($CD$10*p_u_pan_weak+p_u_mda*D25)+p_u_notch*G25+p_u_fail*E25)</f>
        <v>69.4422449959388</v>
      </c>
      <c r="N25" s="35" t="n">
        <f aca="false">Inputs_Banks!$AK24*MIN(1,p_w_base+p_w_pan*$CD$10+p_w_notch*G25+0.5*D25+1*E25)</f>
        <v>44.031</v>
      </c>
      <c r="O25" s="35" t="n">
        <f aca="false">Inputs_Banks!$AO24*MIN(1,p_cp_base+p_cp_pan*$CD$10+p_cp_notch*G25)</f>
        <v>6.29</v>
      </c>
      <c r="P25" s="35" t="n">
        <f aca="false">Inputs_Banks!$AN24*(p_dh+p_dh_pan*$CD$10+MIN(1,0.5*$CD$17+0.25*G25))</f>
        <v>19.2220599987275</v>
      </c>
      <c r="Q25" s="35" t="n">
        <f aca="false">Modules!$Y24</f>
        <v>0.730916</v>
      </c>
      <c r="R25" s="35" t="n">
        <f aca="false">Inputs_Banks!$AJ24*K25</f>
        <v>812.19</v>
      </c>
      <c r="S25" s="35" t="n">
        <f aca="false">p_liq_on*$CD$18*SUM($M$7:$M$30)*R25/MAX(0.000000001,SUM($R$7:$R$30))</f>
        <v>69.9971311509562</v>
      </c>
      <c r="T25" s="35" t="n">
        <f aca="false">p_liq_on*(L25+M25+N25+O25+P25+Q25)</f>
        <v>140.058020994666</v>
      </c>
      <c r="U25" s="35" t="n">
        <f aca="false">g_usable*Inputs_Banks!$AG24+p_cb_on*Inputs_Banks!$AQ24+S25</f>
        <v>445.977131150956</v>
      </c>
      <c r="V25" s="35" t="n">
        <f aca="false">MAX(0,T25-U25)</f>
        <v>0</v>
      </c>
      <c r="W25" s="44" t="n">
        <f aca="false">IF(V25&gt;0.9*Inputs_Banks!$BB24,1,0)</f>
        <v>0</v>
      </c>
      <c r="X25" s="43" t="n">
        <f aca="false">MAX(p_htm_forced,(1-p_cb_on)*MIN(1,T25/Inputs_Banks!$AG24)*g_theta_sell)</f>
        <v>0.102441501605227</v>
      </c>
      <c r="Y25" s="35" t="n">
        <f aca="false">MAX(0,Modules!$V24-B25/(Inputs_Banks!$I24+g_del_buf))</f>
        <v>0</v>
      </c>
      <c r="Z25" s="35" t="n">
        <f aca="false">MIN(g_del_cap*Inputs_Banks!$BB24,Y25)</f>
        <v>0</v>
      </c>
      <c r="AA25" s="35" t="n">
        <f aca="false">MIN(Inputs_Banks!$BB24,V25+Z25)</f>
        <v>0</v>
      </c>
      <c r="AB25" s="35" t="n">
        <f aca="false">$AA25*Holdings!Q24</f>
        <v>0</v>
      </c>
      <c r="AC25" s="35" t="n">
        <f aca="false">$AA25*Holdings!R24</f>
        <v>0</v>
      </c>
      <c r="AD25" s="35" t="n">
        <f aca="false">$AA25*Holdings!S24</f>
        <v>0</v>
      </c>
      <c r="AE25" s="35" t="n">
        <f aca="false">$AA25*Holdings!T24</f>
        <v>0</v>
      </c>
      <c r="AF25" s="35" t="n">
        <f aca="false">$AA25*Holdings!U24</f>
        <v>0</v>
      </c>
      <c r="AG25" s="35" t="n">
        <f aca="false">$AA25*Holdings!V24</f>
        <v>0</v>
      </c>
      <c r="AH25" s="35" t="n">
        <f aca="false">$AA25*Holdings!W24</f>
        <v>0</v>
      </c>
      <c r="AI25" s="35" t="n">
        <f aca="false">$AA25*Holdings!X24</f>
        <v>0</v>
      </c>
      <c r="AJ25" s="35" t="n">
        <f aca="false">$AA25*Holdings!Y24</f>
        <v>0</v>
      </c>
      <c r="AK25" s="35" t="n">
        <f aca="false">$AA25*Holdings!Z24</f>
        <v>0</v>
      </c>
      <c r="AL25" s="35" t="n">
        <f aca="false">$AA25*Holdings!AA24</f>
        <v>0</v>
      </c>
      <c r="AM25" s="35" t="n">
        <f aca="false">$AA25*Holdings!AB24</f>
        <v>0</v>
      </c>
      <c r="AN25" s="35" t="n">
        <f aca="false">$AA25*Holdings!AC24</f>
        <v>0</v>
      </c>
      <c r="AO25" s="43" t="n">
        <f aca="false">MIN(1,$CD$17+0.5*G25)</f>
        <v>1</v>
      </c>
      <c r="AP25" s="35" t="n">
        <f aca="false">p_liq_on*Inputs_Banks!$AP24*AO25*p_mb_psi</f>
        <v>0.18</v>
      </c>
      <c r="AQ25" s="44" t="n">
        <f aca="false">MAX(F25,E25,W25*(1-p_cb_on))</f>
        <v>0</v>
      </c>
      <c r="AR25" s="35" t="n">
        <f aca="false">p_ib_on*p_lgd_ib*g_s_in*g_u_ib*SUMPRODUCT(Network!U$6:U$29,$AQ$7:$AQ$30)</f>
        <v>1.88021071338222</v>
      </c>
      <c r="AS25" s="35" t="n">
        <f aca="false">p_sw_M1*(SUMPRODUCT(BDC_EAD!U$106:U$127,$BF$7:$BF$28)+SUMPRODUCT(BDC_EAD!U$131:U$152,$BG$7:$BG$28)+(Inputs_Banks!$Y24+p_ccf_bl*Inputs_Banks!$Z24)*$CD$30+Modules!$E24)</f>
        <v>0.0607767881712239</v>
      </c>
      <c r="AT25" s="35" t="n">
        <f aca="false">p_sw_M3*(Inputs_Banks!$U24+p_ccf_abf*Inputs_Banks!$V24)*$CD$31</f>
        <v>0</v>
      </c>
      <c r="AU25" s="35" t="n">
        <f aca="false">p_sw_M10*Inputs_Banks!$AC24*$CD$32</f>
        <v>0</v>
      </c>
      <c r="AV25" s="35" t="n">
        <f aca="false">p_sw_M8*(Modules!$M24+Modules!$N24*IF(p_liq_on&gt;0,X25,p_htm_forced))</f>
        <v>0.499330206228499</v>
      </c>
      <c r="AW25" s="35" t="n">
        <f aca="false">SUMPRODUCT(Holdings!$C24:$O24,Holdings!$C$32:$O$32,$AB$32:$AN$32)+Inputs_Banks!$P24*$AL$32</f>
        <v>6.41985263258481</v>
      </c>
      <c r="AX25" s="35" t="n">
        <f aca="false">Modules!$T24+AS25+AT25+AU25+AV25+AW25+AR25</f>
        <v>19.0126731380367</v>
      </c>
      <c r="AY25" s="35" t="n">
        <f aca="false">Modules!$U24-(1-p_tax)*AX25</f>
        <v>53.4513268619633</v>
      </c>
      <c r="AZ25" s="39" t="n">
        <f aca="false">AY25/Modules!$V24</f>
        <v>0.0982178394852801</v>
      </c>
      <c r="BA25" s="48" t="s">
        <v>655</v>
      </c>
      <c r="BB25" s="43" t="n">
        <f aca="false">INDEX($BJ$7:$BJ$40,BDC_EAD!$B24)</f>
        <v>0.392098725311922</v>
      </c>
      <c r="BC25" s="43" t="n">
        <f aca="false">INDEX($BK$7:$BK$40,BDC_EAD!$B24)</f>
        <v>0.0620042590812855</v>
      </c>
      <c r="BD25" s="22" t="n">
        <f aca="false">INDEX(BDC!$Q$6:$Q$39,BDC_EAD!$B24)</f>
        <v>0.254901960784314</v>
      </c>
      <c r="BE25" s="43" t="n">
        <f aca="false">BB25*(1-$AK$32)-BC25-p_c_liq</f>
        <v>0.103650039840272</v>
      </c>
      <c r="BF25" s="43" t="n">
        <f aca="false">p_phi*MAX(0,p_a_spv-BE25)/p_a_spv+(1-p_phi)*MAX(0,p_a_spv-BB25)/p_a_spv</f>
        <v>0.76951460437914</v>
      </c>
      <c r="BG25" s="43" t="n">
        <f aca="false">IF(BD25&gt;0,p_phi*MAX(0,BD25-BE25)/BD25+(1-p_phi)*MAX(0,BD25-BB25)/BD25,0)</f>
        <v>0.474698336501301</v>
      </c>
      <c r="BI25" s="12" t="str">
        <f aca="false">BDC!$A$24</f>
        <v>OTIC</v>
      </c>
      <c r="BJ25" s="43" t="n">
        <f aca="false">1-((1-BDC!$D$24)*$CD$23+BDC!$D$24*$CD$24)-p_gap-$CD$13*(1-BDC!$M$24)</f>
        <v>0.384840432153579</v>
      </c>
      <c r="BK25" s="43" t="n">
        <f aca="false">(1-BDC!$D$24)*$CD$25+BDC!$D$24*$CD$26</f>
        <v>0.0578683636117754</v>
      </c>
      <c r="BL25" s="45" t="n">
        <f aca="false">BJ25/BDC!$K$24</f>
        <v>0.832329306750764</v>
      </c>
      <c r="BM25" s="35" t="n">
        <f aca="false">IF(BL25&lt;1.5,BDC!$C$24,0)</f>
        <v>5.06</v>
      </c>
      <c r="BN25" s="43" t="n">
        <f aca="false">MAX(0,1-BJ25*(1-CE_mig_hc)-p_bb_cush)*BDC!$Q$24</f>
        <v>0.270936849239455</v>
      </c>
      <c r="BO25" s="43" t="n">
        <f aca="false">MAX(0,BDC!$K$24-BJ25/1.5)</f>
        <v>0.205805303295463</v>
      </c>
      <c r="BP25" s="43" t="n">
        <f aca="false">MIN(MIN(1,BDC!$H$24*$CD$16),$CD$15)</f>
        <v>0.249999999977776</v>
      </c>
      <c r="BQ25" s="43" t="n">
        <f aca="false">BDC!$I$24*BDC!$J$24*BP25*(1-0.3)</f>
        <v>0.0940860214970126</v>
      </c>
      <c r="BR25" s="45" t="n">
        <f aca="false">BDC!$C$24*($CD$14*MAX(BN25,BO25)+BQ25)</f>
        <v>1.84701572589606</v>
      </c>
      <c r="CC25" s="10" t="s">
        <v>990</v>
      </c>
      <c r="CD25" s="43" t="n">
        <f aca="false">(1-$CD$21)*$CD$12/10000*g_dur_s</f>
        <v>0.0690464594753162</v>
      </c>
    </row>
    <row r="26" customFormat="false" ht="15" hidden="false" customHeight="true" outlineLevel="0" collapsed="false">
      <c r="A26" s="10" t="s">
        <v>535</v>
      </c>
      <c r="B26" s="35" t="n">
        <f aca="false">Modules!$W25</f>
        <v>51.0145876894529</v>
      </c>
      <c r="C26" s="39" t="n">
        <f aca="false">Modules!$X25</f>
        <v>0.0614378414799838</v>
      </c>
      <c r="D26" s="44" t="n">
        <f aca="false">IF(C26&lt;Inputs_Banks!$I25,1,0)</f>
        <v>1</v>
      </c>
      <c r="E26" s="44" t="n">
        <f aca="false">IF(C26&lt;0.045,1,0)</f>
        <v>0</v>
      </c>
      <c r="F26" s="44" t="n">
        <f aca="false">IF(B26&lt;0,1,0)</f>
        <v>0</v>
      </c>
      <c r="G26" s="44" t="n">
        <f aca="false">MIN(6,MIN(3,INT(MAX(0,Inputs_Banks!$BA25-C26)/p_notch_step))+D26+2*E26)</f>
        <v>3</v>
      </c>
      <c r="H26" s="39" t="n">
        <f aca="false">C26-Inputs_Banks!$I25</f>
        <v>-0.0254621585200162</v>
      </c>
      <c r="I26" s="44" t="n">
        <f aca="false">RANK(H26,$H$7:$H$30,1)</f>
        <v>11</v>
      </c>
      <c r="J26" s="44" t="n">
        <f aca="false">MAX(IF(I26&lt;=g_n_weak,1,0),E26)</f>
        <v>0</v>
      </c>
      <c r="K26" s="44" t="n">
        <f aca="false">IF(I26&gt;12,1,0)*(1-E26)</f>
        <v>0</v>
      </c>
      <c r="L26" s="35" t="n">
        <f aca="false">INDEX(Inputs_Banks!$AR25:$AX25,1,G26+1)</f>
        <v>0.613430908308222</v>
      </c>
      <c r="M26" s="35" t="n">
        <f aca="false">Inputs_Banks!$AI25*MIN(1,p_u_base+$CD$10*p_u_pan_all+J26*($CD$10*p_u_pan_weak+p_u_mda*D26)+p_u_notch*G26+p_u_fail*E26)</f>
        <v>205.40347216423</v>
      </c>
      <c r="N26" s="35" t="n">
        <f aca="false">Inputs_Banks!$AK25*MIN(1,p_w_base+p_w_pan*$CD$10+p_w_notch*G26+0.5*D26+1*E26)</f>
        <v>111.414716192116</v>
      </c>
      <c r="O26" s="35" t="n">
        <f aca="false">Inputs_Banks!$AO25*MIN(1,p_cp_base+p_cp_pan*$CD$10+p_cp_notch*G26)</f>
        <v>32.9</v>
      </c>
      <c r="P26" s="35" t="n">
        <f aca="false">Inputs_Banks!$AN25*(p_dh+p_dh_pan*$CD$10+MIN(1,0.5*$CD$17+0.25*G26))</f>
        <v>76.0290509468089</v>
      </c>
      <c r="Q26" s="35" t="n">
        <f aca="false">Modules!$Y25</f>
        <v>21.0243399144764</v>
      </c>
      <c r="R26" s="35" t="n">
        <f aca="false">Inputs_Banks!$AJ25*K26</f>
        <v>0</v>
      </c>
      <c r="S26" s="35" t="n">
        <f aca="false">p_liq_on*$CD$18*SUM($M$7:$M$30)*R26/MAX(0.000000001,SUM($R$7:$R$30))</f>
        <v>0</v>
      </c>
      <c r="T26" s="35" t="n">
        <f aca="false">p_liq_on*(L26+M26+N26+O26+P26+Q26)</f>
        <v>447.385010125939</v>
      </c>
      <c r="U26" s="35" t="n">
        <f aca="false">g_usable*Inputs_Banks!$AG25+p_cb_on*Inputs_Banks!$AQ25+S26</f>
        <v>834.979565832359</v>
      </c>
      <c r="V26" s="35" t="n">
        <f aca="false">MAX(0,T26-U26)</f>
        <v>0</v>
      </c>
      <c r="W26" s="44" t="n">
        <f aca="false">IF(V26&gt;0.9*Inputs_Banks!$BB25,1,0)</f>
        <v>0</v>
      </c>
      <c r="X26" s="43" t="n">
        <f aca="false">MAX(p_htm_forced,(1-p_cb_on)*MIN(1,T26/Inputs_Banks!$AG25)*g_theta_sell)</f>
        <v>0.147345974463445</v>
      </c>
      <c r="Y26" s="35" t="n">
        <f aca="false">MAX(0,Modules!$V25-B26/(Inputs_Banks!$I25+g_del_buf))</f>
        <v>275.234958535012</v>
      </c>
      <c r="Z26" s="35" t="n">
        <f aca="false">MIN(g_del_cap*Inputs_Banks!$BB25,Y26)</f>
        <v>34.975</v>
      </c>
      <c r="AA26" s="35" t="n">
        <f aca="false">MIN(Inputs_Banks!$BB25,V26+Z26)</f>
        <v>34.975</v>
      </c>
      <c r="AB26" s="35" t="n">
        <f aca="false">$AA26*Holdings!Q25</f>
        <v>0</v>
      </c>
      <c r="AC26" s="35" t="n">
        <f aca="false">$AA26*Holdings!R25</f>
        <v>0</v>
      </c>
      <c r="AD26" s="35" t="n">
        <f aca="false">$AA26*Holdings!S25</f>
        <v>0</v>
      </c>
      <c r="AE26" s="35" t="n">
        <f aca="false">$AA26*Holdings!T25</f>
        <v>0</v>
      </c>
      <c r="AF26" s="35" t="n">
        <f aca="false">$AA26*Holdings!U25</f>
        <v>6.2225</v>
      </c>
      <c r="AG26" s="35" t="n">
        <f aca="false">$AA26*Holdings!V25</f>
        <v>0</v>
      </c>
      <c r="AH26" s="35" t="n">
        <f aca="false">$AA26*Holdings!W25</f>
        <v>0</v>
      </c>
      <c r="AI26" s="35" t="n">
        <f aca="false">$AA26*Holdings!X25</f>
        <v>10.6075</v>
      </c>
      <c r="AJ26" s="35" t="n">
        <f aca="false">$AA26*Holdings!Y25</f>
        <v>0</v>
      </c>
      <c r="AK26" s="35" t="n">
        <f aca="false">$AA26*Holdings!Z25</f>
        <v>0</v>
      </c>
      <c r="AL26" s="35" t="n">
        <f aca="false">$AA26*Holdings!AA25</f>
        <v>8.365</v>
      </c>
      <c r="AM26" s="35" t="n">
        <f aca="false">$AA26*Holdings!AB25</f>
        <v>0</v>
      </c>
      <c r="AN26" s="35" t="n">
        <f aca="false">$AA26*Holdings!AC25</f>
        <v>9.78</v>
      </c>
      <c r="AO26" s="43" t="n">
        <f aca="false">MIN(1,$CD$17+0.5*G26)</f>
        <v>1</v>
      </c>
      <c r="AP26" s="35" t="n">
        <f aca="false">p_liq_on*Inputs_Banks!$AP25*AO26*p_mb_psi</f>
        <v>1.674</v>
      </c>
      <c r="AQ26" s="44" t="n">
        <f aca="false">MAX(F26,E26,W26*(1-p_cb_on))</f>
        <v>0</v>
      </c>
      <c r="AR26" s="35" t="n">
        <f aca="false">p_ib_on*p_lgd_ib*g_s_in*g_u_ib*SUMPRODUCT(Network!V$6:V$29,$AQ$7:$AQ$30)</f>
        <v>1.84426490090451</v>
      </c>
      <c r="AS26" s="35" t="n">
        <f aca="false">p_sw_M1*(SUMPRODUCT(BDC_EAD!V$106:V$127,$BF$7:$BF$28)+SUMPRODUCT(BDC_EAD!V$131:V$152,$BG$7:$BG$28)+(Inputs_Banks!$Y25+p_ccf_bl*Inputs_Banks!$Z25)*$CD$30+Modules!$E25)</f>
        <v>28.8226410797704</v>
      </c>
      <c r="AT26" s="35" t="n">
        <f aca="false">p_sw_M3*(Inputs_Banks!$U25+p_ccf_abf*Inputs_Banks!$V25)*$CD$31</f>
        <v>0</v>
      </c>
      <c r="AU26" s="35" t="n">
        <f aca="false">p_sw_M10*Inputs_Banks!$AC25*$CD$32</f>
        <v>0</v>
      </c>
      <c r="AV26" s="35" t="n">
        <f aca="false">p_sw_M8*(Modules!$M25+Modules!$N25*IF(p_liq_on&gt;0,X26,p_htm_forced))</f>
        <v>5.47077974716582</v>
      </c>
      <c r="AW26" s="35" t="n">
        <f aca="false">SUMPRODUCT(Holdings!$C25:$O25,Holdings!$C$32:$O$32,$AB$32:$AN$32)+Inputs_Banks!$P25*$AL$32</f>
        <v>18.7323945957294</v>
      </c>
      <c r="AX26" s="35" t="n">
        <f aca="false">Modules!$T25+AS26+AT26+AU26+AV26+AW26+AR26</f>
        <v>83.6120015159672</v>
      </c>
      <c r="AY26" s="35" t="n">
        <f aca="false">Modules!$U25-(1-p_tax)*AX26</f>
        <v>16.0257821381746</v>
      </c>
      <c r="AZ26" s="39" t="n">
        <f aca="false">AY26/Modules!$V25</f>
        <v>0.0193001552534647</v>
      </c>
      <c r="BA26" s="48" t="s">
        <v>645</v>
      </c>
      <c r="BB26" s="43" t="n">
        <f aca="false">INDEX($BJ$7:$BJ$40,BDC_EAD!$B25)</f>
        <v>0.413355834325311</v>
      </c>
      <c r="BC26" s="43" t="n">
        <f aca="false">INDEX($BK$7:$BK$40,BDC_EAD!$B25)</f>
        <v>0.0626004241940077</v>
      </c>
      <c r="BD26" s="22" t="n">
        <f aca="false">INDEX(BDC!$Q$6:$Q$39,BDC_EAD!$B25)</f>
        <v>0.212552795031056</v>
      </c>
      <c r="BE26" s="43" t="n">
        <f aca="false">BB26*(1-$AK$32)-BC26-p_c_liq</f>
        <v>0.114745284684913</v>
      </c>
      <c r="BF26" s="43" t="n">
        <f aca="false">p_phi*MAX(0,p_a_spv-BE26)/p_a_spv+(1-p_phi)*MAX(0,p_a_spv-BB26)/p_a_spv</f>
        <v>0.750760864838582</v>
      </c>
      <c r="BG26" s="43" t="n">
        <f aca="false">IF(BD26&gt;0,p_phi*MAX(0,BD26-BE26)/BD26+(1-p_phi)*MAX(0,BD26-BB26)/BD26,0)</f>
        <v>0.368125049898694</v>
      </c>
      <c r="BI26" s="12" t="str">
        <f aca="false">BDC!$A$25</f>
        <v>ASCF</v>
      </c>
      <c r="BJ26" s="43" t="n">
        <f aca="false">1-((1-BDC!$D$25)*$CD$23+BDC!$D$25*$CD$24)-p_gap-$CD$13*(1-BDC!$M$25)</f>
        <v>0.410212404164647</v>
      </c>
      <c r="BK26" s="43" t="n">
        <f aca="false">(1-BDC!$D$25)*$CD$25+BDC!$D$25*$CD$26</f>
        <v>0.0620787797203758</v>
      </c>
      <c r="BL26" s="45" t="n">
        <f aca="false">BJ26/BDC!$K$25</f>
        <v>0.760821296613064</v>
      </c>
      <c r="BM26" s="35" t="n">
        <f aca="false">IF(BL26&lt;1.5,BDC!$C$25,0)</f>
        <v>4.62</v>
      </c>
      <c r="BN26" s="43" t="n">
        <f aca="false">MAX(0,1-BJ26*(1-CE_mig_hc)-p_bb_cush)*BDC!$Q$25</f>
        <v>0.164799096704541</v>
      </c>
      <c r="BO26" s="43" t="n">
        <f aca="false">MAX(0,BDC!$K$25-BJ26/1.5)</f>
        <v>0.265695570802678</v>
      </c>
      <c r="BP26" s="43" t="n">
        <f aca="false">MIN(MIN(1,BDC!$H$25*$CD$16),$CD$15)</f>
        <v>0.249999999977776</v>
      </c>
      <c r="BQ26" s="43" t="n">
        <f aca="false">BDC!$I$25*BDC!$J$25*BP26*(1-0.3)</f>
        <v>0.0806451612831536</v>
      </c>
      <c r="BR26" s="45" t="n">
        <f aca="false">BDC!$C$25*($CD$14*MAX(BN26,BO26)+BQ26)</f>
        <v>1.60009418220926</v>
      </c>
      <c r="CC26" s="10" t="s">
        <v>991</v>
      </c>
      <c r="CD26" s="43" t="n">
        <f aca="false">(1-$CD$22)*($CD$12+p_ds_sw)/10000*g_dur_s</f>
        <v>0.0317861399301802</v>
      </c>
    </row>
    <row r="27" customFormat="false" ht="15" hidden="false" customHeight="true" outlineLevel="0" collapsed="false">
      <c r="A27" s="10" t="s">
        <v>537</v>
      </c>
      <c r="B27" s="35" t="n">
        <f aca="false">Modules!$W26</f>
        <v>58.2010234460924</v>
      </c>
      <c r="C27" s="39" t="n">
        <f aca="false">Modules!$X26</f>
        <v>0.0858041786420753</v>
      </c>
      <c r="D27" s="44" t="n">
        <f aca="false">IF(C27&lt;Inputs_Banks!$I26,1,0)</f>
        <v>0</v>
      </c>
      <c r="E27" s="44" t="n">
        <f aca="false">IF(C27&lt;0.045,1,0)</f>
        <v>0</v>
      </c>
      <c r="F27" s="44" t="n">
        <f aca="false">IF(B27&lt;0,1,0)</f>
        <v>0</v>
      </c>
      <c r="G27" s="44" t="n">
        <f aca="false">MIN(6,MIN(3,INT(MAX(0,Inputs_Banks!$BA26-C27)/p_notch_step))+D27+2*E27)</f>
        <v>1</v>
      </c>
      <c r="H27" s="39" t="n">
        <f aca="false">C27-Inputs_Banks!$I26</f>
        <v>0.0041041786420753</v>
      </c>
      <c r="I27" s="44" t="n">
        <f aca="false">RANK(H27,$H$7:$H$30,1)</f>
        <v>21</v>
      </c>
      <c r="J27" s="44" t="n">
        <f aca="false">MAX(IF(I27&lt;=g_n_weak,1,0),E27)</f>
        <v>0</v>
      </c>
      <c r="K27" s="44" t="n">
        <f aca="false">IF(I27&gt;12,1,0)*(1-E27)</f>
        <v>1</v>
      </c>
      <c r="L27" s="35" t="n">
        <f aca="false">INDEX(Inputs_Banks!$AR26:$AX26,1,G27+1)</f>
        <v>0.597489348748539</v>
      </c>
      <c r="M27" s="35" t="n">
        <f aca="false">Inputs_Banks!$AI26*MIN(1,p_u_base+$CD$10*p_u_pan_all+J27*($CD$10*p_u_pan_weak+p_u_mda*D27)+p_u_notch*G27+p_u_fail*E27)</f>
        <v>110.080696445195</v>
      </c>
      <c r="N27" s="35" t="n">
        <f aca="false">Inputs_Banks!$AK26*MIN(1,p_w_base+p_w_pan*$CD$10+p_w_notch*G27+0.5*D27+1*E27)</f>
        <v>142.213430908308</v>
      </c>
      <c r="O27" s="35" t="n">
        <f aca="false">Inputs_Banks!$AO26*MIN(1,p_cp_base+p_cp_pan*$CD$10+p_cp_notch*G27)</f>
        <v>24.02</v>
      </c>
      <c r="P27" s="35" t="n">
        <f aca="false">Inputs_Banks!$AN26*(p_dh+p_dh_pan*$CD$10+MIN(1,0.5*$CD$17+0.25*G27))</f>
        <v>27.4381866954958</v>
      </c>
      <c r="Q27" s="35" t="n">
        <f aca="false">Modules!$Y26</f>
        <v>5.08130839142734</v>
      </c>
      <c r="R27" s="35" t="n">
        <f aca="false">Inputs_Banks!$AJ26*K27</f>
        <v>1241.80817292909</v>
      </c>
      <c r="S27" s="35" t="n">
        <f aca="false">p_liq_on*$CD$18*SUM($M$7:$M$30)*R27/MAX(0.000000001,SUM($R$7:$R$30))</f>
        <v>107.022998984039</v>
      </c>
      <c r="T27" s="35" t="n">
        <f aca="false">p_liq_on*(L27+M27+N27+O27+P27+Q27)</f>
        <v>309.431111789175</v>
      </c>
      <c r="U27" s="35" t="n">
        <f aca="false">g_usable*Inputs_Banks!$AG26+p_cb_on*Inputs_Banks!$AQ26+S27</f>
        <v>764.261282607432</v>
      </c>
      <c r="V27" s="35" t="n">
        <f aca="false">MAX(0,T27-U27)</f>
        <v>0</v>
      </c>
      <c r="W27" s="44" t="n">
        <f aca="false">IF(V27&gt;0.9*Inputs_Banks!$BB26,1,0)</f>
        <v>0</v>
      </c>
      <c r="X27" s="43" t="n">
        <f aca="false">MAX(p_htm_forced,(1-p_cb_on)*MIN(1,T27/Inputs_Banks!$AG26)*g_theta_sell)</f>
        <v>0.129471392434563</v>
      </c>
      <c r="Y27" s="35" t="n">
        <f aca="false">MAX(0,Modules!$V26-B27/(Inputs_Banks!$I26+g_del_buf))</f>
        <v>7.00849065073783</v>
      </c>
      <c r="Z27" s="35" t="n">
        <f aca="false">MIN(g_del_cap*Inputs_Banks!$BB26,Y27)</f>
        <v>7.00849065073783</v>
      </c>
      <c r="AA27" s="35" t="n">
        <f aca="false">MIN(Inputs_Banks!$BB26,V27+Z27)</f>
        <v>7.00849065073783</v>
      </c>
      <c r="AB27" s="35" t="n">
        <f aca="false">$AA27*Holdings!Q26</f>
        <v>0</v>
      </c>
      <c r="AC27" s="35" t="n">
        <f aca="false">$AA27*Holdings!R26</f>
        <v>0</v>
      </c>
      <c r="AD27" s="35" t="n">
        <f aca="false">$AA27*Holdings!S26</f>
        <v>0</v>
      </c>
      <c r="AE27" s="35" t="n">
        <f aca="false">$AA27*Holdings!T26</f>
        <v>0</v>
      </c>
      <c r="AF27" s="35" t="n">
        <f aca="false">$AA27*Holdings!U26</f>
        <v>0.581400979268865</v>
      </c>
      <c r="AG27" s="35" t="n">
        <f aca="false">$AA27*Holdings!V26</f>
        <v>0</v>
      </c>
      <c r="AH27" s="35" t="n">
        <f aca="false">$AA27*Holdings!W26</f>
        <v>0</v>
      </c>
      <c r="AI27" s="35" t="n">
        <f aca="false">$AA27*Holdings!X26</f>
        <v>0</v>
      </c>
      <c r="AJ27" s="35" t="n">
        <f aca="false">$AA27*Holdings!Y26</f>
        <v>0</v>
      </c>
      <c r="AK27" s="35" t="n">
        <f aca="false">$AA27*Holdings!Z26</f>
        <v>0</v>
      </c>
      <c r="AL27" s="35" t="n">
        <f aca="false">$AA27*Holdings!AA26</f>
        <v>0.475183492671669</v>
      </c>
      <c r="AM27" s="35" t="n">
        <f aca="false">$AA27*Holdings!AB26</f>
        <v>0</v>
      </c>
      <c r="AN27" s="35" t="n">
        <f aca="false">$AA27*Holdings!AC26</f>
        <v>5.95190617879729</v>
      </c>
      <c r="AO27" s="43" t="n">
        <f aca="false">MIN(1,$CD$17+0.5*G27)</f>
        <v>1</v>
      </c>
      <c r="AP27" s="35" t="n">
        <f aca="false">p_liq_on*Inputs_Banks!$AP26*AO27*p_mb_psi</f>
        <v>0.468</v>
      </c>
      <c r="AQ27" s="44" t="n">
        <f aca="false">MAX(F27,E27,W27*(1-p_cb_on))</f>
        <v>0</v>
      </c>
      <c r="AR27" s="35" t="n">
        <f aca="false">p_ib_on*p_lgd_ib*g_s_in*g_u_ib*SUMPRODUCT(Network!W$6:W$29,$AQ$7:$AQ$30)</f>
        <v>2.07932608257535</v>
      </c>
      <c r="AS27" s="35" t="n">
        <f aca="false">p_sw_M1*(SUMPRODUCT(BDC_EAD!W$106:W$127,$BF$7:$BF$28)+SUMPRODUCT(BDC_EAD!W$131:W$152,$BG$7:$BG$28)+(Inputs_Banks!$Y26+p_ccf_bl*Inputs_Banks!$Z26)*$CD$30+Modules!$E26)</f>
        <v>7.70107823620059</v>
      </c>
      <c r="AT27" s="35" t="n">
        <f aca="false">p_sw_M3*(Inputs_Banks!$U26+p_ccf_abf*Inputs_Banks!$V26)*$CD$31</f>
        <v>0</v>
      </c>
      <c r="AU27" s="35" t="n">
        <f aca="false">p_sw_M10*Inputs_Banks!$AC26*$CD$32</f>
        <v>0</v>
      </c>
      <c r="AV27" s="35" t="n">
        <f aca="false">p_sw_M8*(Modules!$M26+Modules!$N26*IF(p_liq_on&gt;0,X27,p_htm_forced))</f>
        <v>2.0070458806639</v>
      </c>
      <c r="AW27" s="35" t="n">
        <f aca="false">SUMPRODUCT(Holdings!$C26:$O26,Holdings!$C$32:$O$32,$AB$32:$AN$32)+Inputs_Banks!$P26*$AL$32</f>
        <v>9.13526291914963</v>
      </c>
      <c r="AX27" s="35" t="n">
        <f aca="false">Modules!$T26+AS27+AT27+AU27+AV27+AW27+AR27</f>
        <v>36.903296396065</v>
      </c>
      <c r="AY27" s="35" t="n">
        <f aca="false">Modules!$U26-(1-p_tax)*AX27</f>
        <v>42.4346348504758</v>
      </c>
      <c r="AZ27" s="39" t="n">
        <f aca="false">AY27/Modules!$V26</f>
        <v>0.062560222720034</v>
      </c>
      <c r="BA27" s="48" t="s">
        <v>639</v>
      </c>
      <c r="BB27" s="43" t="n">
        <f aca="false">INDEX($BJ$7:$BJ$40,BDC_EAD!$B26)</f>
        <v>0.261914595456692</v>
      </c>
      <c r="BC27" s="43" t="n">
        <f aca="false">INDEX($BK$7:$BK$40,BDC_EAD!$B26)</f>
        <v>0.0568250746645116</v>
      </c>
      <c r="BD27" s="22" t="n">
        <f aca="false">INDEX(BDC!$Q$6:$Q$39,BDC_EAD!$B26)</f>
        <v>0.310820512820513</v>
      </c>
      <c r="BE27" s="43" t="n">
        <f aca="false">BB27*(1-$AK$32)-BC27-p_c_liq</f>
        <v>0.0372279528366689</v>
      </c>
      <c r="BF27" s="43" t="n">
        <f aca="false">p_phi*MAX(0,p_a_spv-BE27)/p_a_spv+(1-p_phi)*MAX(0,p_a_spv-BB27)/p_a_spv</f>
        <v>0.882621026627609</v>
      </c>
      <c r="BG27" s="43" t="n">
        <f aca="false">IF(BD27&gt;0,p_phi*MAX(0,BD27-BE27)/BD27+(1-p_phi)*MAX(0,BD27-BB27)/BD27,0)</f>
        <v>0.735650389946686</v>
      </c>
      <c r="BI27" s="12" t="str">
        <f aca="false">BDC!$A$26</f>
        <v>HTGC</v>
      </c>
      <c r="BJ27" s="43" t="n">
        <f aca="false">1-((1-BDC!$D$26)*$CD$23+BDC!$D$26*$CD$24)-p_gap-$CD$13*(1-BDC!$M$26)</f>
        <v>0.494222287764384</v>
      </c>
      <c r="BK27" s="43" t="n">
        <f aca="false">(1-BDC!$D$26)*$CD$25+BDC!$D$26*$CD$26</f>
        <v>0.0568250746645116</v>
      </c>
      <c r="BL27" s="45" t="n">
        <f aca="false">BJ27/BDC!$K$26</f>
        <v>0.974049751613301</v>
      </c>
      <c r="BM27" s="35" t="n">
        <f aca="false">IF(BL27&lt;1.5,BDC!$C$26,0)</f>
        <v>4.58</v>
      </c>
      <c r="BN27" s="43" t="n">
        <f aca="false">MAX(0,1-BJ27*(1-CE_mig_hc)-p_bb_cush)*BDC!$Q$26</f>
        <v>0.136448855250331</v>
      </c>
      <c r="BO27" s="43" t="n">
        <f aca="false">MAX(0,BDC!$K$26-BJ27/1.5)</f>
        <v>0.17790763738532</v>
      </c>
      <c r="BP27" s="43" t="n">
        <f aca="false">MIN(MIN(1,BDC!$H$26*$CD$16),$CD$15)</f>
        <v>0</v>
      </c>
      <c r="BQ27" s="43" t="n">
        <f aca="false">BDC!$I$26*BDC!$J$26*BP27*(1-0.3)</f>
        <v>0</v>
      </c>
      <c r="BR27" s="45" t="n">
        <f aca="false">BDC!$C$26*($CD$14*MAX(BN27,BO27)+BQ27)</f>
        <v>0.814816979206658</v>
      </c>
      <c r="CC27" s="10" t="s">
        <v>992</v>
      </c>
      <c r="CD27" s="43" t="n">
        <f aca="false">1-((1-CE_sw_sys)*$CD$23+CE_sw_sys*$CD$24)-p_gap-$CD$13*(1-CE_mk_sys)</f>
        <v>0.408146622497555</v>
      </c>
    </row>
    <row r="28" customFormat="false" ht="15" hidden="false" customHeight="true" outlineLevel="0" collapsed="false">
      <c r="A28" s="10" t="s">
        <v>538</v>
      </c>
      <c r="B28" s="35" t="n">
        <f aca="false">Modules!$W27</f>
        <v>53.0094210089729</v>
      </c>
      <c r="C28" s="39" t="n">
        <f aca="false">Modules!$X27</f>
        <v>0.097080579728884</v>
      </c>
      <c r="D28" s="44" t="n">
        <f aca="false">IF(C28&lt;Inputs_Banks!$I27,1,0)</f>
        <v>0</v>
      </c>
      <c r="E28" s="44" t="n">
        <f aca="false">IF(C28&lt;0.045,1,0)</f>
        <v>0</v>
      </c>
      <c r="F28" s="44" t="n">
        <f aca="false">IF(B28&lt;0,1,0)</f>
        <v>0</v>
      </c>
      <c r="G28" s="44" t="n">
        <f aca="false">MIN(6,MIN(3,INT(MAX(0,Inputs_Banks!$BA27-C28)/p_notch_step))+D28+2*E28)</f>
        <v>1</v>
      </c>
      <c r="H28" s="39" t="n">
        <f aca="false">C28-Inputs_Banks!$I27</f>
        <v>0.015780579728884</v>
      </c>
      <c r="I28" s="44" t="n">
        <f aca="false">RANK(H28,$H$7:$H$30,1)</f>
        <v>24</v>
      </c>
      <c r="J28" s="44" t="n">
        <f aca="false">MAX(IF(I28&lt;=g_n_weak,1,0),E28)</f>
        <v>0</v>
      </c>
      <c r="K28" s="44" t="n">
        <f aca="false">IF(I28&gt;12,1,0)*(1-E28)</f>
        <v>1</v>
      </c>
      <c r="L28" s="35" t="n">
        <f aca="false">INDEX(Inputs_Banks!$AR27:$AX27,1,G28+1)</f>
        <v>0.584219912674497</v>
      </c>
      <c r="M28" s="35" t="n">
        <f aca="false">Inputs_Banks!$AI27*MIN(1,p_u_base+$CD$10*p_u_pan_all+J28*($CD$10*p_u_pan_weak+p_u_mda*D28)+p_u_notch*G28+p_u_fail*E28)</f>
        <v>105.798851724948</v>
      </c>
      <c r="N28" s="35" t="n">
        <f aca="false">Inputs_Banks!$AK27*MIN(1,p_w_base+p_w_pan*$CD$10+p_w_notch*G28+0.5*D28+1*E28)</f>
        <v>37.6025029210996</v>
      </c>
      <c r="O28" s="35" t="n">
        <f aca="false">Inputs_Banks!$AO27*MIN(1,p_cp_base+p_cp_pan*$CD$10+p_cp_notch*G28)</f>
        <v>15.5</v>
      </c>
      <c r="P28" s="35" t="n">
        <f aca="false">Inputs_Banks!$AN27*(p_dh+p_dh_pan*$CD$10+MIN(1,0.5*$CD$17+0.25*G28))</f>
        <v>64.4102951921988</v>
      </c>
      <c r="Q28" s="35" t="n">
        <f aca="false">Modules!$Y27</f>
        <v>8.4308773</v>
      </c>
      <c r="R28" s="35" t="n">
        <f aca="false">Inputs_Banks!$AJ27*K28</f>
        <v>1101.02948773138</v>
      </c>
      <c r="S28" s="35" t="n">
        <f aca="false">p_liq_on*$CD$18*SUM($M$7:$M$30)*R28/MAX(0.000000001,SUM($R$7:$R$30))</f>
        <v>94.8902417584599</v>
      </c>
      <c r="T28" s="35" t="n">
        <f aca="false">p_liq_on*(L28+M28+N28+O28+P28+Q28)</f>
        <v>232.326747050921</v>
      </c>
      <c r="U28" s="35" t="n">
        <f aca="false">g_usable*Inputs_Banks!$AG27+p_cb_on*Inputs_Banks!$AQ27+S28</f>
        <v>648.681984578705</v>
      </c>
      <c r="V28" s="35" t="n">
        <f aca="false">MAX(0,T28-U28)</f>
        <v>0</v>
      </c>
      <c r="W28" s="44" t="n">
        <f aca="false">IF(V28&gt;0.9*Inputs_Banks!$BB27,1,0)</f>
        <v>0</v>
      </c>
      <c r="X28" s="43" t="n">
        <f aca="false">MAX(p_htm_forced,(1-p_cb_on)*MIN(1,T28/Inputs_Banks!$AG27)*g_theta_sell)</f>
        <v>0.115368017431313</v>
      </c>
      <c r="Y28" s="35" t="n">
        <f aca="false">MAX(0,Modules!$V27-B28/(Inputs_Banks!$I27+g_del_buf))</f>
        <v>0</v>
      </c>
      <c r="Z28" s="35" t="n">
        <f aca="false">MIN(g_del_cap*Inputs_Banks!$BB27,Y28)</f>
        <v>0</v>
      </c>
      <c r="AA28" s="35" t="n">
        <f aca="false">MIN(Inputs_Banks!$BB27,V28+Z28)</f>
        <v>0</v>
      </c>
      <c r="AB28" s="35" t="n">
        <f aca="false">$AA28*Holdings!Q27</f>
        <v>0</v>
      </c>
      <c r="AC28" s="35" t="n">
        <f aca="false">$AA28*Holdings!R27</f>
        <v>0</v>
      </c>
      <c r="AD28" s="35" t="n">
        <f aca="false">$AA28*Holdings!S27</f>
        <v>0</v>
      </c>
      <c r="AE28" s="35" t="n">
        <f aca="false">$AA28*Holdings!T27</f>
        <v>0</v>
      </c>
      <c r="AF28" s="35" t="n">
        <f aca="false">$AA28*Holdings!U27</f>
        <v>0</v>
      </c>
      <c r="AG28" s="35" t="n">
        <f aca="false">$AA28*Holdings!V27</f>
        <v>0</v>
      </c>
      <c r="AH28" s="35" t="n">
        <f aca="false">$AA28*Holdings!W27</f>
        <v>0</v>
      </c>
      <c r="AI28" s="35" t="n">
        <f aca="false">$AA28*Holdings!X27</f>
        <v>0</v>
      </c>
      <c r="AJ28" s="35" t="n">
        <f aca="false">$AA28*Holdings!Y27</f>
        <v>0</v>
      </c>
      <c r="AK28" s="35" t="n">
        <f aca="false">$AA28*Holdings!Z27</f>
        <v>0</v>
      </c>
      <c r="AL28" s="35" t="n">
        <f aca="false">$AA28*Holdings!AA27</f>
        <v>0</v>
      </c>
      <c r="AM28" s="35" t="n">
        <f aca="false">$AA28*Holdings!AB27</f>
        <v>0</v>
      </c>
      <c r="AN28" s="35" t="n">
        <f aca="false">$AA28*Holdings!AC27</f>
        <v>0</v>
      </c>
      <c r="AO28" s="43" t="n">
        <f aca="false">MIN(1,$CD$17+0.5*G28)</f>
        <v>1</v>
      </c>
      <c r="AP28" s="35" t="n">
        <f aca="false">p_liq_on*Inputs_Banks!$AP27*AO28*p_mb_psi</f>
        <v>4.374</v>
      </c>
      <c r="AQ28" s="44" t="n">
        <f aca="false">MAX(F28,E28,W28*(1-p_cb_on))</f>
        <v>0</v>
      </c>
      <c r="AR28" s="35" t="n">
        <f aca="false">p_ib_on*p_lgd_ib*g_s_in*g_u_ib*SUMPRODUCT(Network!X$6:X$29,$AQ$7:$AQ$30)</f>
        <v>0.622122053296633</v>
      </c>
      <c r="AS28" s="35" t="n">
        <f aca="false">p_sw_M1*(SUMPRODUCT(BDC_EAD!X$106:X$127,$BF$7:$BF$28)+SUMPRODUCT(BDC_EAD!X$131:X$152,$BG$7:$BG$28)+(Inputs_Banks!$Y27+p_ccf_bl*Inputs_Banks!$Z27)*$CD$30+Modules!$E27)</f>
        <v>7.83931301043871</v>
      </c>
      <c r="AT28" s="35" t="n">
        <f aca="false">p_sw_M3*(Inputs_Banks!$U27+p_ccf_abf*Inputs_Banks!$V27)*$CD$31</f>
        <v>0</v>
      </c>
      <c r="AU28" s="35" t="n">
        <f aca="false">p_sw_M10*Inputs_Banks!$AC27*$CD$32</f>
        <v>0</v>
      </c>
      <c r="AV28" s="35" t="n">
        <f aca="false">p_sw_M8*(Modules!$M27+Modules!$N27*IF(p_liq_on&gt;0,X28,p_htm_forced))</f>
        <v>1.54868258080657</v>
      </c>
      <c r="AW28" s="35" t="n">
        <f aca="false">SUMPRODUCT(Holdings!$C27:$O27,Holdings!$C$32:$O$32,$AB$32:$AN$32)+Inputs_Banks!$P27*$AL$32</f>
        <v>7.17130063732898</v>
      </c>
      <c r="AX28" s="35" t="n">
        <f aca="false">Modules!$T27+AS28+AT28+AU28+AV28+AW28+AR28</f>
        <v>27.0305892661798</v>
      </c>
      <c r="AY28" s="35" t="n">
        <f aca="false">Modules!$U27-(1-p_tax)*AX28</f>
        <v>41.2923921002798</v>
      </c>
      <c r="AZ28" s="39" t="n">
        <f aca="false">AY28/Modules!$V27</f>
        <v>0.0756222061510351</v>
      </c>
      <c r="BA28" s="48" t="s">
        <v>653</v>
      </c>
      <c r="BB28" s="43" t="n">
        <f aca="false">INDEX($BJ$7:$BJ$40,BDC_EAD!$B27)</f>
        <v>0.525207527919494</v>
      </c>
      <c r="BC28" s="43" t="n">
        <f aca="false">INDEX($BK$7:$BK$40,BDC_EAD!$B27)</f>
        <v>0.0619669987617404</v>
      </c>
      <c r="BD28" s="22" t="n">
        <f aca="false">INDEX(BDC!$Q$6:$Q$39,BDC_EAD!$B27)</f>
        <v>0.118607929515418</v>
      </c>
      <c r="BE28" s="43" t="n">
        <f aca="false">BB28*(1-$AK$32)-BC28-p_c_liq</f>
        <v>0.176897141593981</v>
      </c>
      <c r="BF28" s="43" t="n">
        <f aca="false">p_phi*MAX(0,p_a_spv-BE28)/p_a_spv+(1-p_phi)*MAX(0,p_a_spv-BB28)/p_a_spv</f>
        <v>0.647772544487023</v>
      </c>
      <c r="BG28" s="43" t="n">
        <f aca="false">IF(BD28&gt;0,p_phi*MAX(0,BD28-BE28)/BD28+(1-p_phi)*MAX(0,BD28-BB28)/BD28,0)</f>
        <v>0</v>
      </c>
      <c r="BI28" s="12" t="str">
        <f aca="false">BDC!$A$27</f>
        <v>MSDL</v>
      </c>
      <c r="BJ28" s="43" t="n">
        <f aca="false">1-((1-BDC!$D$27)*$CD$23+BDC!$D$27*$CD$24)-p_gap-$CD$13*(1-BDC!$M$27)</f>
        <v>0.363449670134556</v>
      </c>
      <c r="BK28" s="43" t="n">
        <f aca="false">(1-BDC!$D$27)*$CD$25+BDC!$D$27*$CD$26</f>
        <v>0.0611472717317474</v>
      </c>
      <c r="BL28" s="45" t="n">
        <f aca="false">BJ28/BDC!$K$27</f>
        <v>0.666324395246685</v>
      </c>
      <c r="BM28" s="35" t="n">
        <f aca="false">IF(BL28&lt;1.5,BDC!$C$27,0)</f>
        <v>3.55</v>
      </c>
      <c r="BN28" s="43" t="n">
        <f aca="false">MAX(0,1-BJ28*(1-CE_mig_hc)-p_bb_cush)*BDC!$Q$27</f>
        <v>0.155815521689355</v>
      </c>
      <c r="BO28" s="43" t="n">
        <f aca="false">MAX(0,BDC!$K$27-BJ28/1.5)</f>
        <v>0.303154765364842</v>
      </c>
      <c r="BP28" s="43" t="n">
        <f aca="false">MIN(MIN(1,BDC!$H$27*$CD$16),$CD$15)</f>
        <v>0</v>
      </c>
      <c r="BQ28" s="43" t="n">
        <f aca="false">BDC!$I$27*BDC!$J$27*BP28*(1-0.3)</f>
        <v>0</v>
      </c>
      <c r="BR28" s="45" t="n">
        <f aca="false">BDC!$C$27*($CD$14*MAX(BN28,BO28)+BQ28)</f>
        <v>1.07619941702127</v>
      </c>
      <c r="CC28" s="10" t="s">
        <v>845</v>
      </c>
      <c r="CD28" s="43" t="n">
        <f aca="false">(1-CE_sw_sys)*$CD$25+CE_sw_sys*$CD$26</f>
        <v>0.0617359683534003</v>
      </c>
    </row>
    <row r="29" customFormat="false" ht="15" hidden="false" customHeight="true" outlineLevel="0" collapsed="false">
      <c r="A29" s="10" t="s">
        <v>540</v>
      </c>
      <c r="B29" s="35" t="n">
        <f aca="false">Modules!$W28</f>
        <v>54.9476903465053</v>
      </c>
      <c r="C29" s="39" t="n">
        <f aca="false">Modules!$X28</f>
        <v>0.0928939280886542</v>
      </c>
      <c r="D29" s="44" t="n">
        <f aca="false">IF(C29&lt;Inputs_Banks!$I28,1,0)</f>
        <v>1</v>
      </c>
      <c r="E29" s="44" t="n">
        <f aca="false">IF(C29&lt;0.045,1,0)</f>
        <v>0</v>
      </c>
      <c r="F29" s="44" t="n">
        <f aca="false">IF(B29&lt;0,1,0)</f>
        <v>0</v>
      </c>
      <c r="G29" s="44" t="n">
        <f aca="false">MIN(6,MIN(3,INT(MAX(0,Inputs_Banks!$BA28-C29)/p_notch_step))+D29+2*E29)</f>
        <v>2</v>
      </c>
      <c r="H29" s="39" t="n">
        <f aca="false">C29-Inputs_Banks!$I28</f>
        <v>-0.0181060719113458</v>
      </c>
      <c r="I29" s="44" t="n">
        <f aca="false">RANK(H29,$H$7:$H$30,1)</f>
        <v>14</v>
      </c>
      <c r="J29" s="44" t="n">
        <f aca="false">MAX(IF(I29&lt;=g_n_weak,1,0),E29)</f>
        <v>0</v>
      </c>
      <c r="K29" s="44" t="n">
        <f aca="false">IF(I29&gt;12,1,0)*(1-E29)</f>
        <v>1</v>
      </c>
      <c r="L29" s="35" t="n">
        <f aca="false">INDEX(Inputs_Banks!$AR28:$AX28,1,G29+1)</f>
        <v>0.454065469904963</v>
      </c>
      <c r="M29" s="35" t="n">
        <f aca="false">Inputs_Banks!$AI28*MIN(1,p_u_base+$CD$10*p_u_pan_all+J29*($CD$10*p_u_pan_weak+p_u_mda*D29)+p_u_notch*G29+p_u_fail*E29)</f>
        <v>87.7758042900219</v>
      </c>
      <c r="N29" s="35" t="n">
        <f aca="false">Inputs_Banks!$AK28*MIN(1,p_w_base+p_w_pan*$CD$10+p_w_notch*G29+0.5*D29+1*E29)</f>
        <v>111.12284406899</v>
      </c>
      <c r="O29" s="35" t="n">
        <f aca="false">Inputs_Banks!$AO28*MIN(1,p_cp_base+p_cp_pan*$CD$10+p_cp_notch*G29)</f>
        <v>38.53</v>
      </c>
      <c r="P29" s="35" t="n">
        <f aca="false">Inputs_Banks!$AN28*(p_dh+p_dh_pan*$CD$10+MIN(1,0.5*$CD$17+0.25*G29))</f>
        <v>88.8900335249067</v>
      </c>
      <c r="Q29" s="35" t="n">
        <f aca="false">Modules!$Y28</f>
        <v>3.6692462</v>
      </c>
      <c r="R29" s="35" t="n">
        <f aca="false">Inputs_Banks!$AJ28*K29</f>
        <v>1157.74234424498</v>
      </c>
      <c r="S29" s="35" t="n">
        <f aca="false">p_liq_on*$CD$18*SUM($M$7:$M$30)*R29/MAX(0.000000001,SUM($R$7:$R$30))</f>
        <v>99.7779370703054</v>
      </c>
      <c r="T29" s="35" t="n">
        <f aca="false">p_liq_on*(L29+M29+N29+O29+P29+Q29)</f>
        <v>330.441993553824</v>
      </c>
      <c r="U29" s="35" t="n">
        <f aca="false">g_usable*Inputs_Banks!$AG28+p_cb_on*Inputs_Banks!$AQ28+S29</f>
        <v>611.29279099498</v>
      </c>
      <c r="V29" s="35" t="n">
        <f aca="false">MAX(0,T29-U29)</f>
        <v>0</v>
      </c>
      <c r="W29" s="44" t="n">
        <f aca="false">IF(V29&gt;0.9*Inputs_Banks!$BB28,1,0)</f>
        <v>0</v>
      </c>
      <c r="X29" s="43" t="n">
        <f aca="false">MAX(p_htm_forced,(1-p_cb_on)*MIN(1,T29/Inputs_Banks!$AG28)*g_theta_sell)</f>
        <v>0.241035168790454</v>
      </c>
      <c r="Y29" s="35" t="n">
        <f aca="false">MAX(0,Modules!$V28-B29/(Inputs_Banks!$I28+g_del_buf))</f>
        <v>117.823045933251</v>
      </c>
      <c r="Z29" s="35" t="n">
        <f aca="false">MIN(g_del_cap*Inputs_Banks!$BB28,Y29)</f>
        <v>33.855</v>
      </c>
      <c r="AA29" s="35" t="n">
        <f aca="false">MIN(Inputs_Banks!$BB28,V29+Z29)</f>
        <v>33.855</v>
      </c>
      <c r="AB29" s="35" t="n">
        <f aca="false">$AA29*Holdings!Q28</f>
        <v>0</v>
      </c>
      <c r="AC29" s="35" t="n">
        <f aca="false">$AA29*Holdings!R28</f>
        <v>0</v>
      </c>
      <c r="AD29" s="35" t="n">
        <f aca="false">$AA29*Holdings!S28</f>
        <v>0</v>
      </c>
      <c r="AE29" s="35" t="n">
        <f aca="false">$AA29*Holdings!T28</f>
        <v>0</v>
      </c>
      <c r="AF29" s="35" t="n">
        <f aca="false">$AA29*Holdings!U28</f>
        <v>13.575</v>
      </c>
      <c r="AG29" s="35" t="n">
        <f aca="false">$AA29*Holdings!V28</f>
        <v>0.3625</v>
      </c>
      <c r="AH29" s="35" t="n">
        <f aca="false">$AA29*Holdings!W28</f>
        <v>0</v>
      </c>
      <c r="AI29" s="35" t="n">
        <f aca="false">$AA29*Holdings!X28</f>
        <v>0</v>
      </c>
      <c r="AJ29" s="35" t="n">
        <f aca="false">$AA29*Holdings!Y28</f>
        <v>2.83</v>
      </c>
      <c r="AK29" s="35" t="n">
        <f aca="false">$AA29*Holdings!Z28</f>
        <v>0</v>
      </c>
      <c r="AL29" s="35" t="n">
        <f aca="false">$AA29*Holdings!AA28</f>
        <v>17.0875</v>
      </c>
      <c r="AM29" s="35" t="n">
        <f aca="false">$AA29*Holdings!AB28</f>
        <v>0</v>
      </c>
      <c r="AN29" s="35" t="n">
        <f aca="false">$AA29*Holdings!AC28</f>
        <v>0</v>
      </c>
      <c r="AO29" s="43" t="n">
        <f aca="false">MIN(1,$CD$17+0.5*G29)</f>
        <v>1</v>
      </c>
      <c r="AP29" s="35" t="n">
        <f aca="false">p_liq_on*Inputs_Banks!$AP28*AO29*p_mb_psi</f>
        <v>1.278</v>
      </c>
      <c r="AQ29" s="44" t="n">
        <f aca="false">MAX(F29,E29,W29*(1-p_cb_on))</f>
        <v>0</v>
      </c>
      <c r="AR29" s="35" t="n">
        <f aca="false">p_ib_on*p_lgd_ib*g_s_in*g_u_ib*SUMPRODUCT(Network!Y$6:Y$29,$AQ$7:$AQ$30)</f>
        <v>0.738098970086659</v>
      </c>
      <c r="AS29" s="35" t="n">
        <f aca="false">p_sw_M1*(SUMPRODUCT(BDC_EAD!Y$106:Y$127,$BF$7:$BF$28)+SUMPRODUCT(BDC_EAD!Y$131:Y$152,$BG$7:$BG$28)+(Inputs_Banks!$Y28+p_ccf_bl*Inputs_Banks!$Z28)*$CD$30+Modules!$E28)</f>
        <v>9.56719594679253</v>
      </c>
      <c r="AT29" s="35" t="n">
        <f aca="false">p_sw_M3*(Inputs_Banks!$U28+p_ccf_abf*Inputs_Banks!$V28)*$CD$31</f>
        <v>6.47351719688398</v>
      </c>
      <c r="AU29" s="35" t="n">
        <f aca="false">p_sw_M10*Inputs_Banks!$AC28*$CD$32</f>
        <v>0</v>
      </c>
      <c r="AV29" s="35" t="n">
        <f aca="false">p_sw_M8*(Modules!$M28+Modules!$N28*IF(p_liq_on&gt;0,X29,p_htm_forced))</f>
        <v>4.42840957082844</v>
      </c>
      <c r="AW29" s="35" t="n">
        <f aca="false">SUMPRODUCT(Holdings!$C28:$O28,Holdings!$C$32:$O$32,$AB$32:$AN$32)+Inputs_Banks!$P28*$AL$32</f>
        <v>5.4167767148742</v>
      </c>
      <c r="AX29" s="35" t="n">
        <f aca="false">Modules!$T28+AS29+AT29+AU29+AV29+AW29+AR29</f>
        <v>35.7469308757378</v>
      </c>
      <c r="AY29" s="35" t="n">
        <f aca="false">Modules!$U28-(1-p_tax)*AX29</f>
        <v>38.1397287511541</v>
      </c>
      <c r="AZ29" s="39" t="n">
        <f aca="false">AY29/Modules!$V28</f>
        <v>0.0644785831322175</v>
      </c>
      <c r="BA29" s="44" t="n">
        <f aca="false">MAX(F29,E29)</f>
        <v>0</v>
      </c>
      <c r="BI29" s="12" t="str">
        <f aca="false">BDC!$A$28</f>
        <v>TSLX</v>
      </c>
      <c r="BJ29" s="43" t="n">
        <f aca="false">1-((1-BDC!$D$28)*$CD$23+BDC!$D$28*$CD$24)-p_gap-$CD$13*(1-BDC!$M$28)</f>
        <v>0.525207527919494</v>
      </c>
      <c r="BK29" s="43" t="n">
        <f aca="false">(1-BDC!$D$28)*$CD$25+BDC!$D$28*$CD$26</f>
        <v>0.0619669987617404</v>
      </c>
      <c r="BL29" s="45" t="n">
        <f aca="false">BJ29/BDC!$K$28</f>
        <v>0.938756762501773</v>
      </c>
      <c r="BM29" s="35" t="n">
        <f aca="false">IF(BL29&lt;1.5,BDC!$C$28,0)</f>
        <v>3.3</v>
      </c>
      <c r="BN29" s="43" t="n">
        <f aca="false">MAX(0,1-BJ29*(1-CE_mig_hc)-p_bb_cush)*BDC!$Q$28</f>
        <v>0.0605793713660664</v>
      </c>
      <c r="BO29" s="43" t="n">
        <f aca="false">MAX(0,BDC!$K$28-BJ29/1.5)</f>
        <v>0.209333013692437</v>
      </c>
      <c r="BP29" s="43" t="n">
        <f aca="false">MIN(MIN(1,BDC!$H$28*$CD$16),$CD$15)</f>
        <v>0</v>
      </c>
      <c r="BQ29" s="43" t="n">
        <f aca="false">BDC!$I$28*BDC!$J$28*BP29*(1-0.3)</f>
        <v>0</v>
      </c>
      <c r="BR29" s="45" t="n">
        <f aca="false">BDC!$C$28*($CD$14*MAX(BN29,BO29)+BQ29)</f>
        <v>0.690798945169691</v>
      </c>
      <c r="CC29" s="10" t="s">
        <v>993</v>
      </c>
      <c r="CD29" s="43" t="n">
        <f aca="false">$CD$27*(1-$AK$32)-$CD$28-p_c_liq</f>
        <v>0.112744674020255</v>
      </c>
    </row>
    <row r="30" customFormat="false" ht="15" hidden="false" customHeight="true" outlineLevel="0" collapsed="false">
      <c r="A30" s="10" t="s">
        <v>543</v>
      </c>
      <c r="B30" s="35" t="n">
        <f aca="false">Modules!$W29</f>
        <v>7.56108640577531</v>
      </c>
      <c r="C30" s="39" t="n">
        <f aca="false">Modules!$X29</f>
        <v>0.0722746654983493</v>
      </c>
      <c r="D30" s="44" t="n">
        <f aca="false">IF(C30&lt;Inputs_Banks!$I29,1,0)</f>
        <v>0</v>
      </c>
      <c r="E30" s="44" t="n">
        <f aca="false">IF(C30&lt;0.045,1,0)</f>
        <v>0</v>
      </c>
      <c r="F30" s="44" t="n">
        <f aca="false">IF(B30&lt;0,1,0)</f>
        <v>0</v>
      </c>
      <c r="G30" s="44" t="n">
        <f aca="false">MIN(6,MIN(3,INT(MAX(0,Inputs_Banks!$BA29-C30)/p_notch_step))+D30+2*E30)</f>
        <v>0</v>
      </c>
      <c r="H30" s="39" t="n">
        <f aca="false">C30-Inputs_Banks!$I29</f>
        <v>0.00477466549834928</v>
      </c>
      <c r="I30" s="44" t="n">
        <f aca="false">RANK(H30,$H$7:$H$30,1)</f>
        <v>22</v>
      </c>
      <c r="J30" s="44" t="n">
        <f aca="false">MAX(IF(I30&lt;=g_n_weak,1,0),E30)</f>
        <v>0</v>
      </c>
      <c r="K30" s="44" t="n">
        <f aca="false">IF(I30&gt;12,1,0)*(1-E30)</f>
        <v>1</v>
      </c>
      <c r="L30" s="35" t="n">
        <f aca="false">INDEX(Inputs_Banks!$AR29:$AX29,1,G30+1)</f>
        <v>0</v>
      </c>
      <c r="M30" s="35" t="n">
        <f aca="false">Inputs_Banks!$AI29*MIN(1,p_u_base+$CD$10*p_u_pan_all+J30*($CD$10*p_u_pan_weak+p_u_mda*D30)+p_u_notch*G30+p_u_fail*E30)</f>
        <v>0</v>
      </c>
      <c r="N30" s="35" t="n">
        <f aca="false">Inputs_Banks!$AK29*MIN(1,p_w_base+p_w_pan*$CD$10+p_w_notch*G30+0.5*D30+1*E30)</f>
        <v>1.4426999998575</v>
      </c>
      <c r="O30" s="35" t="n">
        <f aca="false">Inputs_Banks!$AO29*MIN(1,p_cp_base+p_cp_pan*$CD$10+p_cp_notch*G30)</f>
        <v>0</v>
      </c>
      <c r="P30" s="35" t="n">
        <f aca="false">Inputs_Banks!$AN29*(p_dh+p_dh_pan*$CD$10+MIN(1,0.5*$CD$17+0.25*G30))</f>
        <v>11.2731157759445</v>
      </c>
      <c r="Q30" s="35" t="n">
        <f aca="false">Modules!$Y29</f>
        <v>0</v>
      </c>
      <c r="R30" s="35" t="n">
        <f aca="false">Inputs_Banks!$AJ29*K30</f>
        <v>0</v>
      </c>
      <c r="S30" s="35" t="n">
        <f aca="false">p_liq_on*$CD$18*SUM($M$7:$M$30)*R30/MAX(0.000000001,SUM($R$7:$R$30))</f>
        <v>0</v>
      </c>
      <c r="T30" s="35" t="n">
        <f aca="false">p_liq_on*(L30+M30+N30+O30+P30+Q30)</f>
        <v>12.715815775802</v>
      </c>
      <c r="U30" s="35" t="n">
        <f aca="false">g_usable*Inputs_Banks!$AG29+p_cb_on*Inputs_Banks!$AQ29+S30</f>
        <v>16.4573</v>
      </c>
      <c r="V30" s="35" t="n">
        <f aca="false">MAX(0,T30-U30)</f>
        <v>0</v>
      </c>
      <c r="W30" s="44" t="n">
        <f aca="false">IF(V30&gt;0.9*Inputs_Banks!$BB29,1,0)</f>
        <v>0</v>
      </c>
      <c r="X30" s="43" t="n">
        <f aca="false">MAX(p_htm_forced,(1-p_cb_on)*MIN(1,T30/Inputs_Banks!$AG29)*g_theta_sell)</f>
        <v>0.184415474182068</v>
      </c>
      <c r="Y30" s="35" t="n">
        <f aca="false">MAX(0,Modules!$V29-B30/(Inputs_Banks!$I29+g_del_buf))</f>
        <v>0.325153023788872</v>
      </c>
      <c r="Z30" s="35" t="n">
        <f aca="false">MIN(g_del_cap*Inputs_Banks!$BB29,Y30)</f>
        <v>0.325153023788872</v>
      </c>
      <c r="AA30" s="35" t="n">
        <f aca="false">MIN(Inputs_Banks!$BB29,V30+Z30)</f>
        <v>0.325153023788872</v>
      </c>
      <c r="AB30" s="35" t="n">
        <f aca="false">$AA30*Holdings!Q29</f>
        <v>0</v>
      </c>
      <c r="AC30" s="35" t="n">
        <f aca="false">$AA30*Holdings!R29</f>
        <v>0</v>
      </c>
      <c r="AD30" s="35" t="n">
        <f aca="false">$AA30*Holdings!S29</f>
        <v>0</v>
      </c>
      <c r="AE30" s="35" t="n">
        <f aca="false">$AA30*Holdings!T29</f>
        <v>0.0115617869509172</v>
      </c>
      <c r="AF30" s="35" t="n">
        <f aca="false">$AA30*Holdings!U29</f>
        <v>0.0937394111251287</v>
      </c>
      <c r="AG30" s="35" t="n">
        <f aca="false">$AA30*Holdings!V29</f>
        <v>0</v>
      </c>
      <c r="AH30" s="35" t="n">
        <f aca="false">$AA30*Holdings!W29</f>
        <v>0.0325508771079669</v>
      </c>
      <c r="AI30" s="35" t="n">
        <f aca="false">$AA30*Holdings!X29</f>
        <v>0.0126290288233096</v>
      </c>
      <c r="AJ30" s="35" t="n">
        <f aca="false">$AA30*Holdings!Y29</f>
        <v>0.0174316172490752</v>
      </c>
      <c r="AK30" s="35" t="n">
        <f aca="false">$AA30*Holdings!Z29</f>
        <v>0</v>
      </c>
      <c r="AL30" s="35" t="n">
        <f aca="false">$AA30*Holdings!AA29</f>
        <v>0.154038576915297</v>
      </c>
      <c r="AM30" s="35" t="n">
        <f aca="false">$AA30*Holdings!AB29</f>
        <v>0</v>
      </c>
      <c r="AN30" s="35" t="n">
        <f aca="false">$AA30*Holdings!AC29</f>
        <v>0.00320172561717707</v>
      </c>
      <c r="AO30" s="43" t="n">
        <f aca="false">MIN(1,$CD$17+0.5*G30)</f>
        <v>1</v>
      </c>
      <c r="AP30" s="35" t="n">
        <f aca="false">p_liq_on*Inputs_Banks!$AP29*AO30*p_mb_psi</f>
        <v>0</v>
      </c>
      <c r="AQ30" s="44" t="n">
        <f aca="false">MAX(F30,E30,W30*(1-p_cb_on))</f>
        <v>0</v>
      </c>
      <c r="AR30" s="35" t="n">
        <f aca="false">p_ib_on*p_lgd_ib*g_s_in*g_u_ib*SUMPRODUCT(Network!Z$6:Z$29,$AQ$7:$AQ$30)</f>
        <v>0.0640261844725575</v>
      </c>
      <c r="AS30" s="35" t="n">
        <f aca="false">p_sw_M1*(SUMPRODUCT(BDC_EAD!Z$106:Z$127,$BF$7:$BF$28)+SUMPRODUCT(BDC_EAD!Z$131:Z$152,$BG$7:$BG$28)+(Inputs_Banks!$Y29+p_ccf_bl*Inputs_Banks!$Z29)*$CD$30+Modules!$E29)</f>
        <v>0</v>
      </c>
      <c r="AT30" s="35" t="n">
        <f aca="false">p_sw_M3*(Inputs_Banks!$U29+p_ccf_abf*Inputs_Banks!$V29)*$CD$31</f>
        <v>0</v>
      </c>
      <c r="AU30" s="35" t="n">
        <f aca="false">p_sw_M10*Inputs_Banks!$AC29*$CD$32</f>
        <v>0</v>
      </c>
      <c r="AV30" s="35" t="n">
        <f aca="false">p_sw_M8*(Modules!$M29+Modules!$N29*IF(p_liq_on&gt;0,X30,p_htm_forced))</f>
        <v>0</v>
      </c>
      <c r="AW30" s="35" t="n">
        <f aca="false">SUMPRODUCT(Holdings!$C29:$O29,Holdings!$C$32:$O$32,$AB$32:$AN$32)+Inputs_Banks!$P29*$AL$32</f>
        <v>1.19494819054174</v>
      </c>
      <c r="AX30" s="35" t="n">
        <f aca="false">Modules!$T29+AS30+AT30+AU30+AV30+AW30+AR30</f>
        <v>2.41588796923899</v>
      </c>
      <c r="AY30" s="35" t="n">
        <f aca="false">Modules!$U29-(1-p_tax)*AX30</f>
        <v>6.30211203076101</v>
      </c>
      <c r="AZ30" s="39" t="n">
        <f aca="false">AY30/Modules!$V29</f>
        <v>0.0602404224092014</v>
      </c>
      <c r="BA30" s="44" t="n">
        <f aca="false">MAX(F30,E30)</f>
        <v>0</v>
      </c>
      <c r="BI30" s="12" t="str">
        <f aca="false">BDC!$A$29</f>
        <v>GSBD</v>
      </c>
      <c r="BJ30" s="43" t="n">
        <f aca="false">1-((1-BDC!$D$29)*$CD$23+BDC!$D$29*$CD$24)-p_gap-$CD$13*(1-BDC!$M$29)</f>
        <v>0.402673902886958</v>
      </c>
      <c r="BK30" s="43" t="n">
        <f aca="false">(1-BDC!$D$29)*$CD$25+BDC!$D$29*$CD$26</f>
        <v>0.0617434368444696</v>
      </c>
      <c r="BL30" s="45" t="n">
        <f aca="false">BJ30/BDC!$K$29</f>
        <v>0.698757655009721</v>
      </c>
      <c r="BM30" s="35" t="n">
        <f aca="false">IF(BL30&lt;1.5,BDC!$C$29,0)</f>
        <v>3.2</v>
      </c>
      <c r="BN30" s="43" t="n">
        <f aca="false">MAX(0,1-BJ30*(1-CE_mig_hc)-p_bb_cush)*BDC!$Q$29</f>
        <v>0.130680147039284</v>
      </c>
      <c r="BO30" s="43" t="n">
        <f aca="false">MAX(0,BDC!$K$29-BJ30/1.5)</f>
        <v>0.307821917849373</v>
      </c>
      <c r="BP30" s="43" t="n">
        <f aca="false">MIN(MIN(1,BDC!$H$29*$CD$16),$CD$15)</f>
        <v>0</v>
      </c>
      <c r="BQ30" s="43" t="n">
        <f aca="false">BDC!$I$29*BDC!$J$29*BP30*(1-0.3)</f>
        <v>0</v>
      </c>
      <c r="BR30" s="45" t="n">
        <f aca="false">BDC!$C$29*($CD$14*MAX(BN30,BO30)+BQ30)</f>
        <v>0.985030137096102</v>
      </c>
      <c r="CC30" s="10" t="s">
        <v>994</v>
      </c>
      <c r="CD30" s="43" t="n">
        <f aca="false">p_phi*MAX(0,p_a_spv-$CD$29)/p_a_spv+(1-p_phi)*MAX(0,p_a_spv-$CD$27)/p_a_spv</f>
        <v>0.754535623263265</v>
      </c>
    </row>
    <row r="31" customFormat="false" ht="15" hidden="false" customHeight="true" outlineLevel="0" collapsed="false">
      <c r="AA31" s="7" t="s">
        <v>995</v>
      </c>
      <c r="AB31" s="47" t="n">
        <f aca="false">p_fs_on*(SUM(AB7:AB30)+$CD$20*Holdings!C$37+Holdings!C$36*SUM($AP$7:$AP$30))</f>
        <v>0</v>
      </c>
      <c r="AC31" s="47" t="n">
        <f aca="false">p_fs_on*(SUM(AC7:AC30)+$CD$20*Holdings!D$37+Holdings!D$36*SUM($AP$7:$AP$30))</f>
        <v>0</v>
      </c>
      <c r="AD31" s="47" t="n">
        <f aca="false">p_fs_on*(SUM(AD7:AD30)+$CD$20*Holdings!E$37+Holdings!E$36*SUM($AP$7:$AP$30))</f>
        <v>0</v>
      </c>
      <c r="AE31" s="47" t="n">
        <f aca="false">p_fs_on*(SUM(AE7:AE30)+$CD$20*Holdings!F$37+Holdings!F$36*SUM($AP$7:$AP$30))</f>
        <v>53.3399217869509</v>
      </c>
      <c r="AF31" s="47" t="n">
        <f aca="false">p_fs_on*(SUM(AF7:AF30)+$CD$20*Holdings!G$37+Holdings!G$36*SUM($AP$7:$AP$30))</f>
        <v>221.863140388423</v>
      </c>
      <c r="AG31" s="47" t="n">
        <f aca="false">p_fs_on*(SUM(AG7:AG30)+$CD$20*Holdings!H$37+Holdings!H$36*SUM($AP$7:$AP$30))</f>
        <v>8.84482</v>
      </c>
      <c r="AH31" s="47" t="n">
        <f aca="false">p_fs_on*(SUM(AH7:AH30)+$CD$20*Holdings!I$37+Holdings!I$36*SUM($AP$7:$AP$30))</f>
        <v>36.540050877108</v>
      </c>
      <c r="AI31" s="47" t="n">
        <f aca="false">p_fs_on*(SUM(AI7:AI30)+$CD$20*Holdings!J$37+Holdings!J$36*SUM($AP$7:$AP$30))</f>
        <v>58.4826290280349</v>
      </c>
      <c r="AJ31" s="47" t="n">
        <f aca="false">p_fs_on*(SUM(AJ7:AJ30)+$CD$20*Holdings!K$37+Holdings!K$36*SUM($AP$7:$AP$30))</f>
        <v>73.7419916166578</v>
      </c>
      <c r="AK31" s="47" t="n">
        <f aca="false">p_fs_on*(SUM(AK7:AK30)+$CD$20*Holdings!L$37+$CD$34+Holdings!L$36*SUM($AP$7:$AP$30))</f>
        <v>216.309230654514</v>
      </c>
      <c r="AL31" s="47" t="n">
        <f aca="false">p_fs_on*(SUM(AL7:AL30)+$CD$20*Holdings!M$37+Holdings!M$36*SUM($AP$7:$AP$30))</f>
        <v>489.662982069587</v>
      </c>
      <c r="AM31" s="47" t="n">
        <f aca="false">p_fs_on*(SUM(AM7:AM30)+$CD$20*Holdings!N$37+Holdings!N$36*SUM($AP$7:$AP$30))</f>
        <v>0</v>
      </c>
      <c r="AN31" s="47" t="n">
        <f aca="false">p_fs_on*(SUM(AN7:AN30)+$CD$20*Holdings!O$37+Holdings!O$36*SUM($AP$7:$AP$30))</f>
        <v>92.5851079044145</v>
      </c>
      <c r="BI31" s="12" t="str">
        <f aca="false">BDC!$A$30</f>
        <v>OCSL</v>
      </c>
      <c r="BJ31" s="43" t="n">
        <f aca="false">1-((1-BDC!$D$30)*$CD$23+BDC!$D$30*$CD$24)-p_gap-$CD$13*(1-BDC!$M$30)</f>
        <v>0.392098725311922</v>
      </c>
      <c r="BK31" s="43" t="n">
        <f aca="false">(1-BDC!$D$30)*$CD$25+BDC!$D$30*$CD$26</f>
        <v>0.0620042590812855</v>
      </c>
      <c r="BL31" s="45" t="n">
        <f aca="false">BJ31/BDC!$K$30</f>
        <v>0.76911673041954</v>
      </c>
      <c r="BM31" s="35" t="n">
        <f aca="false">IF(BL31&lt;1.5,BDC!$C$30,0)</f>
        <v>2.74</v>
      </c>
      <c r="BN31" s="43" t="n">
        <f aca="false">MAX(0,1-BJ31*(1-CE_mig_hc)-p_bb_cush)*BDC!$Q$30</f>
        <v>0.15986044897253</v>
      </c>
      <c r="BO31" s="43" t="n">
        <f aca="false">MAX(0,BDC!$K$30-BJ31/1.5)</f>
        <v>0.248404771360679</v>
      </c>
      <c r="BP31" s="43" t="n">
        <f aca="false">MIN(MIN(1,BDC!$H$30*$CD$16),$CD$15)</f>
        <v>0</v>
      </c>
      <c r="BQ31" s="43" t="n">
        <f aca="false">BDC!$I$30*BDC!$J$30*BP31*(1-0.3)</f>
        <v>0</v>
      </c>
      <c r="BR31" s="45" t="n">
        <f aca="false">BDC!$C$30*($CD$14*MAX(BN31,BO31)+BQ31)</f>
        <v>0.680629073513135</v>
      </c>
      <c r="CC31" s="10" t="s">
        <v>996</v>
      </c>
      <c r="CD31" s="43" t="n">
        <f aca="false">p_phi*MAX(0,g_a_abf-(CE_Vh_a*(1-$AJ$32)-p_c_liq))/g_a_abf+(1-p_phi)*MAX(0,g_a_abf-CE_Vh_a)/g_a_abf</f>
        <v>0.27045974053452</v>
      </c>
    </row>
    <row r="32" customFormat="false" ht="15" hidden="false" customHeight="true" outlineLevel="0" collapsed="false">
      <c r="AA32" s="7" t="s">
        <v>997</v>
      </c>
      <c r="AB32" s="50" t="n">
        <f aca="false">MIN(Holdings!C$34,$CD$19*Holdings!C$31*AB31/10000+Holdings!C$39*$CD$10^g_gamma_pan)</f>
        <v>0</v>
      </c>
      <c r="AC32" s="50" t="n">
        <f aca="false">MIN(Holdings!D$34,$CD$19*Holdings!D$31*AC31/10000+Holdings!D$39*$CD$10^g_gamma_pan)</f>
        <v>0.00999999999666643</v>
      </c>
      <c r="AD32" s="50" t="n">
        <f aca="false">MIN(Holdings!E$34,$CD$19*Holdings!E$31*AD31/10000+Holdings!E$39*$CD$10^g_gamma_pan)</f>
        <v>0.0199999999933329</v>
      </c>
      <c r="AE32" s="50" t="n">
        <f aca="false">MIN(Holdings!F$34,$CD$19*Holdings!F$31*AE31/10000+Holdings!F$39*$CD$10^g_gamma_pan)</f>
        <v>0.0933349804185874</v>
      </c>
      <c r="AF32" s="50" t="n">
        <f aca="false">MIN(Holdings!G$34,$CD$19*Holdings!G$31*AF31/10000+Holdings!G$39*$CD$10^g_gamma_pan)</f>
        <v>0.25</v>
      </c>
      <c r="AG32" s="50" t="n">
        <f aca="false">MIN(Holdings!H$34,$CD$19*Holdings!H$31*AG31/10000+Holdings!H$39*$CD$10^g_gamma_pan)</f>
        <v>0.163267229948522</v>
      </c>
      <c r="AH32" s="50" t="n">
        <f aca="false">MIN(Holdings!I$34,$CD$19*Holdings!I$31*AH31/10000+Holdings!I$39*$CD$10^g_gamma_pan)</f>
        <v>0.309620152552472</v>
      </c>
      <c r="AI32" s="50" t="n">
        <f aca="false">MIN(Holdings!J$34,$CD$19*Holdings!J$31*AI31/10000+Holdings!J$39*$CD$10^g_gamma_pan)</f>
        <v>0.325447887014606</v>
      </c>
      <c r="AJ32" s="50" t="n">
        <f aca="false">MIN(Holdings!K$34,$CD$19*Holdings!K$31*AJ31/10000+Holdings!K$39*$CD$10^g_gamma_pan)</f>
        <v>0.21061298737936</v>
      </c>
      <c r="AK32" s="50" t="n">
        <f aca="false">MIN(Holdings!L$34,$CD$19*Holdings!L$31*AK31/10000+Holdings!L$39*$CD$10^g_gamma_pan)</f>
        <v>0.45</v>
      </c>
      <c r="AL32" s="50" t="n">
        <f aca="false">MIN(Holdings!M$34,$CD$19*Holdings!M$31*AL31/10000+Holdings!M$39*$CD$10^g_gamma_pan)</f>
        <v>0.324483149000752</v>
      </c>
      <c r="AM32" s="50" t="n">
        <f aca="false">MIN(Holdings!N$34,$CD$19*Holdings!N$31*AM31/10000+Holdings!N$39*$CD$10^g_gamma_pan)</f>
        <v>0</v>
      </c>
      <c r="AN32" s="50" t="n">
        <f aca="false">MIN(Holdings!O$34,$CD$19*Holdings!O$31*AN31/10000+Holdings!O$39*$CD$10^g_gamma_pan)</f>
        <v>0.192585107860791</v>
      </c>
      <c r="BI32" s="12" t="str">
        <f aca="false">BDC!$A$31</f>
        <v>BBDC</v>
      </c>
      <c r="BJ32" s="43" t="n">
        <f aca="false">1-((1-BDC!$D$31)*$CD$23+BDC!$D$31*$CD$24)-p_gap-$CD$13*(1-BDC!$M$31)</f>
        <v>0.440484450686784</v>
      </c>
      <c r="BK32" s="43" t="n">
        <f aca="false">(1-BDC!$D$31)*$CD$25+BDC!$D$31*$CD$26</f>
        <v>0.0655439894380735</v>
      </c>
      <c r="BL32" s="45" t="n">
        <f aca="false">BJ32/BDC!$K$31</f>
        <v>0.798601890269536</v>
      </c>
      <c r="BM32" s="35" t="n">
        <f aca="false">IF(BL32&lt;1.5,BDC!$C$31,0)</f>
        <v>2.46</v>
      </c>
      <c r="BN32" s="43" t="n">
        <f aca="false">MAX(0,1-BJ32*(1-CE_mig_hc)-p_bb_cush)*BDC!$Q$31</f>
        <v>0.161288813937777</v>
      </c>
      <c r="BO32" s="43" t="n">
        <f aca="false">MAX(0,BDC!$K$31-BJ32/1.5)</f>
        <v>0.257913206268601</v>
      </c>
      <c r="BP32" s="43" t="n">
        <f aca="false">MIN(MIN(1,BDC!$H$31*$CD$16),$CD$15)</f>
        <v>0</v>
      </c>
      <c r="BQ32" s="43" t="n">
        <f aca="false">BDC!$I$31*BDC!$J$31*BP32*(1-0.3)</f>
        <v>0</v>
      </c>
      <c r="BR32" s="45" t="n">
        <f aca="false">BDC!$C$31*($CD$14*MAX(BN32,BO32)+BQ32)</f>
        <v>0.634466487406659</v>
      </c>
      <c r="CC32" s="10" t="s">
        <v>998</v>
      </c>
      <c r="CD32" s="43" t="n">
        <f aca="false">p_phi*MAX(0,g_trs_adv-$CD$29)/g_trs_adv+(1-p_phi)*MAX(0,g_trs_adv-$CD$27)/g_trs_adv</f>
        <v>0.785218670355357</v>
      </c>
    </row>
    <row r="33" customFormat="false" ht="15" hidden="false" customHeight="true" outlineLevel="0" collapsed="false">
      <c r="BI33" s="12" t="str">
        <f aca="false">BDC!$A$32</f>
        <v>CGBD</v>
      </c>
      <c r="BJ33" s="43" t="n">
        <f aca="false">1-((1-BDC!$D$32)*$CD$23+BDC!$D$32*$CD$24)-p_gap-$CD$13*(1-BDC!$M$32)</f>
        <v>0.378165749030607</v>
      </c>
      <c r="BK33" s="43" t="n">
        <f aca="false">(1-BDC!$D$32)*$CD$25+BDC!$D$32*$CD$26</f>
        <v>0.064314398893084</v>
      </c>
      <c r="BL33" s="45" t="n">
        <f aca="false">BJ33/BDC!$K$32</f>
        <v>0.695952092753806</v>
      </c>
      <c r="BM33" s="35" t="n">
        <f aca="false">IF(BL33&lt;1.5,BDC!$C$32,0)</f>
        <v>2.36</v>
      </c>
      <c r="BN33" s="43" t="n">
        <f aca="false">MAX(0,1-BJ33*(1-CE_mig_hc)-p_bb_cush)*BDC!$Q$32</f>
        <v>0.18863678463858</v>
      </c>
      <c r="BO33" s="43" t="n">
        <f aca="false">MAX(0,BDC!$K$32-BJ33/1.5)</f>
        <v>0.291268496080052</v>
      </c>
      <c r="BP33" s="43" t="n">
        <f aca="false">MIN(MIN(1,BDC!$H$32*$CD$16),$CD$15)</f>
        <v>0</v>
      </c>
      <c r="BQ33" s="43" t="n">
        <f aca="false">BDC!$I$32*BDC!$J$32*BP33*(1-0.3)</f>
        <v>0</v>
      </c>
      <c r="BR33" s="45" t="n">
        <f aca="false">BDC!$C$32*($CD$14*MAX(BN33,BO33)+BQ33)</f>
        <v>0.687393650733646</v>
      </c>
      <c r="CC33" s="10" t="s">
        <v>999</v>
      </c>
      <c r="CD33" s="43" t="n">
        <f aca="false">SUM($BM$7:$BM$40)/SUM(BDC!$C$6:$C$39)</f>
        <v>0.998189261533617</v>
      </c>
    </row>
    <row r="34" customFormat="false" ht="15" hidden="false" customHeight="true" outlineLevel="0" collapsed="false">
      <c r="BI34" s="12" t="str">
        <f aca="false">BDC!$A$33</f>
        <v>KBDC</v>
      </c>
      <c r="BJ34" s="43" t="n">
        <f aca="false">1-((1-BDC!$D$33)*$CD$23+BDC!$D$33*$CD$24)-p_gap-$CD$13*(1-BDC!$M$33)</f>
        <v>0.45620547405221</v>
      </c>
      <c r="BK34" s="43" t="n">
        <f aca="false">(1-BDC!$D$33)*$CD$25+BDC!$D$33*$CD$26</f>
        <v>0.0684875546821392</v>
      </c>
      <c r="BL34" s="45" t="n">
        <f aca="false">BJ34/BDC!$K$33</f>
        <v>0.846124682643842</v>
      </c>
      <c r="BM34" s="35" t="n">
        <f aca="false">IF(BL34&lt;1.5,BDC!$C$33,0)</f>
        <v>2.29</v>
      </c>
      <c r="BN34" s="43" t="n">
        <f aca="false">MAX(0,1-BJ34*(1-CE_mig_hc)-p_bb_cush)*BDC!$Q$33</f>
        <v>0.153957236771759</v>
      </c>
      <c r="BO34" s="43" t="n">
        <f aca="false">MAX(0,BDC!$K$33-BJ34/1.5)</f>
        <v>0.235033524210969</v>
      </c>
      <c r="BP34" s="43" t="n">
        <f aca="false">MIN(MIN(1,BDC!$H$33*$CD$16),$CD$15)</f>
        <v>0</v>
      </c>
      <c r="BQ34" s="43" t="n">
        <f aca="false">BDC!$I$33*BDC!$J$33*BP34*(1-0.3)</f>
        <v>0</v>
      </c>
      <c r="BR34" s="45" t="n">
        <f aca="false">BDC!$C$33*($CD$14*MAX(BN34,BO34)+BQ34)</f>
        <v>0.538226770431158</v>
      </c>
      <c r="CC34" s="10" t="s">
        <v>869</v>
      </c>
      <c r="CD34" s="35" t="n">
        <f aca="false">p_pc_scale*SUM($BR$7:$BR$40)</f>
        <v>209.214230655105</v>
      </c>
    </row>
    <row r="35" customFormat="false" ht="15" hidden="false" customHeight="true" outlineLevel="0" collapsed="false">
      <c r="BI35" s="12" t="str">
        <f aca="false">BDC!$A$34</f>
        <v>NMFC</v>
      </c>
      <c r="BJ35" s="43" t="n">
        <f aca="false">1-((1-BDC!$D$34)*$CD$23+BDC!$D$34*$CD$24)-p_gap-$CD$13*(1-BDC!$M$34)</f>
        <v>0.361123826366566</v>
      </c>
      <c r="BK35" s="43" t="n">
        <f aca="false">(1-BDC!$D$34)*$CD$25+BDC!$D$34*$CD$26</f>
        <v>0.0628985067503688</v>
      </c>
      <c r="BL35" s="45" t="n">
        <f aca="false">BJ35/BDC!$K$34</f>
        <v>0.636790869394479</v>
      </c>
      <c r="BM35" s="35" t="n">
        <f aca="false">IF(BL35&lt;1.5,BDC!$C$34,0)</f>
        <v>2.29</v>
      </c>
      <c r="BN35" s="43" t="n">
        <f aca="false">MAX(0,1-BJ35*(1-CE_mig_hc)-p_bb_cush)*BDC!$Q$34</f>
        <v>0.156567624381991</v>
      </c>
      <c r="BO35" s="43" t="n">
        <f aca="false">MAX(0,BDC!$K$34-BJ35/1.5)</f>
        <v>0.326350349521856</v>
      </c>
      <c r="BP35" s="43" t="n">
        <f aca="false">MIN(MIN(1,BDC!$H$34*$CD$16),$CD$15)</f>
        <v>0</v>
      </c>
      <c r="BQ35" s="43" t="n">
        <f aca="false">BDC!$I$34*BDC!$J$34*BP35*(1-0.3)</f>
        <v>0</v>
      </c>
      <c r="BR35" s="45" t="n">
        <f aca="false">BDC!$C$34*($CD$14*MAX(BN35,BO35)+BQ35)</f>
        <v>0.747342300388442</v>
      </c>
    </row>
    <row r="36" customFormat="false" ht="15" hidden="false" customHeight="true" outlineLevel="0" collapsed="false">
      <c r="BI36" s="12" t="str">
        <f aca="false">BDC!$A$35</f>
        <v>HPS CCS</v>
      </c>
      <c r="BJ36" s="43" t="n">
        <f aca="false">1-((1-BDC!$D$35)*$CD$23+BDC!$D$35*$CD$24)-p_gap-$CD$13*(1-BDC!$M$35)</f>
        <v>0.428848454402865</v>
      </c>
      <c r="BK36" s="43" t="n">
        <f aca="false">(1-BDC!$D$35)*$CD$25+BDC!$D$35*$CD$26</f>
        <v>0.0651713862426221</v>
      </c>
      <c r="BL36" s="45" t="n">
        <f aca="false">BJ36/BDC!$K$35</f>
        <v>1.05036795353745</v>
      </c>
      <c r="BM36" s="35" t="n">
        <f aca="false">IF(BL36&lt;1.5,BDC!$C$35,0)</f>
        <v>2.27</v>
      </c>
      <c r="BN36" s="43" t="n">
        <f aca="false">MAX(0,1-BJ36*(1-CE_mig_hc)-p_bb_cush)*BDC!$Q$35</f>
        <v>0.121466639890251</v>
      </c>
      <c r="BO36" s="43" t="n">
        <f aca="false">MAX(0,BDC!$K$35-BJ36/1.5)</f>
        <v>0.122385054066729</v>
      </c>
      <c r="BP36" s="43" t="n">
        <f aca="false">MIN(MIN(1,BDC!$H$35*$CD$16),$CD$15)</f>
        <v>0.137999999979554</v>
      </c>
      <c r="BQ36" s="43" t="n">
        <f aca="false">BDC!$I$35*BDC!$J$35*BP36*(1-0.3)</f>
        <v>0.0571597633051408</v>
      </c>
      <c r="BR36" s="45" t="n">
        <f aca="false">BDC!$C$35*($CD$14*MAX(BN36,BO36)+BQ36)</f>
        <v>0.40756673542797</v>
      </c>
    </row>
    <row r="37" customFormat="false" ht="15" hidden="false" customHeight="true" outlineLevel="0" collapsed="false">
      <c r="BI37" s="12" t="str">
        <f aca="false">BDC!$A$36</f>
        <v>APCF</v>
      </c>
      <c r="BJ37" s="43" t="n">
        <f aca="false">1-((1-BDC!$D$36)*$CD$23+BDC!$D$36*$CD$24)-p_gap-$CD$13*(1-BDC!$M$36)</f>
        <v>0.412233180696502</v>
      </c>
      <c r="BK37" s="43" t="n">
        <f aca="false">(1-BDC!$D$36)*$CD$25+BDC!$D$36*$CD$26</f>
        <v>0.062414122596282</v>
      </c>
      <c r="BL37" s="45" t="n">
        <f aca="false">BJ37/BDC!$K$36</f>
        <v>0.770696816084765</v>
      </c>
      <c r="BM37" s="35" t="n">
        <f aca="false">IF(BL37&lt;1.5,BDC!$C$36,0)</f>
        <v>1.73</v>
      </c>
      <c r="BN37" s="43" t="n">
        <f aca="false">MAX(0,1-BJ37*(1-CE_mig_hc)-p_bb_cush)*BDC!$Q$36</f>
        <v>0.163016261094287</v>
      </c>
      <c r="BO37" s="43" t="n">
        <f aca="false">MAX(0,BDC!$K$36-BJ37/1.5)</f>
        <v>0.260061600465898</v>
      </c>
      <c r="BP37" s="43" t="n">
        <f aca="false">MIN(MIN(1,BDC!$H$36*$CD$16),$CD$15)</f>
        <v>0.0134999999979999</v>
      </c>
      <c r="BQ37" s="43" t="n">
        <f aca="false">BDC!$I$36*BDC!$J$36*BP37*(1-0.3)</f>
        <v>0.00439534883655809</v>
      </c>
      <c r="BR37" s="45" t="n">
        <f aca="false">BDC!$C$36*($CD$14*MAX(BN37,BO37)+BQ37)</f>
        <v>0.45751052228325</v>
      </c>
    </row>
    <row r="38" customFormat="false" ht="15" hidden="false" customHeight="true" outlineLevel="0" collapsed="false">
      <c r="BI38" s="12" t="str">
        <f aca="false">BDC!$A$37</f>
        <v>TCPC</v>
      </c>
      <c r="BJ38" s="43" t="n">
        <f aca="false">1-((1-BDC!$D$37)*$CD$23+BDC!$D$37*$CD$24)-p_gap-$CD$13*(1-BDC!$M$37)</f>
        <v>0.368439426448326</v>
      </c>
      <c r="BK38" s="43" t="n">
        <f aca="false">(1-BDC!$D$37)*$CD$25+BDC!$D$37*$CD$26</f>
        <v>0.0592469954349455</v>
      </c>
      <c r="BL38" s="45" t="n">
        <f aca="false">BJ38/BDC!$K$37</f>
        <v>0.591736048538221</v>
      </c>
      <c r="BM38" s="35" t="n">
        <f aca="false">IF(BL38&lt;1.5,BDC!$C$37,0)</f>
        <v>1.29</v>
      </c>
      <c r="BN38" s="43" t="n">
        <f aca="false">MAX(0,1-BJ38*(1-CE_mig_hc)-p_bb_cush)*BDC!$Q$37</f>
        <v>0.201683787744413</v>
      </c>
      <c r="BO38" s="43" t="n">
        <f aca="false">MAX(0,BDC!$K$37-BJ38/1.5)</f>
        <v>0.377015225135078</v>
      </c>
      <c r="BP38" s="43" t="n">
        <f aca="false">MIN(MIN(1,BDC!$H$37*$CD$16),$CD$15)</f>
        <v>0</v>
      </c>
      <c r="BQ38" s="43" t="n">
        <f aca="false">BDC!$I$37*BDC!$J$37*BP38*(1-0.3)</f>
        <v>0</v>
      </c>
      <c r="BR38" s="45" t="n">
        <f aca="false">BDC!$C$37*($CD$14*MAX(BN38,BO38)+BQ38)</f>
        <v>0.486349640413442</v>
      </c>
    </row>
    <row r="39" customFormat="false" ht="15" hidden="false" customHeight="true" outlineLevel="0" collapsed="false">
      <c r="BI39" s="12" t="str">
        <f aca="false">BDC!$A$38</f>
        <v>OBDC II</v>
      </c>
      <c r="BJ39" s="43" t="n">
        <f aca="false">1-((1-BDC!$D$38)*$CD$23+BDC!$D$38*$CD$24)-p_gap-$CD$13*(1-BDC!$M$38)</f>
        <v>0.431318292386244</v>
      </c>
      <c r="BK39" s="43" t="n">
        <f aca="false">(1-BDC!$D$38)*$CD$25+BDC!$D$38*$CD$26</f>
        <v>0.0655812497576186</v>
      </c>
      <c r="BL39" s="45" t="n">
        <f aca="false">BJ39/BDC!$K$38</f>
        <v>2.02879344937233</v>
      </c>
      <c r="BM39" s="35" t="n">
        <f aca="false">IF(BL39&lt;1.5,BDC!$C$38,0)</f>
        <v>0</v>
      </c>
      <c r="BN39" s="43" t="n">
        <f aca="false">MAX(0,1-BJ39*(1-CE_mig_hc)-p_bb_cush)*BDC!$Q$38</f>
        <v>0.126039156044079</v>
      </c>
      <c r="BO39" s="43" t="n">
        <f aca="false">MAX(0,BDC!$K$38-BJ39/1.5)</f>
        <v>0</v>
      </c>
      <c r="BP39" s="43" t="n">
        <f aca="false">MIN(MIN(1,BDC!$H$38*$CD$16),$CD$15)</f>
        <v>0</v>
      </c>
      <c r="BQ39" s="43" t="n">
        <f aca="false">BDC!$I$38*BDC!$J$38*BP39*(1-0.3)</f>
        <v>0</v>
      </c>
      <c r="BR39" s="45" t="n">
        <f aca="false">BDC!$C$38*($CD$14*MAX(BN39,BO39)+BQ39)</f>
        <v>0.0869670176684817</v>
      </c>
    </row>
    <row r="40" customFormat="false" ht="15" hidden="false" customHeight="true" outlineLevel="0" collapsed="false">
      <c r="BI40" s="12" t="str">
        <f aca="false">BDC!$A$39</f>
        <v>NHPIF-A</v>
      </c>
      <c r="BJ40" s="43" t="n">
        <f aca="false">1-((1-BDC!$D$39)*$CD$23+BDC!$D$39*$CD$24)-p_gap-$CD$13*(1-BDC!$M$39)</f>
        <v>0.406395381826699</v>
      </c>
      <c r="BK40" s="43" t="n">
        <f aca="false">(1-BDC!$D$39)*$CD$25+BDC!$D$39*$CD$26</f>
        <v>0.0614453542881085</v>
      </c>
      <c r="BL40" s="45" t="n">
        <f aca="false">BJ40/BDC!$K$39</f>
        <v>0.800954004959417</v>
      </c>
      <c r="BM40" s="35" t="n">
        <f aca="false">IF(BL40&lt;1.5,BDC!$C$39,0)</f>
        <v>0.6</v>
      </c>
      <c r="BN40" s="43" t="n">
        <f aca="false">MAX(0,1-BJ40*(1-CE_mig_hc)-p_bb_cush)*BDC!$Q$39</f>
        <v>0.15593177475082</v>
      </c>
      <c r="BO40" s="43" t="n">
        <f aca="false">MAX(0,BDC!$K$39-BJ40/1.5)</f>
        <v>0.236458908010444</v>
      </c>
      <c r="BP40" s="43" t="n">
        <f aca="false">MIN(MIN(1,BDC!$H$39*$CD$16),$CD$15)</f>
        <v>0.203999999969776</v>
      </c>
      <c r="BQ40" s="43" t="n">
        <f aca="false">BDC!$I$39*BDC!$J$39*BP40*(1-0.3)</f>
        <v>0.0703448275757847</v>
      </c>
      <c r="BR40" s="45" t="n">
        <f aca="false">BDC!$C$39*($CD$14*MAX(BN40,BO40)+BQ40)</f>
        <v>0.184082241348584</v>
      </c>
    </row>
    <row r="45" customFormat="false" ht="15" hidden="false" customHeight="true" outlineLevel="0" collapsed="false">
      <c r="A45" s="9" t="s">
        <v>1000</v>
      </c>
    </row>
    <row r="46" customFormat="false" ht="42" hidden="false" customHeight="true" outlineLevel="0" collapsed="false">
      <c r="A46" s="21" t="s">
        <v>51</v>
      </c>
      <c r="B46" s="21" t="s">
        <v>910</v>
      </c>
      <c r="C46" s="21" t="s">
        <v>911</v>
      </c>
      <c r="D46" s="21" t="s">
        <v>912</v>
      </c>
      <c r="E46" s="21" t="s">
        <v>913</v>
      </c>
      <c r="F46" s="21" t="s">
        <v>914</v>
      </c>
      <c r="G46" s="21" t="s">
        <v>61</v>
      </c>
      <c r="H46" s="21" t="s">
        <v>915</v>
      </c>
      <c r="I46" s="21" t="s">
        <v>916</v>
      </c>
      <c r="J46" s="21" t="s">
        <v>917</v>
      </c>
      <c r="K46" s="21" t="s">
        <v>918</v>
      </c>
      <c r="L46" s="21" t="s">
        <v>919</v>
      </c>
      <c r="M46" s="21" t="s">
        <v>920</v>
      </c>
      <c r="N46" s="21" t="s">
        <v>921</v>
      </c>
      <c r="O46" s="21" t="s">
        <v>922</v>
      </c>
      <c r="P46" s="21" t="s">
        <v>923</v>
      </c>
      <c r="Q46" s="21" t="s">
        <v>924</v>
      </c>
      <c r="R46" s="21" t="s">
        <v>925</v>
      </c>
      <c r="S46" s="21" t="s">
        <v>926</v>
      </c>
      <c r="T46" s="21" t="s">
        <v>927</v>
      </c>
      <c r="U46" s="21" t="s">
        <v>928</v>
      </c>
      <c r="V46" s="21" t="s">
        <v>60</v>
      </c>
      <c r="W46" s="21" t="s">
        <v>929</v>
      </c>
      <c r="X46" s="21" t="s">
        <v>930</v>
      </c>
      <c r="Y46" s="21" t="s">
        <v>931</v>
      </c>
      <c r="Z46" s="21" t="s">
        <v>932</v>
      </c>
      <c r="AA46" s="21" t="s">
        <v>933</v>
      </c>
      <c r="AB46" s="21" t="s">
        <v>934</v>
      </c>
      <c r="AC46" s="21" t="s">
        <v>935</v>
      </c>
      <c r="AD46" s="21" t="s">
        <v>936</v>
      </c>
      <c r="AE46" s="21" t="s">
        <v>937</v>
      </c>
      <c r="AF46" s="21" t="s">
        <v>938</v>
      </c>
      <c r="AG46" s="21" t="s">
        <v>939</v>
      </c>
      <c r="AH46" s="21" t="s">
        <v>940</v>
      </c>
      <c r="AI46" s="21" t="s">
        <v>941</v>
      </c>
      <c r="AJ46" s="21" t="s">
        <v>942</v>
      </c>
      <c r="AK46" s="21" t="s">
        <v>943</v>
      </c>
      <c r="AL46" s="21" t="s">
        <v>944</v>
      </c>
      <c r="AM46" s="21" t="s">
        <v>945</v>
      </c>
      <c r="AN46" s="21" t="s">
        <v>946</v>
      </c>
      <c r="AO46" s="21" t="s">
        <v>947</v>
      </c>
      <c r="AP46" s="21" t="s">
        <v>948</v>
      </c>
      <c r="AQ46" s="21" t="s">
        <v>949</v>
      </c>
      <c r="AR46" s="21" t="s">
        <v>950</v>
      </c>
      <c r="AS46" s="21" t="s">
        <v>951</v>
      </c>
      <c r="AT46" s="21" t="s">
        <v>952</v>
      </c>
      <c r="AU46" s="21" t="s">
        <v>953</v>
      </c>
      <c r="AV46" s="21" t="s">
        <v>954</v>
      </c>
      <c r="AW46" s="21" t="s">
        <v>955</v>
      </c>
      <c r="AX46" s="21" t="s">
        <v>956</v>
      </c>
      <c r="AY46" s="21" t="s">
        <v>957</v>
      </c>
      <c r="AZ46" s="21" t="s">
        <v>958</v>
      </c>
      <c r="BA46" s="21" t="s">
        <v>959</v>
      </c>
      <c r="BB46" s="21" t="s">
        <v>960</v>
      </c>
      <c r="BC46" s="21" t="s">
        <v>614</v>
      </c>
      <c r="BD46" s="21" t="s">
        <v>961</v>
      </c>
      <c r="BE46" s="21" t="s">
        <v>962</v>
      </c>
      <c r="BF46" s="21" t="s">
        <v>963</v>
      </c>
      <c r="BG46" s="21" t="s">
        <v>964</v>
      </c>
      <c r="BI46" s="21" t="s">
        <v>599</v>
      </c>
      <c r="BJ46" s="21" t="s">
        <v>960</v>
      </c>
      <c r="BK46" s="21" t="s">
        <v>614</v>
      </c>
      <c r="BL46" s="21" t="s">
        <v>965</v>
      </c>
      <c r="BM46" s="21" t="s">
        <v>966</v>
      </c>
      <c r="BN46" s="21" t="s">
        <v>967</v>
      </c>
      <c r="BO46" s="21" t="s">
        <v>968</v>
      </c>
      <c r="BP46" s="21" t="s">
        <v>969</v>
      </c>
      <c r="BQ46" s="21" t="s">
        <v>622</v>
      </c>
      <c r="BR46" s="21" t="s">
        <v>623</v>
      </c>
      <c r="BT46" s="21" t="s">
        <v>805</v>
      </c>
      <c r="BU46" s="21" t="s">
        <v>970</v>
      </c>
      <c r="BV46" s="21" t="s">
        <v>971</v>
      </c>
      <c r="CC46" s="21" t="s">
        <v>972</v>
      </c>
      <c r="CD46" s="21" t="s">
        <v>363</v>
      </c>
    </row>
    <row r="47" customFormat="false" ht="15" hidden="false" customHeight="true" outlineLevel="0" collapsed="false">
      <c r="A47" s="10" t="s">
        <v>496</v>
      </c>
      <c r="B47" s="35" t="n">
        <f aca="false">AY7</f>
        <v>158.912577185163</v>
      </c>
      <c r="C47" s="39" t="n">
        <f aca="false">AZ7</f>
        <v>0.0673878063528496</v>
      </c>
      <c r="D47" s="44" t="n">
        <f aca="false">IF(C47&lt;Inputs_Banks!$I6,1,0)</f>
        <v>1</v>
      </c>
      <c r="E47" s="44" t="n">
        <f aca="false">IF(C47&lt;0.045,1,0)</f>
        <v>0</v>
      </c>
      <c r="F47" s="44" t="n">
        <f aca="false">IF(B47&lt;0,1,0)</f>
        <v>0</v>
      </c>
      <c r="G47" s="44" t="n">
        <f aca="false">MIN(6,MIN(3,INT(MAX(0,Inputs_Banks!$BA6-C47)/p_notch_step))+D47+2*E47)</f>
        <v>3</v>
      </c>
      <c r="H47" s="39" t="n">
        <f aca="false">C47-Inputs_Banks!$I6</f>
        <v>-0.0476121936471504</v>
      </c>
      <c r="I47" s="44" t="n">
        <f aca="false">RANK(H47,$H$47:$H$70,1)</f>
        <v>13</v>
      </c>
      <c r="J47" s="44" t="n">
        <f aca="false">MAX(IF(I47&lt;=g_n_weak,1,0),E47)</f>
        <v>0</v>
      </c>
      <c r="K47" s="44" t="n">
        <f aca="false">IF(I47&gt;12,1,0)*(1-E47)</f>
        <v>1</v>
      </c>
      <c r="L47" s="35" t="n">
        <f aca="false">INDEX(Inputs_Banks!$AR6:$AX6,1,G47+1)</f>
        <v>0.612</v>
      </c>
      <c r="M47" s="35" t="n">
        <f aca="false">Inputs_Banks!$AI6*MIN(1,p_u_base+$CD$50*p_u_pan_all+J47*($CD$50*p_u_pan_weak+p_u_mda*D47)+p_u_notch*G47+p_u_fail*E47)</f>
        <v>470.853</v>
      </c>
      <c r="N47" s="35" t="n">
        <f aca="false">Inputs_Banks!$AK6*MIN(1,p_w_base+p_w_pan*$CD$50+p_w_notch*G47+0.5*D47+1*E47)</f>
        <v>30.166</v>
      </c>
      <c r="O47" s="35" t="n">
        <f aca="false">Inputs_Banks!$AO6*MIN(1,p_cp_base+p_cp_pan*$CD$50+p_cp_notch*G47)</f>
        <v>5.45</v>
      </c>
      <c r="P47" s="35" t="n">
        <f aca="false">Inputs_Banks!$AN6*(p_dh+p_dh_pan*$CD$50+MIN(1,0.5*$CD$57+0.25*G47))</f>
        <v>244.593789910108</v>
      </c>
      <c r="Q47" s="35" t="n">
        <f aca="false">Modules!$Y6</f>
        <v>45.160097</v>
      </c>
      <c r="R47" s="35" t="n">
        <f aca="false">Inputs_Banks!$AJ6*K47</f>
        <v>2713.7</v>
      </c>
      <c r="S47" s="35" t="n">
        <f aca="false">p_liq_on*$CD$58*SUM($M$47:$M$70)*R47/MAX(0.000000001,SUM($R$47:$R$70))</f>
        <v>331.642792555137</v>
      </c>
      <c r="T47" s="35" t="n">
        <f aca="false">p_liq_on*(L47+M47+N47+O47+P47+Q47)</f>
        <v>796.834886910108</v>
      </c>
      <c r="U47" s="35" t="n">
        <f aca="false">g_usable*Inputs_Banks!$AG6+p_cb_on*Inputs_Banks!$AQ6+S47</f>
        <v>1389.24299255514</v>
      </c>
      <c r="V47" s="35" t="n">
        <f aca="false">MAX(0,T47-U47)</f>
        <v>0</v>
      </c>
      <c r="W47" s="44" t="n">
        <f aca="false">IF(V47&gt;0.9*Inputs_Banks!$BB6,1,0)</f>
        <v>0</v>
      </c>
      <c r="X47" s="43" t="n">
        <f aca="false">MAX(p_htm_forced,(1-p_cb_on)*MIN(1,T47/Inputs_Banks!$AG6)*g_theta_sell)</f>
        <v>0.204230337260078</v>
      </c>
      <c r="Y47" s="35" t="n">
        <f aca="false">MAX(0,Modules!$V6-B47/(Inputs_Banks!$I6+g_del_buf))</f>
        <v>1033.90852345698</v>
      </c>
      <c r="Z47" s="35" t="n">
        <f aca="false">MIN(g_del_cap*Inputs_Banks!$BB6,Y47)</f>
        <v>120.0675</v>
      </c>
      <c r="AA47" s="35" t="n">
        <f aca="false">MIN(Inputs_Banks!$BB6,V47+Z47)</f>
        <v>120.0675</v>
      </c>
      <c r="AB47" s="35" t="n">
        <f aca="false">$AA47*Holdings!Q6</f>
        <v>0</v>
      </c>
      <c r="AC47" s="35" t="n">
        <f aca="false">$AA47*Holdings!R6</f>
        <v>0</v>
      </c>
      <c r="AD47" s="35" t="n">
        <f aca="false">$AA47*Holdings!S6</f>
        <v>0</v>
      </c>
      <c r="AE47" s="35" t="n">
        <f aca="false">$AA47*Holdings!T6</f>
        <v>8.5</v>
      </c>
      <c r="AF47" s="35" t="n">
        <f aca="false">$AA47*Holdings!U6</f>
        <v>13.89</v>
      </c>
      <c r="AG47" s="35" t="n">
        <f aca="false">$AA47*Holdings!V6</f>
        <v>0</v>
      </c>
      <c r="AH47" s="35" t="n">
        <f aca="false">$AA47*Holdings!W6</f>
        <v>3.56</v>
      </c>
      <c r="AI47" s="35" t="n">
        <f aca="false">$AA47*Holdings!X6</f>
        <v>11.0075</v>
      </c>
      <c r="AJ47" s="35" t="n">
        <f aca="false">$AA47*Holdings!Y6</f>
        <v>8.495</v>
      </c>
      <c r="AK47" s="35" t="n">
        <f aca="false">$AA47*Holdings!Z6</f>
        <v>0</v>
      </c>
      <c r="AL47" s="35" t="n">
        <f aca="false">$AA47*Holdings!AA6</f>
        <v>66.7675</v>
      </c>
      <c r="AM47" s="35" t="n">
        <f aca="false">$AA47*Holdings!AB6</f>
        <v>0</v>
      </c>
      <c r="AN47" s="35" t="n">
        <f aca="false">$AA47*Holdings!AC6</f>
        <v>7.8475</v>
      </c>
      <c r="AO47" s="43" t="n">
        <f aca="false">MIN(1,$CD$57+0.5*G47)</f>
        <v>1</v>
      </c>
      <c r="AP47" s="35" t="n">
        <f aca="false">p_liq_on*Inputs_Banks!$AP6*AO47*p_mb_psi</f>
        <v>20.688</v>
      </c>
      <c r="AQ47" s="44" t="n">
        <f aca="false">MAX(F47,E47,W47*(1-p_cb_on))</f>
        <v>0</v>
      </c>
      <c r="AR47" s="35" t="n">
        <f aca="false">p_ib_on*p_lgd_ib*g_s_in*g_u_ib*SUMPRODUCT(Network!C$6:C$29,$AQ$47:$AQ$70)</f>
        <v>11.1464670273187</v>
      </c>
      <c r="AS47" s="35" t="n">
        <f aca="false">p_sw_M1*(SUMPRODUCT(BDC_EAD!C$106:C$127,$BF$47:$BF$68)+SUMPRODUCT(BDC_EAD!C$131:C$152,$BG$47:$BG$68)+(Inputs_Banks!$Y6+p_ccf_bl*Inputs_Banks!$Z6)*$CD$70+Modules!$E6)</f>
        <v>58.8832880051148</v>
      </c>
      <c r="AT47" s="35" t="n">
        <f aca="false">p_sw_M3*(Inputs_Banks!$U6+p_ccf_abf*Inputs_Banks!$V6)*$CD$71</f>
        <v>0</v>
      </c>
      <c r="AU47" s="35" t="n">
        <f aca="false">p_sw_M10*Inputs_Banks!$AC6*$CD$72</f>
        <v>0</v>
      </c>
      <c r="AV47" s="35" t="n">
        <f aca="false">p_sw_M8*(Modules!$M6+Modules!$N6*IF(p_liq_on&gt;0,X47,p_htm_forced))</f>
        <v>20.4006719799258</v>
      </c>
      <c r="AW47" s="35" t="n">
        <f aca="false">SUMPRODUCT(Holdings!$C6:$O6,Holdings!$C$32:$O$32,$AB$72:$AN$72)+Inputs_Banks!$P6*$AL$72</f>
        <v>27.032640316229</v>
      </c>
      <c r="AX47" s="35" t="n">
        <f aca="false">Modules!$T6+AS47+AT47+AU47+AV47+AW47+AR47</f>
        <v>158.160457218011</v>
      </c>
      <c r="AY47" s="35" t="n">
        <f aca="false">Modules!$U6-(1-p_tax)*AX47</f>
        <v>145.939542781989</v>
      </c>
      <c r="AZ47" s="39" t="n">
        <f aca="false">AY47/Modules!$V6</f>
        <v>0.0618865153559056</v>
      </c>
      <c r="BA47" s="48" t="s">
        <v>634</v>
      </c>
      <c r="BB47" s="43" t="n">
        <f aca="false">INDEX($BJ$47:$BJ$80,BDC_EAD!$B6)</f>
        <v>0.428174862214715</v>
      </c>
      <c r="BC47" s="43" t="n">
        <f aca="false">INDEX($BK$47:$BK$80,BDC_EAD!$B6)</f>
        <v>0.0650596052820627</v>
      </c>
      <c r="BD47" s="22" t="n">
        <f aca="false">INDEX(BDC!$Q$6:$Q$39,BDC_EAD!$B6)</f>
        <v>0.243786096256685</v>
      </c>
      <c r="BE47" s="43" t="n">
        <f aca="false">BB47*(1-$AK$72)-BC47-p_c_liq</f>
        <v>0.12043656893603</v>
      </c>
      <c r="BF47" s="43" t="n">
        <f aca="false">p_phi*MAX(0,p_a_spv-BE47)/p_a_spv+(1-p_phi)*MAX(0,p_a_spv-BB47)/p_a_spv</f>
        <v>0.740022532011761</v>
      </c>
      <c r="BG47" s="43" t="n">
        <f aca="false">IF(BD47&gt;0,p_phi*MAX(0,BD47-BE47)/BD47+(1-p_phi)*MAX(0,BD47-BB47)/BD47,0)</f>
        <v>0.404779531612922</v>
      </c>
      <c r="BI47" s="12" t="str">
        <f aca="false">BDC!$A$6</f>
        <v>BCRED</v>
      </c>
      <c r="BJ47" s="43" t="n">
        <f aca="false">1-((1-BDC!$D$6)*$CD$63+BDC!$D$6*$CD$64)-p_gap-$CD$53*(1-BDC!$M$6)</f>
        <v>0.394270722625258</v>
      </c>
      <c r="BK47" s="43" t="n">
        <f aca="false">(1-BDC!$D$6)*$CD$65+BDC!$D$6*$CD$66</f>
        <v>0.0594332970306441</v>
      </c>
      <c r="BL47" s="45" t="n">
        <f aca="false">BJ47/BDC!$K$6</f>
        <v>0.875088677046304</v>
      </c>
      <c r="BM47" s="35" t="n">
        <f aca="false">IF(BL47&lt;1.5,BDC!$C$6,0)</f>
        <v>77.65</v>
      </c>
      <c r="BN47" s="43" t="n">
        <f aca="false">MAX(0,1-BJ47*(1-CE_mig_hc)-p_bb_cush)*BDC!$Q$6</f>
        <v>0.162261545017265</v>
      </c>
      <c r="BO47" s="43" t="n">
        <f aca="false">MAX(0,BDC!$K$6-BJ47/1.5)</f>
        <v>0.187702302132612</v>
      </c>
      <c r="BP47" s="43" t="n">
        <f aca="false">MIN(MIN(1,BDC!$H$6*$CD$56),$CD$55)</f>
        <v>0.25</v>
      </c>
      <c r="BQ47" s="43" t="n">
        <f aca="false">BDC!$I$6*BDC!$J$6*BP47*(1-0.3)</f>
        <v>0.0961538461538461</v>
      </c>
      <c r="BR47" s="45" t="n">
        <f aca="false">BDC!$C$6*($CD$54*MAX(BN47,BO47)+BQ47)</f>
        <v>22.0414299144435</v>
      </c>
      <c r="BT47" s="10" t="s">
        <v>816</v>
      </c>
      <c r="BU47" s="43" t="n">
        <f aca="false">NORMSDIST((NORMSINV(CreditEngine!$D$6)-SQRT(g_rho)*$CD$51)/SQRT(1-g_rho))</f>
        <v>0.666274429098982</v>
      </c>
      <c r="BV47" s="43" t="n">
        <f aca="false">NORMSDIST((NORMSINV(MIN(0.999,CreditEngine!$D$6*p_m_sw))-SQRT(g_rho)*$CD$51)/SQRT(1-g_rho))</f>
        <v>0.838888284547613</v>
      </c>
      <c r="CC47" s="10" t="s">
        <v>973</v>
      </c>
      <c r="CD47" s="43" t="n">
        <f aca="false">$CD$33</f>
        <v>0.998189261533617</v>
      </c>
    </row>
    <row r="48" customFormat="false" ht="15" hidden="false" customHeight="true" outlineLevel="0" collapsed="false">
      <c r="A48" s="10" t="s">
        <v>499</v>
      </c>
      <c r="B48" s="35" t="n">
        <f aca="false">AY8</f>
        <v>74.5374142976939</v>
      </c>
      <c r="C48" s="39" t="n">
        <f aca="false">AZ8</f>
        <v>0.0378398620262715</v>
      </c>
      <c r="D48" s="44" t="n">
        <f aca="false">IF(C48&lt;Inputs_Banks!$I7,1,0)</f>
        <v>1</v>
      </c>
      <c r="E48" s="44" t="n">
        <f aca="false">IF(C48&lt;0.045,1,0)</f>
        <v>1</v>
      </c>
      <c r="F48" s="44" t="n">
        <f aca="false">IF(B48&lt;0,1,0)</f>
        <v>0</v>
      </c>
      <c r="G48" s="44" t="n">
        <f aca="false">MIN(6,MIN(3,INT(MAX(0,Inputs_Banks!$BA7-C48)/p_notch_step))+D48+2*E48)</f>
        <v>5</v>
      </c>
      <c r="H48" s="39" t="n">
        <f aca="false">C48-Inputs_Banks!$I7</f>
        <v>-0.0621601379737285</v>
      </c>
      <c r="I48" s="44" t="n">
        <f aca="false">RANK(H48,$H$47:$H$70,1)</f>
        <v>10</v>
      </c>
      <c r="J48" s="44" t="n">
        <f aca="false">MAX(IF(I48&lt;=g_n_weak,1,0),E48)</f>
        <v>1</v>
      </c>
      <c r="K48" s="44" t="n">
        <f aca="false">IF(I48&gt;12,1,0)*(1-E48)</f>
        <v>0</v>
      </c>
      <c r="L48" s="35" t="n">
        <f aca="false">INDEX(Inputs_Banks!$AR7:$AX7,1,G48+1)</f>
        <v>5.448</v>
      </c>
      <c r="M48" s="35" t="n">
        <f aca="false">Inputs_Banks!$AI7*MIN(1,p_u_base+$CD$50*p_u_pan_all+J48*($CD$50*p_u_pan_weak+p_u_mda*D48)+p_u_notch*G48+p_u_fail*E48)</f>
        <v>809.73</v>
      </c>
      <c r="N48" s="35" t="n">
        <f aca="false">Inputs_Banks!$AK7*MIN(1,p_w_base+p_w_pan*$CD$50+p_w_notch*G48+0.5*D48+1*E48)</f>
        <v>59.979</v>
      </c>
      <c r="O48" s="35" t="n">
        <f aca="false">Inputs_Banks!$AO7*MIN(1,p_cp_base+p_cp_pan*$CD$50+p_cp_notch*G48)</f>
        <v>27.98</v>
      </c>
      <c r="P48" s="35" t="n">
        <f aca="false">Inputs_Banks!$AN7*(p_dh+p_dh_pan*$CD$50+MIN(1,0.5*$CD$57+0.25*G48))</f>
        <v>74.3236122327501</v>
      </c>
      <c r="Q48" s="35" t="n">
        <f aca="false">Modules!$Y7</f>
        <v>25.5386092</v>
      </c>
      <c r="R48" s="35" t="n">
        <f aca="false">Inputs_Banks!$AJ7*K48</f>
        <v>0</v>
      </c>
      <c r="S48" s="35" t="n">
        <f aca="false">p_liq_on*$CD$58*SUM($M$47:$M$70)*R48/MAX(0.000000001,SUM($R$47:$R$70))</f>
        <v>0</v>
      </c>
      <c r="T48" s="35" t="n">
        <f aca="false">p_liq_on*(L48+M48+N48+O48+P48+Q48)</f>
        <v>1002.99922143275</v>
      </c>
      <c r="U48" s="35" t="n">
        <f aca="false">g_usable*Inputs_Banks!$AG7+p_cb_on*Inputs_Banks!$AQ7+S48</f>
        <v>759.9</v>
      </c>
      <c r="V48" s="35" t="n">
        <f aca="false">MAX(0,T48-U48)</f>
        <v>243.09922143275</v>
      </c>
      <c r="W48" s="44" t="n">
        <f aca="false">IF(V48&gt;0.9*Inputs_Banks!$BB7,1,0)</f>
        <v>1</v>
      </c>
      <c r="X48" s="43" t="n">
        <f aca="false">MAX(p_htm_forced,(1-p_cb_on)*MIN(1,T48/Inputs_Banks!$AG7)*g_theta_sell)</f>
        <v>0.25</v>
      </c>
      <c r="Y48" s="35" t="n">
        <f aca="false">MAX(0,Modules!$V7-B48/(Inputs_Banks!$I7+g_del_buf))</f>
        <v>1259.93186383149</v>
      </c>
      <c r="Z48" s="35" t="n">
        <f aca="false">MIN(g_del_cap*Inputs_Banks!$BB7,Y48)</f>
        <v>52.7625</v>
      </c>
      <c r="AA48" s="35" t="n">
        <f aca="false">MIN(Inputs_Banks!$BB7,V48+Z48)</f>
        <v>211.05</v>
      </c>
      <c r="AB48" s="35" t="n">
        <f aca="false">$AA48*Holdings!Q7</f>
        <v>0</v>
      </c>
      <c r="AC48" s="35" t="n">
        <f aca="false">$AA48*Holdings!R7</f>
        <v>0</v>
      </c>
      <c r="AD48" s="35" t="n">
        <f aca="false">$AA48*Holdings!S7</f>
        <v>0</v>
      </c>
      <c r="AE48" s="35" t="n">
        <f aca="false">$AA48*Holdings!T7</f>
        <v>14.32</v>
      </c>
      <c r="AF48" s="35" t="n">
        <f aca="false">$AA48*Holdings!U7</f>
        <v>45.65</v>
      </c>
      <c r="AG48" s="35" t="n">
        <f aca="false">$AA48*Holdings!V7</f>
        <v>0</v>
      </c>
      <c r="AH48" s="35" t="n">
        <f aca="false">$AA48*Holdings!W7</f>
        <v>6.9</v>
      </c>
      <c r="AI48" s="35" t="n">
        <f aca="false">$AA48*Holdings!X7</f>
        <v>8.75</v>
      </c>
      <c r="AJ48" s="35" t="n">
        <f aca="false">$AA48*Holdings!Y7</f>
        <v>14.76</v>
      </c>
      <c r="AK48" s="35" t="n">
        <f aca="false">$AA48*Holdings!Z7</f>
        <v>0</v>
      </c>
      <c r="AL48" s="35" t="n">
        <f aca="false">$AA48*Holdings!AA7</f>
        <v>120.67</v>
      </c>
      <c r="AM48" s="35" t="n">
        <f aca="false">$AA48*Holdings!AB7</f>
        <v>0</v>
      </c>
      <c r="AN48" s="35" t="n">
        <f aca="false">$AA48*Holdings!AC7</f>
        <v>0</v>
      </c>
      <c r="AO48" s="43" t="n">
        <f aca="false">MIN(1,$CD$57+0.5*G48)</f>
        <v>1</v>
      </c>
      <c r="AP48" s="35" t="n">
        <f aca="false">p_liq_on*Inputs_Banks!$AP7*AO48*p_mb_psi</f>
        <v>4.722</v>
      </c>
      <c r="AQ48" s="44" t="n">
        <f aca="false">MAX(F48,E48,W48*(1-p_cb_on))</f>
        <v>1</v>
      </c>
      <c r="AR48" s="35" t="n">
        <f aca="false">p_ib_on*p_lgd_ib*g_s_in*g_u_ib*SUMPRODUCT(Network!D$6:D$29,$AQ$47:$AQ$70)</f>
        <v>5.5205991994538</v>
      </c>
      <c r="AS48" s="35" t="n">
        <f aca="false">p_sw_M1*(SUMPRODUCT(BDC_EAD!D$106:D$127,$BF$47:$BF$68)+SUMPRODUCT(BDC_EAD!D$131:D$152,$BG$47:$BG$68)+(Inputs_Banks!$Y7+p_ccf_bl*Inputs_Banks!$Z7)*$CD$70+Modules!$E7)</f>
        <v>27.9111227157586</v>
      </c>
      <c r="AT48" s="35" t="n">
        <f aca="false">p_sw_M3*(Inputs_Banks!$U7+p_ccf_abf*Inputs_Banks!$V7)*$CD$71</f>
        <v>0</v>
      </c>
      <c r="AU48" s="35" t="n">
        <f aca="false">p_sw_M10*Inputs_Banks!$AC7*$CD$72</f>
        <v>39.156499434932</v>
      </c>
      <c r="AV48" s="35" t="n">
        <f aca="false">p_sw_M8*(Modules!$M7+Modules!$N7*IF(p_liq_on&gt;0,X48,p_htm_forced))</f>
        <v>36.823985</v>
      </c>
      <c r="AW48" s="35" t="n">
        <f aca="false">SUMPRODUCT(Holdings!$C7:$O7,Holdings!$C$32:$O$32,$AB$72:$AN$72)+Inputs_Banks!$P7*$AL$72</f>
        <v>11.1235013963996</v>
      </c>
      <c r="AX48" s="35" t="n">
        <f aca="false">Modules!$T7+AS48+AT48+AU48+AV48+AW48+AR48</f>
        <v>140.655720771631</v>
      </c>
      <c r="AY48" s="35" t="n">
        <f aca="false">Modules!$U7-(1-p_tax)*AX48</f>
        <v>57.744279228369</v>
      </c>
      <c r="AZ48" s="39" t="n">
        <f aca="false">AY48/Modules!$V7</f>
        <v>0.0293146144039985</v>
      </c>
      <c r="BA48" s="48" t="s">
        <v>632</v>
      </c>
      <c r="BB48" s="43" t="n">
        <f aca="false">INDEX($BJ$47:$BJ$80,BDC_EAD!$B7)</f>
        <v>0.493705250996006</v>
      </c>
      <c r="BC48" s="43" t="n">
        <f aca="false">INDEX($BK$47:$BK$80,BDC_EAD!$B7)</f>
        <v>0.0608491891733852</v>
      </c>
      <c r="BD48" s="22" t="n">
        <f aca="false">INDEX(BDC!$Q$6:$Q$39,BDC_EAD!$B7)</f>
        <v>0.193373831775701</v>
      </c>
      <c r="BE48" s="43" t="n">
        <f aca="false">BB48*(1-$AK$72)-BC48-p_c_liq</f>
        <v>0.160688698874418</v>
      </c>
      <c r="BF48" s="43" t="n">
        <f aca="false">p_phi*MAX(0,p_a_spv-BE48)/p_a_spv+(1-p_phi)*MAX(0,p_a_spv-BB48)/p_a_spv</f>
        <v>0.675297129573235</v>
      </c>
      <c r="BG48" s="43" t="n">
        <f aca="false">IF(BD48&gt;0,p_phi*MAX(0,BD48-BE48)/BD48+(1-p_phi)*MAX(0,BD48-BB48)/BD48,0)</f>
        <v>0.135220500524373</v>
      </c>
      <c r="BI48" s="12" t="str">
        <f aca="false">BDC!$A$7</f>
        <v>OCIC</v>
      </c>
      <c r="BJ48" s="43" t="n">
        <f aca="false">1-((1-BDC!$D$7)*$CD$63+BDC!$D$7*$CD$64)-p_gap-$CD$53*(1-BDC!$M$7)</f>
        <v>0.421663471167733</v>
      </c>
      <c r="BK48" s="43" t="n">
        <f aca="false">(1-BDC!$D$7)*$CD$65+BDC!$D$7*$CD$66</f>
        <v>0.063979056015234</v>
      </c>
      <c r="BL48" s="45" t="n">
        <f aca="false">BJ48/BDC!$K$7</f>
        <v>0.885029923000406</v>
      </c>
      <c r="BM48" s="35" t="n">
        <f aca="false">IF(BL48&lt;1.5,BDC!$C$7,0)</f>
        <v>35.69</v>
      </c>
      <c r="BN48" s="43" t="n">
        <f aca="false">MAX(0,1-BJ48*(1-CE_mig_hc)-p_bb_cush)*BDC!$Q$7</f>
        <v>0.166158381580711</v>
      </c>
      <c r="BO48" s="43" t="n">
        <f aca="false">MAX(0,BDC!$K$7-BJ48/1.5)</f>
        <v>0.195330809797428</v>
      </c>
      <c r="BP48" s="43" t="n">
        <f aca="false">MIN(MIN(1,BDC!$H$7*$CD$56),$CD$55)</f>
        <v>0.25</v>
      </c>
      <c r="BQ48" s="43" t="n">
        <f aca="false">BDC!$I$7*BDC!$J$7*BP48*(1-0.3)</f>
        <v>0.0916230366492146</v>
      </c>
      <c r="BR48" s="45" t="n">
        <f aca="false">BDC!$C$7*($CD$54*MAX(BN48,BO48)+BQ48)</f>
        <v>10.2413827796807</v>
      </c>
      <c r="BT48" s="10" t="s">
        <v>817</v>
      </c>
      <c r="BU48" s="43" t="n">
        <f aca="false">NORMSDIST((NORMSINV(CreditEngine!$D$7)-SQRT(g_rho)*$CD$51)/SQRT(1-g_rho))</f>
        <v>0.694145194913595</v>
      </c>
      <c r="BV48" s="43" t="n">
        <f aca="false">NORMSDIST((NORMSINV(MIN(0.999,CreditEngine!$D$7*p_m_sw))-SQRT(g_rho)*$CD$51)/SQRT(1-g_rho))</f>
        <v>0.863150017491553</v>
      </c>
      <c r="CC48" s="10" t="s">
        <v>974</v>
      </c>
      <c r="CD48" s="43" t="n">
        <f aca="false">$AK$32</f>
        <v>0.45</v>
      </c>
    </row>
    <row r="49" customFormat="false" ht="15" hidden="false" customHeight="true" outlineLevel="0" collapsed="false">
      <c r="A49" s="10" t="s">
        <v>501</v>
      </c>
      <c r="B49" s="35" t="n">
        <f aca="false">AY9</f>
        <v>64.3649149311801</v>
      </c>
      <c r="C49" s="39" t="n">
        <f aca="false">AZ9</f>
        <v>0.0483782315567793</v>
      </c>
      <c r="D49" s="44" t="n">
        <f aca="false">IF(C49&lt;Inputs_Banks!$I8,1,0)</f>
        <v>1</v>
      </c>
      <c r="E49" s="44" t="n">
        <f aca="false">IF(C49&lt;0.045,1,0)</f>
        <v>0</v>
      </c>
      <c r="F49" s="44" t="n">
        <f aca="false">IF(B49&lt;0,1,0)</f>
        <v>0</v>
      </c>
      <c r="G49" s="44" t="n">
        <f aca="false">MIN(6,MIN(3,INT(MAX(0,Inputs_Banks!$BA8-C49)/p_notch_step))+D49+2*E49)</f>
        <v>4</v>
      </c>
      <c r="H49" s="39" t="n">
        <f aca="false">C49-Inputs_Banks!$I8</f>
        <v>-0.0676217684432207</v>
      </c>
      <c r="I49" s="44" t="n">
        <f aca="false">RANK(H49,$H$47:$H$70,1)</f>
        <v>7</v>
      </c>
      <c r="J49" s="44" t="n">
        <f aca="false">MAX(IF(I49&lt;=g_n_weak,1,0),E49)</f>
        <v>0</v>
      </c>
      <c r="K49" s="44" t="n">
        <f aca="false">IF(I49&gt;12,1,0)*(1-E49)</f>
        <v>0</v>
      </c>
      <c r="L49" s="35" t="n">
        <f aca="false">INDEX(Inputs_Banks!$AR8:$AX8,1,G49+1)</f>
        <v>0.9</v>
      </c>
      <c r="M49" s="35" t="n">
        <f aca="false">Inputs_Banks!$AI8*MIN(1,p_u_base+$CD$50*p_u_pan_all+J49*($CD$50*p_u_pan_weak+p_u_mda*D49)+p_u_notch*G49+p_u_fail*E49)</f>
        <v>229.245</v>
      </c>
      <c r="N49" s="35" t="n">
        <f aca="false">Inputs_Banks!$AK8*MIN(1,p_w_base+p_w_pan*$CD$50+p_w_notch*G49+0.5*D49+1*E49)</f>
        <v>60.978</v>
      </c>
      <c r="O49" s="35" t="n">
        <f aca="false">Inputs_Banks!$AO8*MIN(1,p_cp_base+p_cp_pan*$CD$50+p_cp_notch*G49)</f>
        <v>3.89</v>
      </c>
      <c r="P49" s="35" t="n">
        <f aca="false">Inputs_Banks!$AN8*(p_dh+p_dh_pan*$CD$50+MIN(1,0.5*$CD$57+0.25*G49))</f>
        <v>103.70988533276</v>
      </c>
      <c r="Q49" s="35" t="n">
        <f aca="false">Modules!$Y8</f>
        <v>24.8867432</v>
      </c>
      <c r="R49" s="35" t="n">
        <f aca="false">Inputs_Banks!$AJ8*K49</f>
        <v>0</v>
      </c>
      <c r="S49" s="35" t="n">
        <f aca="false">p_liq_on*$CD$58*SUM($M$47:$M$70)*R49/MAX(0.000000001,SUM($R$47:$R$70))</f>
        <v>0</v>
      </c>
      <c r="T49" s="35" t="n">
        <f aca="false">p_liq_on*(L49+M49+N49+O49+P49+Q49)</f>
        <v>423.60962853276</v>
      </c>
      <c r="U49" s="35" t="n">
        <f aca="false">g_usable*Inputs_Banks!$AG8+p_cb_on*Inputs_Banks!$AQ8+S49</f>
        <v>626.52</v>
      </c>
      <c r="V49" s="35" t="n">
        <f aca="false">MAX(0,T49-U49)</f>
        <v>0</v>
      </c>
      <c r="W49" s="44" t="n">
        <f aca="false">IF(V49&gt;0.9*Inputs_Banks!$BB8,1,0)</f>
        <v>0</v>
      </c>
      <c r="X49" s="43" t="n">
        <f aca="false">MAX(p_htm_forced,(1-p_cb_on)*MIN(1,T49/Inputs_Banks!$AG8)*g_theta_sell)</f>
        <v>0.165162830837788</v>
      </c>
      <c r="Y49" s="35" t="n">
        <f aca="false">MAX(0,Modules!$V8-B49/(Inputs_Banks!$I8+g_del_buf))</f>
        <v>798.510554287768</v>
      </c>
      <c r="Z49" s="35" t="n">
        <f aca="false">MIN(g_del_cap*Inputs_Banks!$BB8,Y49)</f>
        <v>49.625</v>
      </c>
      <c r="AA49" s="35" t="n">
        <f aca="false">MIN(Inputs_Banks!$BB8,V49+Z49)</f>
        <v>49.625</v>
      </c>
      <c r="AB49" s="35" t="n">
        <f aca="false">$AA49*Holdings!Q8</f>
        <v>0</v>
      </c>
      <c r="AC49" s="35" t="n">
        <f aca="false">$AA49*Holdings!R8</f>
        <v>0</v>
      </c>
      <c r="AD49" s="35" t="n">
        <f aca="false">$AA49*Holdings!S8</f>
        <v>0</v>
      </c>
      <c r="AE49" s="35" t="n">
        <f aca="false">$AA49*Holdings!T8</f>
        <v>2.4925</v>
      </c>
      <c r="AF49" s="35" t="n">
        <f aca="false">$AA49*Holdings!U8</f>
        <v>7.8925</v>
      </c>
      <c r="AG49" s="35" t="n">
        <f aca="false">$AA49*Holdings!V8</f>
        <v>0</v>
      </c>
      <c r="AH49" s="35" t="n">
        <f aca="false">$AA49*Holdings!W8</f>
        <v>0.3625</v>
      </c>
      <c r="AI49" s="35" t="n">
        <f aca="false">$AA49*Holdings!X8</f>
        <v>4.5575</v>
      </c>
      <c r="AJ49" s="35" t="n">
        <f aca="false">$AA49*Holdings!Y8</f>
        <v>2.12</v>
      </c>
      <c r="AK49" s="35" t="n">
        <f aca="false">$AA49*Holdings!Z8</f>
        <v>0</v>
      </c>
      <c r="AL49" s="35" t="n">
        <f aca="false">$AA49*Holdings!AA8</f>
        <v>24.4825</v>
      </c>
      <c r="AM49" s="35" t="n">
        <f aca="false">$AA49*Holdings!AB8</f>
        <v>0</v>
      </c>
      <c r="AN49" s="35" t="n">
        <f aca="false">$AA49*Holdings!AC8</f>
        <v>7.7175</v>
      </c>
      <c r="AO49" s="43" t="n">
        <f aca="false">MIN(1,$CD$57+0.5*G49)</f>
        <v>1</v>
      </c>
      <c r="AP49" s="35" t="n">
        <f aca="false">p_liq_on*Inputs_Banks!$AP8*AO49*p_mb_psi</f>
        <v>10.488</v>
      </c>
      <c r="AQ49" s="44" t="n">
        <f aca="false">MAX(F49,E49,W49*(1-p_cb_on))</f>
        <v>0</v>
      </c>
      <c r="AR49" s="35" t="n">
        <f aca="false">p_ib_on*p_lgd_ib*g_s_in*g_u_ib*SUMPRODUCT(Network!E$6:E$29,$AQ$47:$AQ$70)</f>
        <v>5.90761681506003</v>
      </c>
      <c r="AS49" s="35" t="n">
        <f aca="false">p_sw_M1*(SUMPRODUCT(BDC_EAD!E$106:E$127,$BF$47:$BF$68)+SUMPRODUCT(BDC_EAD!E$131:E$152,$BG$47:$BG$68)+(Inputs_Banks!$Y8+p_ccf_bl*Inputs_Banks!$Z8)*$CD$70+Modules!$E8)</f>
        <v>52.4702922221031</v>
      </c>
      <c r="AT49" s="35" t="n">
        <f aca="false">p_sw_M3*(Inputs_Banks!$U8+p_ccf_abf*Inputs_Banks!$V8)*$CD$71</f>
        <v>3.1725953505951</v>
      </c>
      <c r="AU49" s="35" t="n">
        <f aca="false">p_sw_M10*Inputs_Banks!$AC8*$CD$72</f>
        <v>0</v>
      </c>
      <c r="AV49" s="35" t="n">
        <f aca="false">p_sw_M8*(Modules!$M8+Modules!$N8*IF(p_liq_on&gt;0,X49,p_htm_forced))</f>
        <v>10.545479382428</v>
      </c>
      <c r="AW49" s="35" t="n">
        <f aca="false">SUMPRODUCT(Holdings!$C8:$O8,Holdings!$C$32:$O$32,$AB$72:$AN$72)+Inputs_Banks!$P8*$AL$72</f>
        <v>10.1558849954935</v>
      </c>
      <c r="AX49" s="35" t="n">
        <f aca="false">Modules!$T8+AS49+AT49+AU49+AV49+AW49+AR49</f>
        <v>99.320528126328</v>
      </c>
      <c r="AY49" s="35" t="n">
        <f aca="false">Modules!$U8-(1-p_tax)*AX49</f>
        <v>58.079471873672</v>
      </c>
      <c r="AZ49" s="39" t="n">
        <f aca="false">AY49/Modules!$V8</f>
        <v>0.0436539400697447</v>
      </c>
      <c r="BA49" s="48" t="s">
        <v>636</v>
      </c>
      <c r="BB49" s="43" t="n">
        <f aca="false">INDEX($BJ$47:$BJ$80,BDC_EAD!$B8)</f>
        <v>0.404374605284367</v>
      </c>
      <c r="BC49" s="43" t="n">
        <f aca="false">INDEX($BK$47:$BK$80,BDC_EAD!$B8)</f>
        <v>0.0611100114102059</v>
      </c>
      <c r="BD49" s="22" t="n">
        <f aca="false">INDEX(BDC!$Q$6:$Q$39,BDC_EAD!$B8)</f>
        <v>0.270100917431193</v>
      </c>
      <c r="BE49" s="43" t="n">
        <f aca="false">BB49*(1-$AK$72)-BC49-p_c_liq</f>
        <v>0.111296021496196</v>
      </c>
      <c r="BF49" s="43" t="n">
        <f aca="false">p_phi*MAX(0,p_a_spv-BE49)/p_a_spv+(1-p_phi)*MAX(0,p_a_spv-BB49)/p_a_spv</f>
        <v>0.757268945351671</v>
      </c>
      <c r="BG49" s="43" t="n">
        <f aca="false">IF(BD49&gt;0,p_phi*MAX(0,BD49-BE49)/BD49+(1-p_phi)*MAX(0,BD49-BB49)/BD49,0)</f>
        <v>0.470357220391009</v>
      </c>
      <c r="BI49" s="12" t="str">
        <f aca="false">BDC!$A$8</f>
        <v>ARCC</v>
      </c>
      <c r="BJ49" s="43" t="n">
        <f aca="false">1-((1-BDC!$D$8)*$CD$63+BDC!$D$8*$CD$64)-p_gap-$CD$53*(1-BDC!$M$8)</f>
        <v>0.493705250996006</v>
      </c>
      <c r="BK49" s="43" t="n">
        <f aca="false">(1-BDC!$D$8)*$CD$65+BDC!$D$8*$CD$66</f>
        <v>0.0608491891733852</v>
      </c>
      <c r="BL49" s="45" t="n">
        <f aca="false">BJ49/BDC!$K$8</f>
        <v>0.92678003257145</v>
      </c>
      <c r="BM49" s="35" t="n">
        <f aca="false">IF(BL49&lt;1.5,BDC!$C$8,0)</f>
        <v>29.35</v>
      </c>
      <c r="BN49" s="43" t="n">
        <f aca="false">MAX(0,1-BJ49*(1-CE_mig_hc)-p_bb_cush)*BDC!$Q$8</f>
        <v>0.104092949218272</v>
      </c>
      <c r="BO49" s="43" t="n">
        <f aca="false">MAX(0,BDC!$K$8-BJ49/1.5)</f>
        <v>0.203573446376494</v>
      </c>
      <c r="BP49" s="43" t="n">
        <f aca="false">MIN(MIN(1,BDC!$H$8*$CD$56),$CD$55)</f>
        <v>0</v>
      </c>
      <c r="BQ49" s="43" t="n">
        <f aca="false">BDC!$I$8*BDC!$J$8*BP49*(1-0.3)</f>
        <v>0</v>
      </c>
      <c r="BR49" s="45" t="n">
        <f aca="false">BDC!$C$8*($CD$54*MAX(BN49,BO49)+BQ49)</f>
        <v>5.97488065115011</v>
      </c>
      <c r="BT49" s="10" t="s">
        <v>818</v>
      </c>
      <c r="BU49" s="43" t="n">
        <f aca="false">NORMSDIST((NORMSINV(CreditEngine!$D$8)-SQRT(g_rho)*$CD$51)/SQRT(1-g_rho))</f>
        <v>0.778440947362696</v>
      </c>
      <c r="BV49" s="43" t="n">
        <f aca="false">NORMSDIST((NORMSINV(MIN(0.999,CreditEngine!$D$8*p_m_sw))-SQRT(g_rho)*$CD$51)/SQRT(1-g_rho))</f>
        <v>0.928422699706501</v>
      </c>
      <c r="CC49" s="10" t="s">
        <v>975</v>
      </c>
      <c r="CD49" s="45" t="n">
        <f aca="false">p_news0+g_w_cov*$CD$47+g_w_notch*SUMPRODUCT($G$47:$G$70,Inputs_Banks!$D$6:$D$29)/(3*SUM(Inputs_Banks!$D$6:$D$29))+g_w_mda*SUMPRODUCT($D$47:$D$70,Inputs_Banks!$D$6:$D$29)/SUM(Inputs_Banks!$D$6:$D$29)+g_w_def*MAX($BA$47:$BA$70)+g_w_fs*$CD$48/0.3</f>
        <v>3.89372014905789</v>
      </c>
    </row>
    <row r="50" customFormat="false" ht="15" hidden="false" customHeight="true" outlineLevel="0" collapsed="false">
      <c r="A50" s="10" t="s">
        <v>503</v>
      </c>
      <c r="B50" s="35" t="n">
        <f aca="false">AY10</f>
        <v>12.121629399062</v>
      </c>
      <c r="C50" s="39" t="n">
        <f aca="false">AZ10</f>
        <v>0.00837716892450916</v>
      </c>
      <c r="D50" s="44" t="n">
        <f aca="false">IF(C50&lt;Inputs_Banks!$I9,1,0)</f>
        <v>1</v>
      </c>
      <c r="E50" s="44" t="n">
        <f aca="false">IF(C50&lt;0.045,1,0)</f>
        <v>1</v>
      </c>
      <c r="F50" s="44" t="n">
        <f aca="false">IF(B50&lt;0,1,0)</f>
        <v>0</v>
      </c>
      <c r="G50" s="44" t="n">
        <f aca="false">MIN(6,MIN(3,INT(MAX(0,Inputs_Banks!$BA9-C50)/p_notch_step))+D50+2*E50)</f>
        <v>6</v>
      </c>
      <c r="H50" s="39" t="n">
        <f aca="false">C50-Inputs_Banks!$I9</f>
        <v>-0.0766228310754909</v>
      </c>
      <c r="I50" s="44" t="n">
        <f aca="false">RANK(H50,$H$47:$H$70,1)</f>
        <v>6</v>
      </c>
      <c r="J50" s="44" t="n">
        <f aca="false">MAX(IF(I50&lt;=g_n_weak,1,0),E50)</f>
        <v>1</v>
      </c>
      <c r="K50" s="44" t="n">
        <f aca="false">IF(I50&gt;12,1,0)*(1-E50)</f>
        <v>0</v>
      </c>
      <c r="L50" s="35" t="n">
        <f aca="false">INDEX(Inputs_Banks!$AR9:$AX9,1,G50+1)</f>
        <v>4.1</v>
      </c>
      <c r="M50" s="35" t="n">
        <f aca="false">Inputs_Banks!$AI9*MIN(1,p_u_base+$CD$50*p_u_pan_all+J50*($CD$50*p_u_pan_weak+p_u_mda*D50)+p_u_notch*G50+p_u_fail*E50)</f>
        <v>739.028</v>
      </c>
      <c r="N50" s="35" t="n">
        <f aca="false">Inputs_Banks!$AK9*MIN(1,p_w_base+p_w_pan*$CD$50+p_w_notch*G50+0.5*D50+1*E50)</f>
        <v>25.168</v>
      </c>
      <c r="O50" s="35" t="n">
        <f aca="false">Inputs_Banks!$AO9*MIN(1,p_cp_base+p_cp_pan*$CD$50+p_cp_notch*G50)</f>
        <v>12.67</v>
      </c>
      <c r="P50" s="35" t="n">
        <f aca="false">Inputs_Banks!$AN9*(p_dh+p_dh_pan*$CD$50+MIN(1,0.5*$CD$57+0.25*G50))</f>
        <v>62.6368013541448</v>
      </c>
      <c r="Q50" s="35" t="n">
        <f aca="false">Modules!$Y9</f>
        <v>53.0660504</v>
      </c>
      <c r="R50" s="35" t="n">
        <f aca="false">Inputs_Banks!$AJ9*K50</f>
        <v>0</v>
      </c>
      <c r="S50" s="35" t="n">
        <f aca="false">p_liq_on*$CD$58*SUM($M$47:$M$70)*R50/MAX(0.000000001,SUM($R$47:$R$70))</f>
        <v>0</v>
      </c>
      <c r="T50" s="35" t="n">
        <f aca="false">p_liq_on*(L50+M50+N50+O50+P50+Q50)</f>
        <v>896.668851754145</v>
      </c>
      <c r="U50" s="35" t="n">
        <f aca="false">g_usable*Inputs_Banks!$AG9+p_cb_on*Inputs_Banks!$AQ9+S50</f>
        <v>570.088</v>
      </c>
      <c r="V50" s="35" t="n">
        <f aca="false">MAX(0,T50-U50)</f>
        <v>326.580851754145</v>
      </c>
      <c r="W50" s="44" t="n">
        <f aca="false">IF(V50&gt;0.9*Inputs_Banks!$BB9,1,0)</f>
        <v>1</v>
      </c>
      <c r="X50" s="43" t="n">
        <f aca="false">MAX(p_htm_forced,(1-p_cb_on)*MIN(1,T50/Inputs_Banks!$AG9)*g_theta_sell)</f>
        <v>0.25</v>
      </c>
      <c r="Y50" s="35" t="n">
        <f aca="false">MAX(0,Modules!$V9-B50/(Inputs_Banks!$I9+g_del_buf))</f>
        <v>1312.29922889931</v>
      </c>
      <c r="Z50" s="35" t="n">
        <f aca="false">MIN(g_del_cap*Inputs_Banks!$BB9,Y50)</f>
        <v>31.935</v>
      </c>
      <c r="AA50" s="35" t="n">
        <f aca="false">MIN(Inputs_Banks!$BB9,V50+Z50)</f>
        <v>127.74</v>
      </c>
      <c r="AB50" s="35" t="n">
        <f aca="false">$AA50*Holdings!Q9</f>
        <v>0</v>
      </c>
      <c r="AC50" s="35" t="n">
        <f aca="false">$AA50*Holdings!R9</f>
        <v>0</v>
      </c>
      <c r="AD50" s="35" t="n">
        <f aca="false">$AA50*Holdings!S9</f>
        <v>0</v>
      </c>
      <c r="AE50" s="35" t="n">
        <f aca="false">$AA50*Holdings!T9</f>
        <v>29.87</v>
      </c>
      <c r="AF50" s="35" t="n">
        <f aca="false">$AA50*Holdings!U9</f>
        <v>17.09</v>
      </c>
      <c r="AG50" s="35" t="n">
        <f aca="false">$AA50*Holdings!V9</f>
        <v>0</v>
      </c>
      <c r="AH50" s="35" t="n">
        <f aca="false">$AA50*Holdings!W9</f>
        <v>5.03</v>
      </c>
      <c r="AI50" s="35" t="n">
        <f aca="false">$AA50*Holdings!X9</f>
        <v>13.21</v>
      </c>
      <c r="AJ50" s="35" t="n">
        <f aca="false">$AA50*Holdings!Y9</f>
        <v>5.26</v>
      </c>
      <c r="AK50" s="35" t="n">
        <f aca="false">$AA50*Holdings!Z9</f>
        <v>0</v>
      </c>
      <c r="AL50" s="35" t="n">
        <f aca="false">$AA50*Holdings!AA9</f>
        <v>37.96</v>
      </c>
      <c r="AM50" s="35" t="n">
        <f aca="false">$AA50*Holdings!AB9</f>
        <v>0</v>
      </c>
      <c r="AN50" s="35" t="n">
        <f aca="false">$AA50*Holdings!AC9</f>
        <v>19.32</v>
      </c>
      <c r="AO50" s="43" t="n">
        <f aca="false">MIN(1,$CD$57+0.5*G50)</f>
        <v>1</v>
      </c>
      <c r="AP50" s="35" t="n">
        <f aca="false">p_liq_on*Inputs_Banks!$AP9*AO50*p_mb_psi</f>
        <v>10.32</v>
      </c>
      <c r="AQ50" s="44" t="n">
        <f aca="false">MAX(F50,E50,W50*(1-p_cb_on))</f>
        <v>1</v>
      </c>
      <c r="AR50" s="35" t="n">
        <f aca="false">p_ib_on*p_lgd_ib*g_s_in*g_u_ib*SUMPRODUCT(Network!F$6:F$29,$AQ$47:$AQ$70)</f>
        <v>4.81681238146423</v>
      </c>
      <c r="AS50" s="35" t="n">
        <f aca="false">p_sw_M1*(SUMPRODUCT(BDC_EAD!F$106:F$127,$BF$47:$BF$68)+SUMPRODUCT(BDC_EAD!F$131:F$152,$BG$47:$BG$68)+(Inputs_Banks!$Y9+p_ccf_bl*Inputs_Banks!$Z9)*$CD$70+Modules!$E9)</f>
        <v>79.5487236356887</v>
      </c>
      <c r="AT50" s="35" t="n">
        <f aca="false">p_sw_M3*(Inputs_Banks!$U9+p_ccf_abf*Inputs_Banks!$V9)*$CD$71</f>
        <v>0</v>
      </c>
      <c r="AU50" s="35" t="n">
        <f aca="false">p_sw_M10*Inputs_Banks!$AC9*$CD$72</f>
        <v>0</v>
      </c>
      <c r="AV50" s="35" t="n">
        <f aca="false">p_sw_M8*(Modules!$M9+Modules!$N9*IF(p_liq_on&gt;0,X50,p_htm_forced))</f>
        <v>17.338745</v>
      </c>
      <c r="AW50" s="35" t="n">
        <f aca="false">SUMPRODUCT(Holdings!$C9:$O9,Holdings!$C$32:$O$32,$AB$72:$AN$72)+Inputs_Banks!$P9*$AL$72</f>
        <v>8.39689229176347</v>
      </c>
      <c r="AX50" s="35" t="n">
        <f aca="false">Modules!$T9+AS50+AT50+AU50+AV50+AW50+AR50</f>
        <v>127.641754383233</v>
      </c>
      <c r="AY50" s="35" t="n">
        <f aca="false">Modules!$U9-(1-p_tax)*AX50</f>
        <v>6.95824561676677</v>
      </c>
      <c r="AZ50" s="39" t="n">
        <f aca="false">AY50/Modules!$V9</f>
        <v>0.00480879236865561</v>
      </c>
      <c r="BA50" s="48" t="s">
        <v>656</v>
      </c>
      <c r="BB50" s="43" t="n">
        <f aca="false">INDEX($BJ$47:$BJ$80,BDC_EAD!$B9)</f>
        <v>0.440484450675871</v>
      </c>
      <c r="BC50" s="43" t="n">
        <f aca="false">INDEX($BK$47:$BK$80,BDC_EAD!$B9)</f>
        <v>0.0655439894361583</v>
      </c>
      <c r="BD50" s="22" t="n">
        <f aca="false">INDEX(BDC!$Q$6:$Q$39,BDC_EAD!$B9)</f>
        <v>0.275784753363229</v>
      </c>
      <c r="BE50" s="43" t="n">
        <f aca="false">BB50*(1-$AK$72)-BC50-p_c_liq</f>
        <v>0.126722458435571</v>
      </c>
      <c r="BF50" s="43" t="n">
        <f aca="false">p_phi*MAX(0,p_a_spv-BE50)/p_a_spv+(1-p_phi)*MAX(0,p_a_spv-BB50)/p_a_spv</f>
        <v>0.729321633023385</v>
      </c>
      <c r="BG50" s="43" t="n">
        <f aca="false">IF(BD50&gt;0,p_phi*MAX(0,BD50-BE50)/BD50+(1-p_phi)*MAX(0,BD50-BB50)/BD50,0)</f>
        <v>0.432401844147873</v>
      </c>
      <c r="BI50" s="12" t="str">
        <f aca="false">BDC!$A$9</f>
        <v>ADS</v>
      </c>
      <c r="BJ50" s="43" t="n">
        <f aca="false">1-((1-BDC!$D$9)*$CD$63+BDC!$D$9*$CD$64)-p_gap-$CD$53*(1-BDC!$M$9)</f>
        <v>0.428174862214715</v>
      </c>
      <c r="BK50" s="43" t="n">
        <f aca="false">(1-BDC!$D$9)*$CD$65+BDC!$D$9*$CD$66</f>
        <v>0.0650596052820627</v>
      </c>
      <c r="BL50" s="45" t="n">
        <f aca="false">BJ50/BDC!$K$9</f>
        <v>0.920329876254616</v>
      </c>
      <c r="BM50" s="35" t="n">
        <f aca="false">IF(BL50&lt;1.5,BDC!$C$9,0)</f>
        <v>25.37</v>
      </c>
      <c r="BN50" s="43" t="n">
        <f aca="false">MAX(0,1-BJ50*(1-CE_mig_hc)-p_bb_cush)*BDC!$Q$9</f>
        <v>0.145198875281454</v>
      </c>
      <c r="BO50" s="43" t="n">
        <f aca="false">MAX(0,BDC!$K$9-BJ50/1.5)</f>
        <v>0.179790733568087</v>
      </c>
      <c r="BP50" s="43" t="n">
        <f aca="false">MIN(MIN(1,BDC!$H$9*$CD$56),$CD$55)</f>
        <v>0.25</v>
      </c>
      <c r="BQ50" s="43" t="n">
        <f aca="false">BDC!$I$9*BDC!$J$9*BP50*(1-0.3)</f>
        <v>0.0935828877005347</v>
      </c>
      <c r="BR50" s="45" t="n">
        <f aca="false">BDC!$C$9*($CD$54*MAX(BN50,BO50)+BQ50)</f>
        <v>6.93548877158493</v>
      </c>
      <c r="BT50" s="10" t="s">
        <v>819</v>
      </c>
      <c r="BU50" s="43" t="n">
        <f aca="false">NORMSDIST((NORMSINV(CreditEngine!$D$9)-SQRT(g_rho)*$CD$51)/SQRT(1-g_rho))</f>
        <v>0.94008092388034</v>
      </c>
      <c r="BV50" s="43" t="n">
        <f aca="false">NORMSDIST((NORMSINV(MIN(0.999,CreditEngine!$D$9*p_m_sw))-SQRT(g_rho)*$CD$51)/SQRT(1-g_rho))</f>
        <v>0.999738169883273</v>
      </c>
      <c r="CC50" s="7" t="s">
        <v>976</v>
      </c>
      <c r="CD50" s="49" t="n">
        <f aca="false">p_panic_on*(p_S0+(1-p_S0)*MAX(0,1/(1+EXP(-($CD$49-g_theta_news)/g_tau_news))-(1/(1+EXP(g_theta_news/g_tau_news))))/(1-(1/(1+EXP(g_theta_news/g_tau_news)))))</f>
        <v>0.999999999999999</v>
      </c>
    </row>
    <row r="51" customFormat="false" ht="15" hidden="false" customHeight="true" outlineLevel="0" collapsed="false">
      <c r="A51" s="10" t="s">
        <v>505</v>
      </c>
      <c r="B51" s="35" t="n">
        <f aca="false">AY11</f>
        <v>22.064039768283</v>
      </c>
      <c r="C51" s="39" t="n">
        <f aca="false">AZ11</f>
        <v>0.0250057116916938</v>
      </c>
      <c r="D51" s="44" t="n">
        <f aca="false">IF(C51&lt;Inputs_Banks!$I10,1,0)</f>
        <v>1</v>
      </c>
      <c r="E51" s="44" t="n">
        <f aca="false">IF(C51&lt;0.045,1,0)</f>
        <v>1</v>
      </c>
      <c r="F51" s="44" t="n">
        <f aca="false">IF(B51&lt;0,1,0)</f>
        <v>0</v>
      </c>
      <c r="G51" s="44" t="n">
        <f aca="false">MIN(6,MIN(3,INT(MAX(0,Inputs_Banks!$BA10-C51)/p_notch_step))+D51+2*E51)</f>
        <v>6</v>
      </c>
      <c r="H51" s="39" t="n">
        <f aca="false">C51-Inputs_Banks!$I10</f>
        <v>-0.0889942883083062</v>
      </c>
      <c r="I51" s="44" t="n">
        <f aca="false">RANK(H51,$H$47:$H$70,1)</f>
        <v>4</v>
      </c>
      <c r="J51" s="44" t="n">
        <f aca="false">MAX(IF(I51&lt;=g_n_weak,1,0),E51)</f>
        <v>1</v>
      </c>
      <c r="K51" s="44" t="n">
        <f aca="false">IF(I51&gt;12,1,0)*(1-E51)</f>
        <v>0</v>
      </c>
      <c r="L51" s="35" t="n">
        <f aca="false">INDEX(Inputs_Banks!$AR10:$AX10,1,G51+1)</f>
        <v>6.6675</v>
      </c>
      <c r="M51" s="35" t="n">
        <f aca="false">Inputs_Banks!$AI10*MIN(1,p_u_base+$CD$50*p_u_pan_all+J51*($CD$50*p_u_pan_weak+p_u_mda*D51)+p_u_notch*G51+p_u_fail*E51)</f>
        <v>201.16</v>
      </c>
      <c r="N51" s="35" t="n">
        <f aca="false">Inputs_Banks!$AK10*MIN(1,p_w_base+p_w_pan*$CD$50+p_w_notch*G51+0.5*D51+1*E51)</f>
        <v>55.681</v>
      </c>
      <c r="O51" s="35" t="n">
        <f aca="false">Inputs_Banks!$AO10*MIN(1,p_cp_base+p_cp_pan*$CD$50+p_cp_notch*G51)</f>
        <v>1.51</v>
      </c>
      <c r="P51" s="35" t="n">
        <f aca="false">Inputs_Banks!$AN10*(p_dh+p_dh_pan*$CD$50+MIN(1,0.5*$CD$57+0.25*G51))</f>
        <v>172.798154371499</v>
      </c>
      <c r="Q51" s="35" t="n">
        <f aca="false">Modules!$Y10</f>
        <v>24.4757226</v>
      </c>
      <c r="R51" s="35" t="n">
        <f aca="false">Inputs_Banks!$AJ10*K51</f>
        <v>0</v>
      </c>
      <c r="S51" s="35" t="n">
        <f aca="false">p_liq_on*$CD$58*SUM($M$47:$M$70)*R51/MAX(0.000000001,SUM($R$47:$R$70))</f>
        <v>0</v>
      </c>
      <c r="T51" s="35" t="n">
        <f aca="false">p_liq_on*(L51+M51+N51+O51+P51+Q51)</f>
        <v>462.292376971499</v>
      </c>
      <c r="U51" s="35" t="n">
        <f aca="false">g_usable*Inputs_Banks!$AG10+p_cb_on*Inputs_Banks!$AQ10+S51</f>
        <v>575.89165</v>
      </c>
      <c r="V51" s="35" t="n">
        <f aca="false">MAX(0,T51-U51)</f>
        <v>0</v>
      </c>
      <c r="W51" s="44" t="n">
        <f aca="false">IF(V51&gt;0.9*Inputs_Banks!$BB10,1,0)</f>
        <v>0</v>
      </c>
      <c r="X51" s="43" t="n">
        <f aca="false">MAX(p_htm_forced,(1-p_cb_on)*MIN(1,T51/Inputs_Banks!$AG10)*g_theta_sell)</f>
        <v>0.25</v>
      </c>
      <c r="Y51" s="35" t="n">
        <f aca="false">MAX(0,Modules!$V10-B51/(Inputs_Banks!$I10+g_del_buf))</f>
        <v>696.947901106866</v>
      </c>
      <c r="Z51" s="35" t="n">
        <f aca="false">MIN(g_del_cap*Inputs_Banks!$BB10,Y51)</f>
        <v>91.7425</v>
      </c>
      <c r="AA51" s="35" t="n">
        <f aca="false">MIN(Inputs_Banks!$BB10,V51+Z51)</f>
        <v>91.7425</v>
      </c>
      <c r="AB51" s="35" t="n">
        <f aca="false">$AA51*Holdings!Q10</f>
        <v>0</v>
      </c>
      <c r="AC51" s="35" t="n">
        <f aca="false">$AA51*Holdings!R10</f>
        <v>0</v>
      </c>
      <c r="AD51" s="35" t="n">
        <f aca="false">$AA51*Holdings!S10</f>
        <v>0</v>
      </c>
      <c r="AE51" s="35" t="n">
        <f aca="false">$AA51*Holdings!T10</f>
        <v>0.2225</v>
      </c>
      <c r="AF51" s="35" t="n">
        <f aca="false">$AA51*Holdings!U10</f>
        <v>16.98</v>
      </c>
      <c r="AG51" s="35" t="n">
        <f aca="false">$AA51*Holdings!V10</f>
        <v>0</v>
      </c>
      <c r="AH51" s="35" t="n">
        <f aca="false">$AA51*Holdings!W10</f>
        <v>5.9525</v>
      </c>
      <c r="AI51" s="35" t="n">
        <f aca="false">$AA51*Holdings!X10</f>
        <v>0</v>
      </c>
      <c r="AJ51" s="35" t="n">
        <f aca="false">$AA51*Holdings!Y10</f>
        <v>5.7675</v>
      </c>
      <c r="AK51" s="35" t="n">
        <f aca="false">$AA51*Holdings!Z10</f>
        <v>0</v>
      </c>
      <c r="AL51" s="35" t="n">
        <f aca="false">$AA51*Holdings!AA10</f>
        <v>61.7925</v>
      </c>
      <c r="AM51" s="35" t="n">
        <f aca="false">$AA51*Holdings!AB10</f>
        <v>0</v>
      </c>
      <c r="AN51" s="35" t="n">
        <f aca="false">$AA51*Holdings!AC10</f>
        <v>1.0275</v>
      </c>
      <c r="AO51" s="43" t="n">
        <f aca="false">MIN(1,$CD$57+0.5*G51)</f>
        <v>1</v>
      </c>
      <c r="AP51" s="35" t="n">
        <f aca="false">p_liq_on*Inputs_Banks!$AP10*AO51*p_mb_psi</f>
        <v>1.422</v>
      </c>
      <c r="AQ51" s="44" t="n">
        <f aca="false">MAX(F51,E51,W51*(1-p_cb_on))</f>
        <v>1</v>
      </c>
      <c r="AR51" s="35" t="n">
        <f aca="false">p_ib_on*p_lgd_ib*g_s_in*g_u_ib*SUMPRODUCT(Network!G$6:G$29,$AQ$47:$AQ$70)</f>
        <v>6.69648601838862</v>
      </c>
      <c r="AS51" s="35" t="n">
        <f aca="false">p_sw_M1*(SUMPRODUCT(BDC_EAD!G$106:G$127,$BF$47:$BF$68)+SUMPRODUCT(BDC_EAD!G$131:G$152,$BG$47:$BG$68)+(Inputs_Banks!$Y10+p_ccf_bl*Inputs_Banks!$Z10)*$CD$70+Modules!$E10)</f>
        <v>31.3129915781768</v>
      </c>
      <c r="AT51" s="35" t="n">
        <f aca="false">p_sw_M3*(Inputs_Banks!$U10+p_ccf_abf*Inputs_Banks!$V10)*$CD$71</f>
        <v>0</v>
      </c>
      <c r="AU51" s="35" t="n">
        <f aca="false">p_sw_M10*Inputs_Banks!$AC10*$CD$72</f>
        <v>0</v>
      </c>
      <c r="AV51" s="35" t="n">
        <f aca="false">p_sw_M8*(Modules!$M10+Modules!$N10*IF(p_liq_on&gt;0,X51,p_htm_forced))</f>
        <v>5.01152</v>
      </c>
      <c r="AW51" s="35" t="n">
        <f aca="false">SUMPRODUCT(Holdings!$C10:$O10,Holdings!$C$32:$O$32,$AB$72:$AN$72)+Inputs_Banks!$P10*$AL$72</f>
        <v>18.2418628465147</v>
      </c>
      <c r="AX51" s="35" t="n">
        <f aca="false">Modules!$T10+AS51+AT51+AU51+AV51+AW51+AR51</f>
        <v>86.1650394206948</v>
      </c>
      <c r="AY51" s="35" t="n">
        <f aca="false">Modules!$U10-(1-p_tax)*AX51</f>
        <v>15.2349605793053</v>
      </c>
      <c r="AZ51" s="39" t="n">
        <f aca="false">AY51/Modules!$V10</f>
        <v>0.0172661505273417</v>
      </c>
      <c r="BA51" s="48" t="s">
        <v>629</v>
      </c>
      <c r="BB51" s="43" t="n">
        <f aca="false">INDEX($BJ$47:$BJ$80,BDC_EAD!$B10)</f>
        <v>0.394270722625258</v>
      </c>
      <c r="BC51" s="43" t="n">
        <f aca="false">INDEX($BK$47:$BK$80,BDC_EAD!$B10)</f>
        <v>0.0594332970306441</v>
      </c>
      <c r="BD51" s="22" t="n">
        <f aca="false">INDEX(BDC!$Q$6:$Q$39,BDC_EAD!$B10)</f>
        <v>0.259516483516484</v>
      </c>
      <c r="BE51" s="43" t="n">
        <f aca="false">BB51*(1-$AK$72)-BC51-p_c_liq</f>
        <v>0.107415600413248</v>
      </c>
      <c r="BF51" s="43" t="n">
        <f aca="false">p_phi*MAX(0,p_a_spv-BE51)/p_a_spv+(1-p_phi)*MAX(0,p_a_spv-BB51)/p_a_spv</f>
        <v>0.764590535920501</v>
      </c>
      <c r="BG51" s="43" t="n">
        <f aca="false">IF(BD51&gt;0,p_phi*MAX(0,BD51-BE51)/BD51+(1-p_phi)*MAX(0,BD51-BB51)/BD51,0)</f>
        <v>0.468874673522848</v>
      </c>
      <c r="BI51" s="12" t="str">
        <f aca="false">BDC!$A$10</f>
        <v>HLEND</v>
      </c>
      <c r="BJ51" s="43" t="n">
        <f aca="false">1-((1-BDC!$D$10)*$CD$63+BDC!$D$10*$CD$64)-p_gap-$CD$53*(1-BDC!$M$10)</f>
        <v>0.412682242137413</v>
      </c>
      <c r="BK51" s="43" t="n">
        <f aca="false">(1-BDC!$D$10)*$CD$65+BDC!$D$10*$CD$66</f>
        <v>0.0624886432334012</v>
      </c>
      <c r="BL51" s="45" t="n">
        <f aca="false">BJ51/BDC!$K$10</f>
        <v>0.825364484274826</v>
      </c>
      <c r="BM51" s="35" t="n">
        <f aca="false">IF(BL51&lt;1.5,BDC!$C$10,0)</f>
        <v>24.18</v>
      </c>
      <c r="BN51" s="43" t="n">
        <f aca="false">MAX(0,1-BJ51*(1-CE_mig_hc)-p_bb_cush)*BDC!$Q$10</f>
        <v>0.166906113401486</v>
      </c>
      <c r="BO51" s="43" t="n">
        <f aca="false">MAX(0,BDC!$K$10-BJ51/1.5)</f>
        <v>0.224878505241725</v>
      </c>
      <c r="BP51" s="43" t="n">
        <f aca="false">MIN(MIN(1,BDC!$H$10*$CD$56),$CD$55)</f>
        <v>0.25</v>
      </c>
      <c r="BQ51" s="43" t="n">
        <f aca="false">BDC!$I$10*BDC!$J$10*BP51*(1-0.3)</f>
        <v>0.0875</v>
      </c>
      <c r="BR51" s="45" t="n">
        <f aca="false">BDC!$C$10*($CD$54*MAX(BN51,BO51)+BQ51)</f>
        <v>7.5533122567449</v>
      </c>
      <c r="BT51" s="10" t="s">
        <v>820</v>
      </c>
      <c r="BU51" s="43" t="n">
        <f aca="false">NORMSDIST((NORMSINV(CreditEngine!$D$10)-SQRT(g_rho)*$CD$51)/SQRT(1-g_rho))</f>
        <v>0.94008092388034</v>
      </c>
      <c r="BV51" s="43" t="n">
        <f aca="false">NORMSDIST((NORMSINV(MIN(0.999,CreditEngine!$D$10*p_m_sw))-SQRT(g_rho)*$CD$51)/SQRT(1-g_rho))</f>
        <v>0.999738169883273</v>
      </c>
      <c r="CC51" s="10" t="s">
        <v>977</v>
      </c>
      <c r="CD51" s="45" t="n">
        <f aca="false">p_z-p_zc*$CD$50</f>
        <v>-3.25</v>
      </c>
    </row>
    <row r="52" customFormat="false" ht="15" hidden="false" customHeight="true" outlineLevel="0" collapsed="false">
      <c r="A52" s="10" t="s">
        <v>507</v>
      </c>
      <c r="B52" s="35" t="n">
        <f aca="false">AY12</f>
        <v>22.4785411161954</v>
      </c>
      <c r="C52" s="39" t="n">
        <f aca="false">AZ12</f>
        <v>0.0349336421558866</v>
      </c>
      <c r="D52" s="44" t="n">
        <f aca="false">IF(C52&lt;Inputs_Banks!$I11,1,0)</f>
        <v>1</v>
      </c>
      <c r="E52" s="44" t="n">
        <f aca="false">IF(C52&lt;0.045,1,0)</f>
        <v>1</v>
      </c>
      <c r="F52" s="44" t="n">
        <f aca="false">IF(B52&lt;0,1,0)</f>
        <v>0</v>
      </c>
      <c r="G52" s="44" t="n">
        <f aca="false">MIN(6,MIN(3,INT(MAX(0,Inputs_Banks!$BA11-C52)/p_notch_step))+D52+2*E52)</f>
        <v>6</v>
      </c>
      <c r="H52" s="39" t="n">
        <f aca="false">C52-Inputs_Banks!$I11</f>
        <v>-0.0830663578441134</v>
      </c>
      <c r="I52" s="44" t="n">
        <f aca="false">RANK(H52,$H$47:$H$70,1)</f>
        <v>5</v>
      </c>
      <c r="J52" s="44" t="n">
        <f aca="false">MAX(IF(I52&lt;=g_n_weak,1,0),E52)</f>
        <v>1</v>
      </c>
      <c r="K52" s="44" t="n">
        <f aca="false">IF(I52&gt;12,1,0)*(1-E52)</f>
        <v>0</v>
      </c>
      <c r="L52" s="35" t="n">
        <f aca="false">INDEX(Inputs_Banks!$AR11:$AX11,1,G52+1)</f>
        <v>3.28125</v>
      </c>
      <c r="M52" s="35" t="n">
        <f aca="false">Inputs_Banks!$AI11*MIN(1,p_u_base+$CD$50*p_u_pan_all+J52*($CD$50*p_u_pan_weak+p_u_mda*D52)+p_u_notch*G52+p_u_fail*E52)</f>
        <v>149.742</v>
      </c>
      <c r="N52" s="35" t="n">
        <f aca="false">Inputs_Banks!$AK11*MIN(1,p_w_base+p_w_pan*$CD$50+p_w_notch*G52+0.5*D52+1*E52)</f>
        <v>9.4</v>
      </c>
      <c r="O52" s="35" t="n">
        <f aca="false">Inputs_Banks!$AO11*MIN(1,p_cp_base+p_cp_pan*$CD$50+p_cp_notch*G52)</f>
        <v>0</v>
      </c>
      <c r="P52" s="35" t="n">
        <f aca="false">Inputs_Banks!$AN11*(p_dh+p_dh_pan*$CD$50+MIN(1,0.5*$CD$57+0.25*G52))</f>
        <v>89.5356182750795</v>
      </c>
      <c r="Q52" s="35" t="n">
        <f aca="false">Modules!$Y11</f>
        <v>18.2013845</v>
      </c>
      <c r="R52" s="35" t="n">
        <f aca="false">Inputs_Banks!$AJ11*K52</f>
        <v>0</v>
      </c>
      <c r="S52" s="35" t="n">
        <f aca="false">p_liq_on*$CD$58*SUM($M$47:$M$70)*R52/MAX(0.000000001,SUM($R$47:$R$70))</f>
        <v>0</v>
      </c>
      <c r="T52" s="35" t="n">
        <f aca="false">p_liq_on*(L52+M52+N52+O52+P52+Q52)</f>
        <v>270.160252775079</v>
      </c>
      <c r="U52" s="35" t="n">
        <f aca="false">g_usable*Inputs_Banks!$AG11+p_cb_on*Inputs_Banks!$AQ11+S52</f>
        <v>351.0815</v>
      </c>
      <c r="V52" s="35" t="n">
        <f aca="false">MAX(0,T52-U52)</f>
        <v>0</v>
      </c>
      <c r="W52" s="44" t="n">
        <f aca="false">IF(V52&gt;0.9*Inputs_Banks!$BB11,1,0)</f>
        <v>0</v>
      </c>
      <c r="X52" s="43" t="n">
        <f aca="false">MAX(p_htm_forced,(1-p_cb_on)*MIN(1,T52/Inputs_Banks!$AG11)*g_theta_sell)</f>
        <v>0.211614880058183</v>
      </c>
      <c r="Y52" s="35" t="n">
        <f aca="false">MAX(0,Modules!$V11-B52/(Inputs_Banks!$I11+g_del_buf))</f>
        <v>460.711633201663</v>
      </c>
      <c r="Z52" s="35" t="n">
        <f aca="false">MIN(g_del_cap*Inputs_Banks!$BB11,Y52)</f>
        <v>74.495</v>
      </c>
      <c r="AA52" s="35" t="n">
        <f aca="false">MIN(Inputs_Banks!$BB11,V52+Z52)</f>
        <v>74.495</v>
      </c>
      <c r="AB52" s="35" t="n">
        <f aca="false">$AA52*Holdings!Q11</f>
        <v>0</v>
      </c>
      <c r="AC52" s="35" t="n">
        <f aca="false">$AA52*Holdings!R11</f>
        <v>0</v>
      </c>
      <c r="AD52" s="35" t="n">
        <f aca="false">$AA52*Holdings!S11</f>
        <v>0</v>
      </c>
      <c r="AE52" s="35" t="n">
        <f aca="false">$AA52*Holdings!T11</f>
        <v>1.6275</v>
      </c>
      <c r="AF52" s="35" t="n">
        <f aca="false">$AA52*Holdings!U11</f>
        <v>11.67</v>
      </c>
      <c r="AG52" s="35" t="n">
        <f aca="false">$AA52*Holdings!V11</f>
        <v>0</v>
      </c>
      <c r="AH52" s="35" t="n">
        <f aca="false">$AA52*Holdings!W11</f>
        <v>6.04</v>
      </c>
      <c r="AI52" s="35" t="n">
        <f aca="false">$AA52*Holdings!X11</f>
        <v>0</v>
      </c>
      <c r="AJ52" s="35" t="n">
        <f aca="false">$AA52*Holdings!Y11</f>
        <v>1.3075</v>
      </c>
      <c r="AK52" s="35" t="n">
        <f aca="false">$AA52*Holdings!Z11</f>
        <v>0</v>
      </c>
      <c r="AL52" s="35" t="n">
        <f aca="false">$AA52*Holdings!AA11</f>
        <v>52.9975</v>
      </c>
      <c r="AM52" s="35" t="n">
        <f aca="false">$AA52*Holdings!AB11</f>
        <v>0</v>
      </c>
      <c r="AN52" s="35" t="n">
        <f aca="false">$AA52*Holdings!AC11</f>
        <v>0.8525</v>
      </c>
      <c r="AO52" s="43" t="n">
        <f aca="false">MIN(1,$CD$57+0.5*G52)</f>
        <v>1</v>
      </c>
      <c r="AP52" s="35" t="n">
        <f aca="false">p_liq_on*Inputs_Banks!$AP11*AO52*p_mb_psi</f>
        <v>0</v>
      </c>
      <c r="AQ52" s="44" t="n">
        <f aca="false">MAX(F52,E52,W52*(1-p_cb_on))</f>
        <v>1</v>
      </c>
      <c r="AR52" s="35" t="n">
        <f aca="false">p_ib_on*p_lgd_ib*g_s_in*g_u_ib*SUMPRODUCT(Network!H$6:H$29,$AQ$47:$AQ$70)</f>
        <v>5.09510921666062</v>
      </c>
      <c r="AS52" s="35" t="n">
        <f aca="false">p_sw_M1*(SUMPRODUCT(BDC_EAD!H$106:H$127,$BF$47:$BF$68)+SUMPRODUCT(BDC_EAD!H$131:H$152,$BG$47:$BG$68)+(Inputs_Banks!$Y11+p_ccf_bl*Inputs_Banks!$Z11)*$CD$70+Modules!$E11)</f>
        <v>24.1216345672086</v>
      </c>
      <c r="AT52" s="35" t="n">
        <f aca="false">p_sw_M3*(Inputs_Banks!$U11+p_ccf_abf*Inputs_Banks!$V11)*$CD$71</f>
        <v>0</v>
      </c>
      <c r="AU52" s="35" t="n">
        <f aca="false">p_sw_M10*Inputs_Banks!$AC11*$CD$72</f>
        <v>0</v>
      </c>
      <c r="AV52" s="35" t="n">
        <f aca="false">p_sw_M8*(Modules!$M11+Modules!$N11*IF(p_liq_on&gt;0,X52,p_htm_forced))</f>
        <v>4.83355467504518</v>
      </c>
      <c r="AW52" s="35" t="n">
        <f aca="false">SUMPRODUCT(Holdings!$C11:$O11,Holdings!$C$32:$O$32,$AB$72:$AN$72)+Inputs_Banks!$P11*$AL$72</f>
        <v>14.5929019699953</v>
      </c>
      <c r="AX52" s="35" t="n">
        <f aca="false">Modules!$T11+AS52+AT52+AU52+AV52+AW52+AR52</f>
        <v>72.1027069197624</v>
      </c>
      <c r="AY52" s="35" t="n">
        <f aca="false">Modules!$U11-(1-p_tax)*AX52</f>
        <v>16.6972930802376</v>
      </c>
      <c r="AZ52" s="39" t="n">
        <f aca="false">AY52/Modules!$V11</f>
        <v>0.0259490710905935</v>
      </c>
      <c r="BA52" s="48" t="s">
        <v>640</v>
      </c>
      <c r="BB52" s="43" t="n">
        <f aca="false">INDEX($BJ$47:$BJ$80,BDC_EAD!$B11)</f>
        <v>0.48930871061707</v>
      </c>
      <c r="BC52" s="43" t="n">
        <f aca="false">INDEX($BK$47:$BK$80,BDC_EAD!$B11)</f>
        <v>0.0620042590793056</v>
      </c>
      <c r="BD52" s="22" t="n">
        <f aca="false">INDEX(BDC!$Q$6:$Q$39,BDC_EAD!$B11)</f>
        <v>0.18126872246696</v>
      </c>
      <c r="BE52" s="43" t="n">
        <f aca="false">BB52*(1-$AK$72)-BC52-p_c_liq</f>
        <v>0.157115531760083</v>
      </c>
      <c r="BF52" s="43" t="n">
        <f aca="false">p_phi*MAX(0,p_a_spv-BE52)/p_a_spv+(1-p_phi)*MAX(0,p_a_spv-BB52)/p_a_spv</f>
        <v>0.680636903526457</v>
      </c>
      <c r="BG52" s="43" t="n">
        <f aca="false">IF(BD52&gt;0,p_phi*MAX(0,BD52-BE52)/BD52+(1-p_phi)*MAX(0,BD52-BB52)/BD52,0)</f>
        <v>0.106596175570355</v>
      </c>
      <c r="BI52" s="12" t="str">
        <f aca="false">BDC!$A$11</f>
        <v>ASIF</v>
      </c>
      <c r="BJ52" s="43" t="n">
        <f aca="false">1-((1-BDC!$D$11)*$CD$63+BDC!$D$11*$CD$64)-p_gap-$CD$53*(1-BDC!$M$11)</f>
        <v>0.404374605284367</v>
      </c>
      <c r="BK52" s="43" t="n">
        <f aca="false">(1-BDC!$D$11)*$CD$65+BDC!$D$11*$CD$66</f>
        <v>0.0611100114102059</v>
      </c>
      <c r="BL52" s="45" t="n">
        <f aca="false">BJ52/BDC!$K$11</f>
        <v>0.747064948745695</v>
      </c>
      <c r="BM52" s="35" t="n">
        <f aca="false">IF(BL52&lt;1.5,BDC!$C$11,0)</f>
        <v>21.84</v>
      </c>
      <c r="BN52" s="43" t="n">
        <f aca="false">MAX(0,1-BJ52*(1-CE_mig_hc)-p_bb_cush)*BDC!$Q$11</f>
        <v>0.166493090846723</v>
      </c>
      <c r="BO52" s="43" t="n">
        <f aca="false">MAX(0,BDC!$K$11-BJ52/1.5)</f>
        <v>0.271701333480147</v>
      </c>
      <c r="BP52" s="43" t="n">
        <f aca="false">MIN(MIN(1,BDC!$H$11*$CD$56),$CD$55)</f>
        <v>0.25</v>
      </c>
      <c r="BQ52" s="43" t="n">
        <f aca="false">BDC!$I$11*BDC!$J$11*BP52*(1-0.3)</f>
        <v>0.0802752293577981</v>
      </c>
      <c r="BR52" s="45" t="n">
        <f aca="false">BDC!$C$11*($CD$54*MAX(BN52,BO52)+BQ52)</f>
        <v>7.68716813238071</v>
      </c>
      <c r="CC52" s="10" t="s">
        <v>978</v>
      </c>
      <c r="CD52" s="35" t="n">
        <f aca="false">p_ds+p_ds_pan*$CD$50</f>
        <v>1100</v>
      </c>
    </row>
    <row r="53" customFormat="false" ht="15" hidden="false" customHeight="true" outlineLevel="0" collapsed="false">
      <c r="A53" s="10" t="s">
        <v>509</v>
      </c>
      <c r="B53" s="35" t="n">
        <f aca="false">AY13</f>
        <v>2.53994745756425</v>
      </c>
      <c r="C53" s="39" t="n">
        <f aca="false">AZ13</f>
        <v>0.00469609265464931</v>
      </c>
      <c r="D53" s="44" t="n">
        <f aca="false">IF(C53&lt;Inputs_Banks!$I12,1,0)</f>
        <v>1</v>
      </c>
      <c r="E53" s="44" t="n">
        <f aca="false">IF(C53&lt;0.045,1,0)</f>
        <v>1</v>
      </c>
      <c r="F53" s="44" t="n">
        <f aca="false">IF(B53&lt;0,1,0)</f>
        <v>0</v>
      </c>
      <c r="G53" s="44" t="n">
        <f aca="false">MIN(6,MIN(3,INT(MAX(0,Inputs_Banks!$BA12-C53)/p_notch_step))+D53+2*E53)</f>
        <v>6</v>
      </c>
      <c r="H53" s="39" t="n">
        <f aca="false">C53-Inputs_Banks!$I12</f>
        <v>-0.0653039073453507</v>
      </c>
      <c r="I53" s="44" t="n">
        <f aca="false">RANK(H53,$H$47:$H$70,1)</f>
        <v>9</v>
      </c>
      <c r="J53" s="44" t="n">
        <f aca="false">MAX(IF(I53&lt;=g_n_weak,1,0),E53)</f>
        <v>1</v>
      </c>
      <c r="K53" s="44" t="n">
        <f aca="false">IF(I53&gt;12,1,0)*(1-E53)</f>
        <v>0</v>
      </c>
      <c r="L53" s="35" t="n">
        <f aca="false">INDEX(Inputs_Banks!$AR12:$AX12,1,G53+1)</f>
        <v>2</v>
      </c>
      <c r="M53" s="35" t="n">
        <f aca="false">Inputs_Banks!$AI12*MIN(1,p_u_base+$CD$50*p_u_pan_all+J53*($CD$50*p_u_pan_weak+p_u_mda*D53)+p_u_notch*G53+p_u_fail*E53)</f>
        <v>192.606</v>
      </c>
      <c r="N53" s="35" t="n">
        <f aca="false">Inputs_Banks!$AK12*MIN(1,p_w_base+p_w_pan*$CD$50+p_w_notch*G53+0.5*D53+1*E53)</f>
        <v>2.767</v>
      </c>
      <c r="O53" s="35" t="n">
        <f aca="false">Inputs_Banks!$AO12*MIN(1,p_cp_base+p_cp_pan*$CD$50+p_cp_notch*G53)</f>
        <v>0</v>
      </c>
      <c r="P53" s="35" t="n">
        <f aca="false">Inputs_Banks!$AN12*(p_dh+p_dh_pan*$CD$50+MIN(1,0.5*$CD$57+0.25*G53))</f>
        <v>0</v>
      </c>
      <c r="Q53" s="35" t="n">
        <f aca="false">Modules!$Y12</f>
        <v>25.4204874</v>
      </c>
      <c r="R53" s="35" t="n">
        <f aca="false">Inputs_Banks!$AJ12*K53</f>
        <v>0</v>
      </c>
      <c r="S53" s="35" t="n">
        <f aca="false">p_liq_on*$CD$58*SUM($M$47:$M$70)*R53/MAX(0.000000001,SUM($R$47:$R$70))</f>
        <v>0</v>
      </c>
      <c r="T53" s="35" t="n">
        <f aca="false">p_liq_on*(L53+M53+N53+O53+P53+Q53)</f>
        <v>222.7934874</v>
      </c>
      <c r="U53" s="35" t="n">
        <f aca="false">g_usable*Inputs_Banks!$AG12+p_cb_on*Inputs_Banks!$AQ12+S53</f>
        <v>151.195</v>
      </c>
      <c r="V53" s="35" t="n">
        <f aca="false">MAX(0,T53-U53)</f>
        <v>71.5984874</v>
      </c>
      <c r="W53" s="44" t="n">
        <f aca="false">IF(V53&gt;0.9*Inputs_Banks!$BB12,1,0)</f>
        <v>1</v>
      </c>
      <c r="X53" s="43" t="n">
        <f aca="false">MAX(p_htm_forced,(1-p_cb_on)*MIN(1,T53/Inputs_Banks!$AG12)*g_theta_sell)</f>
        <v>0.25</v>
      </c>
      <c r="Y53" s="35" t="n">
        <f aca="false">MAX(0,Modules!$V12-B53/(Inputs_Banks!$I12+g_del_buf))</f>
        <v>506.998033899143</v>
      </c>
      <c r="Z53" s="35" t="n">
        <f aca="false">MIN(g_del_cap*Inputs_Banks!$BB12,Y53)</f>
        <v>2.2875</v>
      </c>
      <c r="AA53" s="35" t="n">
        <f aca="false">MIN(Inputs_Banks!$BB12,V53+Z53)</f>
        <v>9.15</v>
      </c>
      <c r="AB53" s="35" t="n">
        <f aca="false">$AA53*Holdings!Q12</f>
        <v>0</v>
      </c>
      <c r="AC53" s="35" t="n">
        <f aca="false">$AA53*Holdings!R12</f>
        <v>0</v>
      </c>
      <c r="AD53" s="35" t="n">
        <f aca="false">$AA53*Holdings!S12</f>
        <v>0</v>
      </c>
      <c r="AE53" s="35" t="n">
        <f aca="false">$AA53*Holdings!T12</f>
        <v>2.37</v>
      </c>
      <c r="AF53" s="35" t="n">
        <f aca="false">$AA53*Holdings!U12</f>
        <v>2.02</v>
      </c>
      <c r="AG53" s="35" t="n">
        <f aca="false">$AA53*Holdings!V12</f>
        <v>0</v>
      </c>
      <c r="AH53" s="35" t="n">
        <f aca="false">$AA53*Holdings!W12</f>
        <v>0.02</v>
      </c>
      <c r="AI53" s="35" t="n">
        <f aca="false">$AA53*Holdings!X12</f>
        <v>0.06</v>
      </c>
      <c r="AJ53" s="35" t="n">
        <f aca="false">$AA53*Holdings!Y12</f>
        <v>4.68</v>
      </c>
      <c r="AK53" s="35" t="n">
        <f aca="false">$AA53*Holdings!Z12</f>
        <v>0</v>
      </c>
      <c r="AL53" s="35" t="n">
        <f aca="false">$AA53*Holdings!AA12</f>
        <v>0</v>
      </c>
      <c r="AM53" s="35" t="n">
        <f aca="false">$AA53*Holdings!AB12</f>
        <v>0</v>
      </c>
      <c r="AN53" s="35" t="n">
        <f aca="false">$AA53*Holdings!AC12</f>
        <v>0</v>
      </c>
      <c r="AO53" s="43" t="n">
        <f aca="false">MIN(1,$CD$57+0.5*G53)</f>
        <v>1</v>
      </c>
      <c r="AP53" s="35" t="n">
        <f aca="false">p_liq_on*Inputs_Banks!$AP12*AO53*p_mb_psi</f>
        <v>0</v>
      </c>
      <c r="AQ53" s="44" t="n">
        <f aca="false">MAX(F53,E53,W53*(1-p_cb_on))</f>
        <v>1</v>
      </c>
      <c r="AR53" s="35" t="n">
        <f aca="false">p_ib_on*p_lgd_ib*g_s_in*g_u_ib*SUMPRODUCT(Network!I$6:I$29,$AQ$47:$AQ$70)</f>
        <v>0.327461190082283</v>
      </c>
      <c r="AS53" s="35" t="n">
        <f aca="false">p_sw_M1*(SUMPRODUCT(BDC_EAD!I$106:I$127,$BF$47:$BF$68)+SUMPRODUCT(BDC_EAD!I$131:I$152,$BG$47:$BG$68)+(Inputs_Banks!$Y12+p_ccf_bl*Inputs_Banks!$Z12)*$CD$70+Modules!$E12)</f>
        <v>37.3288498355516</v>
      </c>
      <c r="AT53" s="35" t="n">
        <f aca="false">p_sw_M3*(Inputs_Banks!$U12+p_ccf_abf*Inputs_Banks!$V12)*$CD$71</f>
        <v>0</v>
      </c>
      <c r="AU53" s="35" t="n">
        <f aca="false">p_sw_M10*Inputs_Banks!$AC12*$CD$72</f>
        <v>0</v>
      </c>
      <c r="AV53" s="35" t="n">
        <f aca="false">p_sw_M8*(Modules!$M12+Modules!$N12*IF(p_liq_on&gt;0,X53,p_htm_forced))</f>
        <v>2.868215</v>
      </c>
      <c r="AW53" s="35" t="n">
        <f aca="false">SUMPRODUCT(Holdings!$C12:$O12,Holdings!$C$32:$O$32,$AB$72:$AN$72)+Inputs_Banks!$P12*$AL$72</f>
        <v>0.883609297673443</v>
      </c>
      <c r="AX53" s="35" t="n">
        <f aca="false">Modules!$T12+AS53+AT53+AU53+AV53+AW53+AR53</f>
        <v>46.8917321243894</v>
      </c>
      <c r="AY53" s="35" t="n">
        <f aca="false">Modules!$U12-(1-p_tax)*AX53</f>
        <v>2.20826787561061</v>
      </c>
      <c r="AZ53" s="39" t="n">
        <f aca="false">AY53/Modules!$V12</f>
        <v>0.00408285239100885</v>
      </c>
      <c r="BA53" s="48" t="s">
        <v>657</v>
      </c>
      <c r="BB53" s="43" t="n">
        <f aca="false">INDEX($BJ$47:$BJ$80,BDC_EAD!$B12)</f>
        <v>0.378165749019815</v>
      </c>
      <c r="BC53" s="43" t="n">
        <f aca="false">INDEX($BK$47:$BK$80,BDC_EAD!$B12)</f>
        <v>0.0643143988911463</v>
      </c>
      <c r="BD53" s="22" t="n">
        <f aca="false">INDEX(BDC!$Q$6:$Q$39,BDC_EAD!$B12)</f>
        <v>0.295054794520548</v>
      </c>
      <c r="BE53" s="43" t="n">
        <f aca="false">BB53*(1-$AK$72)-BC53-p_c_liq</f>
        <v>0.0936767630697517</v>
      </c>
      <c r="BF53" s="43" t="n">
        <f aca="false">p_phi*MAX(0,p_a_spv-BE53)/p_a_spv+(1-p_phi)*MAX(0,p_a_spv-BB53)/p_a_spv</f>
        <v>0.784893485343194</v>
      </c>
      <c r="BG53" s="43" t="n">
        <f aca="false">IF(BD53&gt;0,p_phi*MAX(0,BD53-BE53)/BD53+(1-p_phi)*MAX(0,BD53-BB53)/BD53,0)</f>
        <v>0.546008497921283</v>
      </c>
      <c r="BI53" s="12" t="str">
        <f aca="false">BDC!$A$12</f>
        <v>GS PCC</v>
      </c>
      <c r="BJ53" s="43" t="n">
        <f aca="false">1-((1-BDC!$D$12)*$CD$63+BDC!$D$12*$CD$64)-p_gap-$CD$53*(1-BDC!$M$12)</f>
        <v>0.398087744963144</v>
      </c>
      <c r="BK53" s="43" t="n">
        <f aca="false">(1-BDC!$D$12)*$CD$65+BDC!$D$12*$CD$66</f>
        <v>0.060066722462923</v>
      </c>
      <c r="BL53" s="45" t="n">
        <f aca="false">BJ53/BDC!$K$12</f>
        <v>0.812762479299751</v>
      </c>
      <c r="BM53" s="35" t="n">
        <f aca="false">IF(BL53&lt;1.5,BDC!$C$12,0)</f>
        <v>18.19</v>
      </c>
      <c r="BN53" s="43" t="n">
        <f aca="false">MAX(0,1-BJ53*(1-CE_mig_hc)-p_bb_cush)*BDC!$Q$12</f>
        <v>0.171189689900712</v>
      </c>
      <c r="BO53" s="43" t="n">
        <f aca="false">MAX(0,BDC!$K$12-BJ53/1.5)</f>
        <v>0.224404088391918</v>
      </c>
      <c r="BP53" s="43" t="n">
        <f aca="false">MIN(MIN(1,BDC!$H$12*$CD$56),$CD$55)</f>
        <v>0.0609</v>
      </c>
      <c r="BQ53" s="43" t="n">
        <f aca="false">BDC!$I$12*BDC!$J$12*BP53*(1-0.3)</f>
        <v>0.02175</v>
      </c>
      <c r="BR53" s="45" t="n">
        <f aca="false">BDC!$C$12*($CD$54*MAX(BN53,BO53)+BQ53)</f>
        <v>4.47754286784899</v>
      </c>
      <c r="CC53" s="10" t="s">
        <v>979</v>
      </c>
      <c r="CD53" s="43" t="n">
        <f aca="false">p_w_mkt+(1-p_w_mkt)*$CD$50</f>
        <v>1</v>
      </c>
    </row>
    <row r="54" customFormat="false" ht="15" hidden="false" customHeight="true" outlineLevel="0" collapsed="false">
      <c r="A54" s="10" t="s">
        <v>510</v>
      </c>
      <c r="B54" s="35" t="n">
        <f aca="false">AY14</f>
        <v>28.9751640496809</v>
      </c>
      <c r="C54" s="39" t="n">
        <f aca="false">AZ14</f>
        <v>0.052791923655168</v>
      </c>
      <c r="D54" s="44" t="n">
        <f aca="false">IF(C54&lt;Inputs_Banks!$I13,1,0)</f>
        <v>1</v>
      </c>
      <c r="E54" s="44" t="n">
        <f aca="false">IF(C54&lt;0.045,1,0)</f>
        <v>0</v>
      </c>
      <c r="F54" s="44" t="n">
        <f aca="false">IF(B54&lt;0,1,0)</f>
        <v>0</v>
      </c>
      <c r="G54" s="44" t="n">
        <f aca="false">MIN(6,MIN(3,INT(MAX(0,Inputs_Banks!$BA13-C54)/p_notch_step))+D54+2*E54)</f>
        <v>3</v>
      </c>
      <c r="H54" s="39" t="n">
        <f aca="false">C54-Inputs_Banks!$I13</f>
        <v>-0.018208076344832</v>
      </c>
      <c r="I54" s="44" t="n">
        <f aca="false">RANK(H54,$H$47:$H$70,1)</f>
        <v>20</v>
      </c>
      <c r="J54" s="44" t="n">
        <f aca="false">MAX(IF(I54&lt;=g_n_weak,1,0),E54)</f>
        <v>0</v>
      </c>
      <c r="K54" s="44" t="n">
        <f aca="false">IF(I54&gt;12,1,0)*(1-E54)</f>
        <v>1</v>
      </c>
      <c r="L54" s="35" t="n">
        <f aca="false">INDEX(Inputs_Banks!$AR13:$AX13,1,G54+1)</f>
        <v>0.225</v>
      </c>
      <c r="M54" s="35" t="n">
        <f aca="false">Inputs_Banks!$AI13*MIN(1,p_u_base+$CD$50*p_u_pan_all+J54*($CD$50*p_u_pan_weak+p_u_mda*D54)+p_u_notch*G54+p_u_fail*E54)</f>
        <v>76.383</v>
      </c>
      <c r="N54" s="35" t="n">
        <f aca="false">Inputs_Banks!$AK13*MIN(1,p_w_base+p_w_pan*$CD$50+p_w_notch*G54+0.5*D54+1*E54)</f>
        <v>37.337</v>
      </c>
      <c r="O54" s="35" t="n">
        <f aca="false">Inputs_Banks!$AO13*MIN(1,p_cp_base+p_cp_pan*$CD$50+p_cp_notch*G54)</f>
        <v>0</v>
      </c>
      <c r="P54" s="35" t="n">
        <f aca="false">Inputs_Banks!$AN13*(p_dh+p_dh_pan*$CD$50+MIN(1,0.5*$CD$57+0.25*G54))</f>
        <v>1.197105</v>
      </c>
      <c r="Q54" s="35" t="n">
        <f aca="false">Modules!$Y13</f>
        <v>12.7415604</v>
      </c>
      <c r="R54" s="35" t="n">
        <f aca="false">Inputs_Banks!$AJ13*K54</f>
        <v>532.066</v>
      </c>
      <c r="S54" s="35" t="n">
        <f aca="false">p_liq_on*$CD$58*SUM($M$47:$M$70)*R54/MAX(0.000000001,SUM($R$47:$R$70))</f>
        <v>65.0240830097806</v>
      </c>
      <c r="T54" s="35" t="n">
        <f aca="false">p_liq_on*(L54+M54+N54+O54+P54+Q54)</f>
        <v>127.8836654</v>
      </c>
      <c r="U54" s="35" t="n">
        <f aca="false">g_usable*Inputs_Banks!$AG13+p_cb_on*Inputs_Banks!$AQ13+S54</f>
        <v>253.959983009781</v>
      </c>
      <c r="V54" s="35" t="n">
        <f aca="false">MAX(0,T54-U54)</f>
        <v>0</v>
      </c>
      <c r="W54" s="44" t="n">
        <f aca="false">IF(V54&gt;0.9*Inputs_Banks!$BB13,1,0)</f>
        <v>0</v>
      </c>
      <c r="X54" s="43" t="n">
        <f aca="false">MAX(p_htm_forced,(1-p_cb_on)*MIN(1,T54/Inputs_Banks!$AG13)*g_theta_sell)</f>
        <v>0.25</v>
      </c>
      <c r="Y54" s="35" t="n">
        <f aca="false">MAX(0,Modules!$V13-B54/(Inputs_Banks!$I13+g_del_buf))</f>
        <v>167.603841451567</v>
      </c>
      <c r="Z54" s="35" t="n">
        <f aca="false">MIN(g_del_cap*Inputs_Banks!$BB13,Y54)</f>
        <v>3.2525</v>
      </c>
      <c r="AA54" s="35" t="n">
        <f aca="false">MIN(Inputs_Banks!$BB13,V54+Z54)</f>
        <v>3.2525</v>
      </c>
      <c r="AB54" s="35" t="n">
        <f aca="false">$AA54*Holdings!Q13</f>
        <v>0</v>
      </c>
      <c r="AC54" s="35" t="n">
        <f aca="false">$AA54*Holdings!R13</f>
        <v>0</v>
      </c>
      <c r="AD54" s="35" t="n">
        <f aca="false">$AA54*Holdings!S13</f>
        <v>0</v>
      </c>
      <c r="AE54" s="35" t="n">
        <f aca="false">$AA54*Holdings!T13</f>
        <v>1.845</v>
      </c>
      <c r="AF54" s="35" t="n">
        <f aca="false">$AA54*Holdings!U13</f>
        <v>0</v>
      </c>
      <c r="AG54" s="35" t="n">
        <f aca="false">$AA54*Holdings!V13</f>
        <v>0</v>
      </c>
      <c r="AH54" s="35" t="n">
        <f aca="false">$AA54*Holdings!W13</f>
        <v>0.0225</v>
      </c>
      <c r="AI54" s="35" t="n">
        <f aca="false">$AA54*Holdings!X13</f>
        <v>1.095</v>
      </c>
      <c r="AJ54" s="35" t="n">
        <f aca="false">$AA54*Holdings!Y13</f>
        <v>0.29</v>
      </c>
      <c r="AK54" s="35" t="n">
        <f aca="false">$AA54*Holdings!Z13</f>
        <v>0</v>
      </c>
      <c r="AL54" s="35" t="n">
        <f aca="false">$AA54*Holdings!AA13</f>
        <v>0</v>
      </c>
      <c r="AM54" s="35" t="n">
        <f aca="false">$AA54*Holdings!AB13</f>
        <v>0</v>
      </c>
      <c r="AN54" s="35" t="n">
        <f aca="false">$AA54*Holdings!AC13</f>
        <v>0</v>
      </c>
      <c r="AO54" s="43" t="n">
        <f aca="false">MIN(1,$CD$57+0.5*G54)</f>
        <v>1</v>
      </c>
      <c r="AP54" s="35" t="n">
        <f aca="false">p_liq_on*Inputs_Banks!$AP13*AO54*p_mb_psi</f>
        <v>0.636</v>
      </c>
      <c r="AQ54" s="44" t="n">
        <f aca="false">MAX(F54,E54,W54*(1-p_cb_on))</f>
        <v>0</v>
      </c>
      <c r="AR54" s="35" t="n">
        <f aca="false">p_ib_on*p_lgd_ib*g_s_in*g_u_ib*SUMPRODUCT(Network!J$6:J$29,$AQ$47:$AQ$70)</f>
        <v>0.383186606357327</v>
      </c>
      <c r="AS54" s="35" t="n">
        <f aca="false">p_sw_M1*(SUMPRODUCT(BDC_EAD!J$106:J$127,$BF$47:$BF$68)+SUMPRODUCT(BDC_EAD!J$131:J$152,$BG$47:$BG$68)+(Inputs_Banks!$Y13+p_ccf_bl*Inputs_Banks!$Z13)*$CD$70+Modules!$E13)</f>
        <v>14.5195684657137</v>
      </c>
      <c r="AT54" s="35" t="n">
        <f aca="false">p_sw_M3*(Inputs_Banks!$U13+p_ccf_abf*Inputs_Banks!$V13)*$CD$71</f>
        <v>0</v>
      </c>
      <c r="AU54" s="35" t="n">
        <f aca="false">p_sw_M10*Inputs_Banks!$AC13*$CD$72</f>
        <v>0</v>
      </c>
      <c r="AV54" s="35" t="n">
        <f aca="false">p_sw_M8*(Modules!$M13+Modules!$N13*IF(p_liq_on&gt;0,X54,p_htm_forced))</f>
        <v>5.14480625</v>
      </c>
      <c r="AW54" s="35" t="n">
        <f aca="false">SUMPRODUCT(Holdings!$C13:$O13,Holdings!$C$32:$O$32,$AB$72:$AN$72)+Inputs_Banks!$P13*$AL$72</f>
        <v>1.44881554755633</v>
      </c>
      <c r="AX54" s="35" t="n">
        <f aca="false">Modules!$T13+AS54+AT54+AU54+AV54+AW54+AR54</f>
        <v>26.7667798983564</v>
      </c>
      <c r="AY54" s="35" t="n">
        <f aca="false">Modules!$U13-(1-p_tax)*AX54</f>
        <v>28.2332201016436</v>
      </c>
      <c r="AZ54" s="39" t="n">
        <f aca="false">AY54/Modules!$V13</f>
        <v>0.0514401229131933</v>
      </c>
      <c r="BA54" s="48" t="s">
        <v>641</v>
      </c>
      <c r="BB54" s="43" t="n">
        <f aca="false">INDEX($BJ$47:$BJ$80,BDC_EAD!$B13)</f>
        <v>0.329896338848212</v>
      </c>
      <c r="BC54" s="43" t="n">
        <f aca="false">INDEX($BK$47:$BK$80,BDC_EAD!$B13)</f>
        <v>0.0624513829138554</v>
      </c>
      <c r="BD54" s="22" t="n">
        <f aca="false">INDEX(BDC!$Q$6:$Q$39,BDC_EAD!$B13)</f>
        <v>0.167256637168142</v>
      </c>
      <c r="BE54" s="43" t="n">
        <f aca="false">BB54*(1-$AK$72)-BC54-p_c_liq</f>
        <v>0.0689916034526611</v>
      </c>
      <c r="BF54" s="43" t="n">
        <f aca="false">p_phi*MAX(0,p_a_spv-BE54)/p_a_spv+(1-p_phi)*MAX(0,p_a_spv-BB54)/p_a_spv</f>
        <v>0.826896356383184</v>
      </c>
      <c r="BG54" s="43" t="n">
        <f aca="false">IF(BD54&gt;0,p_phi*MAX(0,BD54-BE54)/BD54+(1-p_phi)*MAX(0,BD54-BB54)/BD54,0)</f>
        <v>0.470008415231717</v>
      </c>
      <c r="BI54" s="12" t="str">
        <f aca="false">BDC!$A$13</f>
        <v>OBDC</v>
      </c>
      <c r="BJ54" s="43" t="n">
        <f aca="false">1-((1-BDC!$D$13)*$CD$63+BDC!$D$13*$CD$64)-p_gap-$CD$53*(1-BDC!$M$13)</f>
        <v>0.393709594067855</v>
      </c>
      <c r="BK54" s="43" t="n">
        <f aca="false">(1-BDC!$D$13)*$CD$65+BDC!$D$13*$CD$66</f>
        <v>0.0647242624061503</v>
      </c>
      <c r="BL54" s="45" t="n">
        <f aca="false">BJ54/BDC!$K$13</f>
        <v>0.745236017342725</v>
      </c>
      <c r="BM54" s="35" t="n">
        <f aca="false">IF(BL54&lt;1.5,BDC!$C$13,0)</f>
        <v>14.96</v>
      </c>
      <c r="BN54" s="43" t="n">
        <f aca="false">MAX(0,1-BJ54*(1-CE_mig_hc)-p_bb_cush)*BDC!$Q$13</f>
        <v>0.111074092527053</v>
      </c>
      <c r="BO54" s="43" t="n">
        <f aca="false">MAX(0,BDC!$K$13-BJ54/1.5)</f>
        <v>0.26582882408055</v>
      </c>
      <c r="BP54" s="43" t="n">
        <f aca="false">MIN(MIN(1,BDC!$H$13*$CD$56),$CD$55)</f>
        <v>0</v>
      </c>
      <c r="BQ54" s="43" t="n">
        <f aca="false">BDC!$I$13*BDC!$J$13*BP54*(1-0.3)</f>
        <v>0</v>
      </c>
      <c r="BR54" s="45" t="n">
        <f aca="false">BDC!$C$13*($CD$54*MAX(BN54,BO54)+BQ54)</f>
        <v>3.97679920824502</v>
      </c>
      <c r="CC54" s="10" t="s">
        <v>980</v>
      </c>
      <c r="CD54" s="43" t="n">
        <f aca="false">p_theta_lev+(1-p_theta_lev)*$CD$50</f>
        <v>1</v>
      </c>
    </row>
    <row r="55" customFormat="false" ht="15" hidden="false" customHeight="true" outlineLevel="0" collapsed="false">
      <c r="A55" s="10" t="s">
        <v>512</v>
      </c>
      <c r="B55" s="35" t="n">
        <f aca="false">AY15</f>
        <v>8.36050984674408</v>
      </c>
      <c r="C55" s="39" t="n">
        <f aca="false">AZ15</f>
        <v>0.0179277740182013</v>
      </c>
      <c r="D55" s="44" t="n">
        <f aca="false">IF(C55&lt;Inputs_Banks!$I14,1,0)</f>
        <v>1</v>
      </c>
      <c r="E55" s="44" t="n">
        <f aca="false">IF(C55&lt;0.045,1,0)</f>
        <v>1</v>
      </c>
      <c r="F55" s="44" t="n">
        <f aca="false">IF(B55&lt;0,1,0)</f>
        <v>0</v>
      </c>
      <c r="G55" s="44" t="n">
        <f aca="false">MIN(6,MIN(3,INT(MAX(0,Inputs_Banks!$BA14-C55)/p_notch_step))+D55+2*E55)</f>
        <v>6</v>
      </c>
      <c r="H55" s="39" t="n">
        <f aca="false">C55-Inputs_Banks!$I14</f>
        <v>-0.0520722259817987</v>
      </c>
      <c r="I55" s="44" t="n">
        <f aca="false">RANK(H55,$H$47:$H$70,1)</f>
        <v>12</v>
      </c>
      <c r="J55" s="44" t="n">
        <f aca="false">MAX(IF(I55&lt;=g_n_weak,1,0),E55)</f>
        <v>1</v>
      </c>
      <c r="K55" s="44" t="n">
        <f aca="false">IF(I55&gt;12,1,0)*(1-E55)</f>
        <v>0</v>
      </c>
      <c r="L55" s="35" t="n">
        <f aca="false">INDEX(Inputs_Banks!$AR14:$AX14,1,G55+1)</f>
        <v>0.5568</v>
      </c>
      <c r="M55" s="35" t="n">
        <f aca="false">Inputs_Banks!$AI14*MIN(1,p_u_base+$CD$50*p_u_pan_all+J55*($CD$50*p_u_pan_weak+p_u_mda*D55)+p_u_notch*G55+p_u_fail*E55)</f>
        <v>177.002</v>
      </c>
      <c r="N55" s="35" t="n">
        <f aca="false">Inputs_Banks!$AK14*MIN(1,p_w_base+p_w_pan*$CD$50+p_w_notch*G55+0.5*D55+1*E55)</f>
        <v>3.414</v>
      </c>
      <c r="O55" s="35" t="n">
        <f aca="false">Inputs_Banks!$AO14*MIN(1,p_cp_base+p_cp_pan*$CD$50+p_cp_notch*G55)</f>
        <v>5.98</v>
      </c>
      <c r="P55" s="35" t="n">
        <f aca="false">Inputs_Banks!$AN14*(p_dh+p_dh_pan*$CD$50+MIN(1,0.5*$CD$57+0.25*G55))</f>
        <v>0.8013915</v>
      </c>
      <c r="Q55" s="35" t="n">
        <f aca="false">Modules!$Y14</f>
        <v>19.9439417</v>
      </c>
      <c r="R55" s="35" t="n">
        <f aca="false">Inputs_Banks!$AJ14*K55</f>
        <v>0</v>
      </c>
      <c r="S55" s="35" t="n">
        <f aca="false">p_liq_on*$CD$58*SUM($M$47:$M$70)*R55/MAX(0.000000001,SUM($R$47:$R$70))</f>
        <v>0</v>
      </c>
      <c r="T55" s="35" t="n">
        <f aca="false">p_liq_on*(L55+M55+N55+O55+P55+Q55)</f>
        <v>207.6981332</v>
      </c>
      <c r="U55" s="35" t="n">
        <f aca="false">g_usable*Inputs_Banks!$AG14+p_cb_on*Inputs_Banks!$AQ14+S55</f>
        <v>133.1275</v>
      </c>
      <c r="V55" s="35" t="n">
        <f aca="false">MAX(0,T55-U55)</f>
        <v>74.5706332</v>
      </c>
      <c r="W55" s="44" t="n">
        <f aca="false">IF(V55&gt;0.9*Inputs_Banks!$BB14,1,0)</f>
        <v>1</v>
      </c>
      <c r="X55" s="43" t="n">
        <f aca="false">MAX(p_htm_forced,(1-p_cb_on)*MIN(1,T55/Inputs_Banks!$AG14)*g_theta_sell)</f>
        <v>0.25</v>
      </c>
      <c r="Y55" s="35" t="n">
        <f aca="false">MAX(0,Modules!$V14-B55/(Inputs_Banks!$I14+g_del_buf))</f>
        <v>354.870535376746</v>
      </c>
      <c r="Z55" s="35" t="n">
        <f aca="false">MIN(g_del_cap*Inputs_Banks!$BB14,Y55)</f>
        <v>1.1025</v>
      </c>
      <c r="AA55" s="35" t="n">
        <f aca="false">MIN(Inputs_Banks!$BB14,V55+Z55)</f>
        <v>4.41</v>
      </c>
      <c r="AB55" s="35" t="n">
        <f aca="false">$AA55*Holdings!Q14</f>
        <v>0</v>
      </c>
      <c r="AC55" s="35" t="n">
        <f aca="false">$AA55*Holdings!R14</f>
        <v>0</v>
      </c>
      <c r="AD55" s="35" t="n">
        <f aca="false">$AA55*Holdings!S14</f>
        <v>0</v>
      </c>
      <c r="AE55" s="35" t="n">
        <f aca="false">$AA55*Holdings!T14</f>
        <v>0.34</v>
      </c>
      <c r="AF55" s="35" t="n">
        <f aca="false">$AA55*Holdings!U14</f>
        <v>0</v>
      </c>
      <c r="AG55" s="35" t="n">
        <f aca="false">$AA55*Holdings!V14</f>
        <v>0</v>
      </c>
      <c r="AH55" s="35" t="n">
        <f aca="false">$AA55*Holdings!W14</f>
        <v>0.17</v>
      </c>
      <c r="AI55" s="35" t="n">
        <f aca="false">$AA55*Holdings!X14</f>
        <v>0</v>
      </c>
      <c r="AJ55" s="35" t="n">
        <f aca="false">$AA55*Holdings!Y14</f>
        <v>1.28</v>
      </c>
      <c r="AK55" s="35" t="n">
        <f aca="false">$AA55*Holdings!Z14</f>
        <v>0</v>
      </c>
      <c r="AL55" s="35" t="n">
        <f aca="false">$AA55*Holdings!AA14</f>
        <v>0</v>
      </c>
      <c r="AM55" s="35" t="n">
        <f aca="false">$AA55*Holdings!AB14</f>
        <v>0</v>
      </c>
      <c r="AN55" s="35" t="n">
        <f aca="false">$AA55*Holdings!AC14</f>
        <v>2.62</v>
      </c>
      <c r="AO55" s="43" t="n">
        <f aca="false">MIN(1,$CD$57+0.5*G55)</f>
        <v>1</v>
      </c>
      <c r="AP55" s="35" t="n">
        <f aca="false">p_liq_on*Inputs_Banks!$AP14*AO55*p_mb_psi</f>
        <v>0.03</v>
      </c>
      <c r="AQ55" s="44" t="n">
        <f aca="false">MAX(F55,E55,W55*(1-p_cb_on))</f>
        <v>1</v>
      </c>
      <c r="AR55" s="35" t="n">
        <f aca="false">p_ib_on*p_lgd_ib*g_s_in*g_u_ib*SUMPRODUCT(Network!K$6:K$29,$AQ$47:$AQ$70)</f>
        <v>0.294688252269297</v>
      </c>
      <c r="AS55" s="35" t="n">
        <f aca="false">p_sw_M1*(SUMPRODUCT(BDC_EAD!K$106:K$127,$BF$47:$BF$68)+SUMPRODUCT(BDC_EAD!K$131:K$152,$BG$47:$BG$68)+(Inputs_Banks!$Y14+p_ccf_bl*Inputs_Banks!$Z14)*$CD$70+Modules!$E14)</f>
        <v>29.6250912216605</v>
      </c>
      <c r="AT55" s="35" t="n">
        <f aca="false">p_sw_M3*(Inputs_Banks!$U14+p_ccf_abf*Inputs_Banks!$V14)*$CD$71</f>
        <v>0</v>
      </c>
      <c r="AU55" s="35" t="n">
        <f aca="false">p_sw_M10*Inputs_Banks!$AC14*$CD$72</f>
        <v>0</v>
      </c>
      <c r="AV55" s="35" t="n">
        <f aca="false">p_sw_M8*(Modules!$M14+Modules!$N14*IF(p_liq_on&gt;0,X55,p_htm_forced))</f>
        <v>4.33808375</v>
      </c>
      <c r="AW55" s="35" t="n">
        <f aca="false">SUMPRODUCT(Holdings!$C14:$O14,Holdings!$C$32:$O$32,$AB$72:$AN$72)+Inputs_Banks!$P14*$AL$72</f>
        <v>0.398377957159353</v>
      </c>
      <c r="AX55" s="35" t="n">
        <f aca="false">Modules!$T14+AS55+AT55+AU55+AV55+AW55+AR55</f>
        <v>38.7409161810891</v>
      </c>
      <c r="AY55" s="35" t="n">
        <f aca="false">Modules!$U14-(1-p_tax)*AX55</f>
        <v>7.55908381891089</v>
      </c>
      <c r="AZ55" s="39" t="n">
        <f aca="false">AY55/Modules!$V14</f>
        <v>0.016209244289432</v>
      </c>
      <c r="BA55" s="48" t="s">
        <v>644</v>
      </c>
      <c r="BB55" s="43" t="n">
        <f aca="false">INDEX($BJ$47:$BJ$80,BDC_EAD!$B14)</f>
        <v>0.440432081141748</v>
      </c>
      <c r="BC55" s="43" t="n">
        <f aca="false">INDEX($BK$47:$BK$80,BDC_EAD!$B14)</f>
        <v>0.0593587763915524</v>
      </c>
      <c r="BD55" s="22" t="n">
        <f aca="false">INDEX(BDC!$Q$6:$Q$39,BDC_EAD!$B14)</f>
        <v>0.198013452914798</v>
      </c>
      <c r="BE55" s="43" t="n">
        <f aca="false">BB55*(1-$AK$72)-BC55-p_c_liq</f>
        <v>0.132878868236409</v>
      </c>
      <c r="BF55" s="43" t="n">
        <f aca="false">p_phi*MAX(0,p_a_spv-BE55)/p_a_spv+(1-p_phi)*MAX(0,p_a_spv-BB55)/p_a_spv</f>
        <v>0.722300698832176</v>
      </c>
      <c r="BG55" s="43" t="n">
        <f aca="false">IF(BD55&gt;0,p_phi*MAX(0,BD55-BE55)/BD55+(1-p_phi)*MAX(0,BD55-BB55)/BD55,0)</f>
        <v>0.26315215949056</v>
      </c>
      <c r="BI55" s="12" t="str">
        <f aca="false">BDC!$A$14</f>
        <v>OTF</v>
      </c>
      <c r="BJ55" s="43" t="n">
        <f aca="false">1-((1-BDC!$D$14)*$CD$63+BDC!$D$14*$CD$64)-p_gap-$CD$53*(1-BDC!$M$14)</f>
        <v>0.261914595446638</v>
      </c>
      <c r="BK55" s="43" t="n">
        <f aca="false">(1-BDC!$D$14)*$CD$65+BDC!$D$14*$CD$66</f>
        <v>0.0568250746624367</v>
      </c>
      <c r="BL55" s="45" t="n">
        <f aca="false">BJ55/BDC!$K$14</f>
        <v>0.537614169600993</v>
      </c>
      <c r="BM55" s="35" t="n">
        <f aca="false">IF(BL55&lt;1.5,BDC!$C$14,0)</f>
        <v>14.68</v>
      </c>
      <c r="BN55" s="43" t="n">
        <f aca="false">MAX(0,1-BJ55*(1-CE_mig_hc)-p_bb_cush)*BDC!$Q$14</f>
        <v>0.230311529202363</v>
      </c>
      <c r="BO55" s="43" t="n">
        <f aca="false">MAX(0,BDC!$K$14-BJ55/1.5)</f>
        <v>0.312569756881729</v>
      </c>
      <c r="BP55" s="43" t="n">
        <f aca="false">MIN(MIN(1,BDC!$H$14*$CD$56),$CD$55)</f>
        <v>0</v>
      </c>
      <c r="BQ55" s="43" t="n">
        <f aca="false">BDC!$I$14*BDC!$J$14*BP55*(1-0.3)</f>
        <v>0</v>
      </c>
      <c r="BR55" s="45" t="n">
        <f aca="false">BDC!$C$14*($CD$54*MAX(BN55,BO55)+BQ55)</f>
        <v>4.58852403102378</v>
      </c>
      <c r="CC55" s="10" t="s">
        <v>981</v>
      </c>
      <c r="CD55" s="43" t="n">
        <f aca="false">p_red_rate+p_red_pan*$CD$50</f>
        <v>0.25</v>
      </c>
    </row>
    <row r="56" customFormat="false" ht="15" hidden="false" customHeight="true" outlineLevel="0" collapsed="false">
      <c r="A56" s="10" t="s">
        <v>514</v>
      </c>
      <c r="B56" s="35" t="n">
        <f aca="false">AY16</f>
        <v>-13.8178806529293</v>
      </c>
      <c r="C56" s="39" t="n">
        <f aca="false">AZ16</f>
        <v>-0.0909981076664115</v>
      </c>
      <c r="D56" s="44" t="n">
        <f aca="false">IF(C56&lt;Inputs_Banks!$I15,1,0)</f>
        <v>1</v>
      </c>
      <c r="E56" s="44" t="n">
        <f aca="false">IF(C56&lt;0.045,1,0)</f>
        <v>1</v>
      </c>
      <c r="F56" s="44" t="n">
        <f aca="false">IF(B56&lt;0,1,0)</f>
        <v>1</v>
      </c>
      <c r="G56" s="44" t="n">
        <f aca="false">MIN(6,MIN(3,INT(MAX(0,Inputs_Banks!$BA15-C56)/p_notch_step))+D56+2*E56)</f>
        <v>6</v>
      </c>
      <c r="H56" s="39" t="n">
        <f aca="false">C56-Inputs_Banks!$I15</f>
        <v>-0.170998107666412</v>
      </c>
      <c r="I56" s="44" t="n">
        <f aca="false">RANK(H56,$H$47:$H$70,1)</f>
        <v>1</v>
      </c>
      <c r="J56" s="44" t="n">
        <f aca="false">MAX(IF(I56&lt;=g_n_weak,1,0),E56)</f>
        <v>1</v>
      </c>
      <c r="K56" s="44" t="n">
        <f aca="false">IF(I56&gt;12,1,0)*(1-E56)</f>
        <v>0</v>
      </c>
      <c r="L56" s="35" t="n">
        <f aca="false">INDEX(Inputs_Banks!$AR15:$AX15,1,G56+1)</f>
        <v>1.65</v>
      </c>
      <c r="M56" s="35" t="n">
        <f aca="false">Inputs_Banks!$AI15*MIN(1,p_u_base+$CD$50*p_u_pan_all+J56*($CD$50*p_u_pan_weak+p_u_mda*D56)+p_u_notch*G56+p_u_fail*E56)</f>
        <v>232.74682</v>
      </c>
      <c r="N56" s="35" t="n">
        <f aca="false">Inputs_Banks!$AK15*MIN(1,p_w_base+p_w_pan*$CD$50+p_w_notch*G56+0.5*D56+1*E56)</f>
        <v>4.372</v>
      </c>
      <c r="O56" s="35" t="n">
        <f aca="false">Inputs_Banks!$AO15*MIN(1,p_cp_base+p_cp_pan*$CD$50+p_cp_notch*G56)</f>
        <v>0</v>
      </c>
      <c r="P56" s="35" t="n">
        <f aca="false">Inputs_Banks!$AN15*(p_dh+p_dh_pan*$CD$50+MIN(1,0.5*$CD$57+0.25*G56))</f>
        <v>0.076848062953995</v>
      </c>
      <c r="Q56" s="35" t="n">
        <f aca="false">Modules!$Y15</f>
        <v>9.3479398</v>
      </c>
      <c r="R56" s="35" t="n">
        <f aca="false">Inputs_Banks!$AJ15*K56</f>
        <v>0</v>
      </c>
      <c r="S56" s="35" t="n">
        <f aca="false">p_liq_on*$CD$58*SUM($M$47:$M$70)*R56/MAX(0.000000001,SUM($R$47:$R$70))</f>
        <v>0</v>
      </c>
      <c r="T56" s="35" t="n">
        <f aca="false">p_liq_on*(L56+M56+N56+O56+P56+Q56)</f>
        <v>248.193607862954</v>
      </c>
      <c r="U56" s="35" t="n">
        <f aca="false">g_usable*Inputs_Banks!$AG15+p_cb_on*Inputs_Banks!$AQ15+S56</f>
        <v>131.22555</v>
      </c>
      <c r="V56" s="35" t="n">
        <f aca="false">MAX(0,T56-U56)</f>
        <v>116.968057862954</v>
      </c>
      <c r="W56" s="44" t="n">
        <f aca="false">IF(V56&gt;0.9*Inputs_Banks!$BB15,1,0)</f>
        <v>1</v>
      </c>
      <c r="X56" s="43" t="n">
        <f aca="false">MAX(p_htm_forced,(1-p_cb_on)*MIN(1,T56/Inputs_Banks!$AG15)*g_theta_sell)</f>
        <v>0.25</v>
      </c>
      <c r="Y56" s="35" t="n">
        <f aca="false">MAX(0,Modules!$V15-B56/(Inputs_Banks!$I15+g_del_buf))</f>
        <v>314.411301799168</v>
      </c>
      <c r="Z56" s="35" t="n">
        <f aca="false">MIN(g_del_cap*Inputs_Banks!$BB15,Y56)</f>
        <v>4.0175</v>
      </c>
      <c r="AA56" s="35" t="n">
        <f aca="false">MIN(Inputs_Banks!$BB15,V56+Z56)</f>
        <v>16.07</v>
      </c>
      <c r="AB56" s="35" t="n">
        <f aca="false">$AA56*Holdings!Q15</f>
        <v>0</v>
      </c>
      <c r="AC56" s="35" t="n">
        <f aca="false">$AA56*Holdings!R15</f>
        <v>0</v>
      </c>
      <c r="AD56" s="35" t="n">
        <f aca="false">$AA56*Holdings!S15</f>
        <v>0</v>
      </c>
      <c r="AE56" s="35" t="n">
        <f aca="false">$AA56*Holdings!T15</f>
        <v>0.03</v>
      </c>
      <c r="AF56" s="35" t="n">
        <f aca="false">$AA56*Holdings!U15</f>
        <v>0.12</v>
      </c>
      <c r="AG56" s="35" t="n">
        <f aca="false">$AA56*Holdings!V15</f>
        <v>0</v>
      </c>
      <c r="AH56" s="35" t="n">
        <f aca="false">$AA56*Holdings!W15</f>
        <v>0</v>
      </c>
      <c r="AI56" s="35" t="n">
        <f aca="false">$AA56*Holdings!X15</f>
        <v>4.01</v>
      </c>
      <c r="AJ56" s="35" t="n">
        <f aca="false">$AA56*Holdings!Y15</f>
        <v>11.79</v>
      </c>
      <c r="AK56" s="35" t="n">
        <f aca="false">$AA56*Holdings!Z15</f>
        <v>0</v>
      </c>
      <c r="AL56" s="35" t="n">
        <f aca="false">$AA56*Holdings!AA15</f>
        <v>0</v>
      </c>
      <c r="AM56" s="35" t="n">
        <f aca="false">$AA56*Holdings!AB15</f>
        <v>0</v>
      </c>
      <c r="AN56" s="35" t="n">
        <f aca="false">$AA56*Holdings!AC15</f>
        <v>0.12</v>
      </c>
      <c r="AO56" s="43" t="n">
        <f aca="false">MIN(1,$CD$57+0.5*G56)</f>
        <v>1</v>
      </c>
      <c r="AP56" s="35" t="n">
        <f aca="false">p_liq_on*Inputs_Banks!$AP15*AO56*p_mb_psi</f>
        <v>0</v>
      </c>
      <c r="AQ56" s="44" t="n">
        <f aca="false">MAX(F56,E56,W56*(1-p_cb_on))</f>
        <v>1</v>
      </c>
      <c r="AR56" s="35" t="n">
        <f aca="false">p_ib_on*p_lgd_ib*g_s_in*g_u_ib*SUMPRODUCT(Network!L$6:L$29,$AQ$47:$AQ$70)</f>
        <v>1.63215849496</v>
      </c>
      <c r="AS56" s="35" t="n">
        <f aca="false">p_sw_M1*(SUMPRODUCT(BDC_EAD!L$106:L$127,$BF$47:$BF$68)+SUMPRODUCT(BDC_EAD!L$131:L$152,$BG$47:$BG$68)+(Inputs_Banks!$Y15+p_ccf_bl*Inputs_Banks!$Z15)*$CD$70+Modules!$E15)</f>
        <v>21.1544650700422</v>
      </c>
      <c r="AT56" s="35" t="n">
        <f aca="false">p_sw_M3*(Inputs_Banks!$U15+p_ccf_abf*Inputs_Banks!$V15)*$CD$71</f>
        <v>0</v>
      </c>
      <c r="AU56" s="35" t="n">
        <f aca="false">p_sw_M10*Inputs_Banks!$AC15*$CD$72</f>
        <v>0</v>
      </c>
      <c r="AV56" s="35" t="n">
        <f aca="false">p_sw_M8*(Modules!$M15+Modules!$N15*IF(p_liq_on&gt;0,X56,p_htm_forced))</f>
        <v>3.383275</v>
      </c>
      <c r="AW56" s="35" t="n">
        <f aca="false">SUMPRODUCT(Holdings!$C15:$O15,Holdings!$C$32:$O$32,$AB$72:$AN$72)+Inputs_Banks!$P15*$AL$72</f>
        <v>2.45557327739965</v>
      </c>
      <c r="AX56" s="35" t="n">
        <f aca="false">Modules!$T15+AS56+AT56+AU56+AV56+AW56+AR56</f>
        <v>31.0893418424019</v>
      </c>
      <c r="AY56" s="35" t="n">
        <f aca="false">Modules!$U15-(1-p_tax)*AX56</f>
        <v>-15.6893418424019</v>
      </c>
      <c r="AZ56" s="39" t="n">
        <f aca="false">AY56/Modules!$V15</f>
        <v>-0.103322676903231</v>
      </c>
      <c r="BA56" s="48" t="s">
        <v>654</v>
      </c>
      <c r="BB56" s="43" t="n">
        <f aca="false">INDEX($BJ$47:$BJ$80,BDC_EAD!$B15)</f>
        <v>0.402673902876419</v>
      </c>
      <c r="BC56" s="43" t="n">
        <f aca="false">INDEX($BK$47:$BK$80,BDC_EAD!$B15)</f>
        <v>0.0617434368424848</v>
      </c>
      <c r="BD56" s="22" t="n">
        <f aca="false">INDEX(BDC!$Q$6:$Q$39,BDC_EAD!$B15)</f>
        <v>0.211491525423729</v>
      </c>
      <c r="BE56" s="43" t="n">
        <f aca="false">BB56*(1-$AK$72)-BC56-p_c_liq</f>
        <v>0.109727209739546</v>
      </c>
      <c r="BF56" s="43" t="n">
        <f aca="false">p_phi*MAX(0,p_a_spv-BE56)/p_a_spv+(1-p_phi)*MAX(0,p_a_spv-BB56)/p_a_spv</f>
        <v>0.759547788047257</v>
      </c>
      <c r="BG56" s="43" t="n">
        <f aca="false">IF(BD56&gt;0,p_phi*MAX(0,BD56-BE56)/BD56+(1-p_phi)*MAX(0,BD56-BB56)/BD56,0)</f>
        <v>0.384939549630826</v>
      </c>
      <c r="BI56" s="12" t="str">
        <f aca="false">BDC!$A$15</f>
        <v>BXSL</v>
      </c>
      <c r="BJ56" s="43" t="n">
        <f aca="false">1-((1-BDC!$D$15)*$CD$63+BDC!$D$15*$CD$64)-p_gap-$CD$53*(1-BDC!$M$15)</f>
        <v>0.48930871061707</v>
      </c>
      <c r="BK56" s="43" t="n">
        <f aca="false">(1-BDC!$D$15)*$CD$65+BDC!$D$15*$CD$66</f>
        <v>0.0620042590793056</v>
      </c>
      <c r="BL56" s="45" t="n">
        <f aca="false">BJ56/BDC!$K$15</f>
        <v>0.874591159921849</v>
      </c>
      <c r="BM56" s="35" t="n">
        <f aca="false">IF(BL56&lt;1.5,BDC!$C$15,0)</f>
        <v>13.36</v>
      </c>
      <c r="BN56" s="43" t="n">
        <f aca="false">MAX(0,1-BJ56*(1-CE_mig_hc)-p_bb_cush)*BDC!$Q$15</f>
        <v>0.0982736463037332</v>
      </c>
      <c r="BO56" s="43" t="n">
        <f aca="false">MAX(0,BDC!$K$15-BJ56/1.5)</f>
        <v>0.23326555856072</v>
      </c>
      <c r="BP56" s="43" t="n">
        <f aca="false">MIN(MIN(1,BDC!$H$15*$CD$56),$CD$55)</f>
        <v>0</v>
      </c>
      <c r="BQ56" s="43" t="n">
        <f aca="false">BDC!$I$15*BDC!$J$15*BP56*(1-0.3)</f>
        <v>0</v>
      </c>
      <c r="BR56" s="45" t="n">
        <f aca="false">BDC!$C$15*($CD$54*MAX(BN56,BO56)+BQ56)</f>
        <v>3.11642786237122</v>
      </c>
      <c r="CC56" s="10" t="s">
        <v>982</v>
      </c>
      <c r="CD56" s="45" t="n">
        <f aca="false">1+p_req_pan*$CD$50</f>
        <v>3</v>
      </c>
    </row>
    <row r="57" customFormat="false" ht="15" hidden="false" customHeight="true" outlineLevel="0" collapsed="false">
      <c r="A57" s="10" t="s">
        <v>516</v>
      </c>
      <c r="B57" s="35" t="n">
        <f aca="false">AY17</f>
        <v>10.5428752793835</v>
      </c>
      <c r="C57" s="39" t="n">
        <f aca="false">AZ17</f>
        <v>0.0508963584722873</v>
      </c>
      <c r="D57" s="44" t="n">
        <f aca="false">IF(C57&lt;Inputs_Banks!$I16,1,0)</f>
        <v>1</v>
      </c>
      <c r="E57" s="44" t="n">
        <f aca="false">IF(C57&lt;0.045,1,0)</f>
        <v>0</v>
      </c>
      <c r="F57" s="44" t="n">
        <f aca="false">IF(B57&lt;0,1,0)</f>
        <v>0</v>
      </c>
      <c r="G57" s="44" t="n">
        <f aca="false">MIN(6,MIN(3,INT(MAX(0,Inputs_Banks!$BA16-C57)/p_notch_step))+D57+2*E57)</f>
        <v>3</v>
      </c>
      <c r="H57" s="39" t="n">
        <f aca="false">C57-Inputs_Banks!$I16</f>
        <v>-0.0341036415277127</v>
      </c>
      <c r="I57" s="44" t="n">
        <f aca="false">RANK(H57,$H$47:$H$70,1)</f>
        <v>17</v>
      </c>
      <c r="J57" s="44" t="n">
        <f aca="false">MAX(IF(I57&lt;=g_n_weak,1,0),E57)</f>
        <v>0</v>
      </c>
      <c r="K57" s="44" t="n">
        <f aca="false">IF(I57&gt;12,1,0)*(1-E57)</f>
        <v>1</v>
      </c>
      <c r="L57" s="35" t="n">
        <f aca="false">INDEX(Inputs_Banks!$AR16:$AX16,1,G57+1)</f>
        <v>0.0594</v>
      </c>
      <c r="M57" s="35" t="n">
        <f aca="false">Inputs_Banks!$AI16*MIN(1,p_u_base+$CD$50*p_u_pan_all+J57*($CD$50*p_u_pan_weak+p_u_mda*D57)+p_u_notch*G57+p_u_fail*E57)</f>
        <v>68.59161</v>
      </c>
      <c r="N57" s="35" t="n">
        <f aca="false">Inputs_Banks!$AK16*MIN(1,p_w_base+p_w_pan*$CD$50+p_w_notch*G57+0.5*D57+1*E57)</f>
        <v>5.217</v>
      </c>
      <c r="O57" s="35" t="n">
        <f aca="false">Inputs_Banks!$AO16*MIN(1,p_cp_base+p_cp_pan*$CD$50+p_cp_notch*G57)</f>
        <v>0</v>
      </c>
      <c r="P57" s="35" t="n">
        <f aca="false">Inputs_Banks!$AN16*(p_dh+p_dh_pan*$CD$50+MIN(1,0.5*$CD$57+0.25*G57))</f>
        <v>5.66399469476295</v>
      </c>
      <c r="Q57" s="35" t="n">
        <f aca="false">Modules!$Y16</f>
        <v>2.4536497</v>
      </c>
      <c r="R57" s="35" t="n">
        <f aca="false">Inputs_Banks!$AJ16*K57</f>
        <v>370.541</v>
      </c>
      <c r="S57" s="35" t="n">
        <f aca="false">p_liq_on*$CD$58*SUM($M$47:$M$70)*R57/MAX(0.000000001,SUM($R$47:$R$70))</f>
        <v>45.2840225508247</v>
      </c>
      <c r="T57" s="35" t="n">
        <f aca="false">p_liq_on*(L57+M57+N57+O57+P57+Q57)</f>
        <v>81.9856543947629</v>
      </c>
      <c r="U57" s="35" t="n">
        <f aca="false">g_usable*Inputs_Banks!$AG16+p_cb_on*Inputs_Banks!$AQ16+S57</f>
        <v>211.984022550825</v>
      </c>
      <c r="V57" s="35" t="n">
        <f aca="false">MAX(0,T57-U57)</f>
        <v>0</v>
      </c>
      <c r="W57" s="44" t="n">
        <f aca="false">IF(V57&gt;0.9*Inputs_Banks!$BB16,1,0)</f>
        <v>0</v>
      </c>
      <c r="X57" s="43" t="n">
        <f aca="false">MAX(p_htm_forced,(1-p_cb_on)*MIN(1,T57/Inputs_Banks!$AG16)*g_theta_sell)</f>
        <v>0.14434094083585</v>
      </c>
      <c r="Y57" s="35" t="n">
        <f aca="false">MAX(0,Modules!$V16-B57/(Inputs_Banks!$I16+g_del_buf))</f>
        <v>90.0009413401835</v>
      </c>
      <c r="Z57" s="35" t="n">
        <f aca="false">MIN(g_del_cap*Inputs_Banks!$BB16,Y57)</f>
        <v>6.73</v>
      </c>
      <c r="AA57" s="35" t="n">
        <f aca="false">MIN(Inputs_Banks!$BB16,V57+Z57)</f>
        <v>6.73</v>
      </c>
      <c r="AB57" s="35" t="n">
        <f aca="false">$AA57*Holdings!Q16</f>
        <v>0</v>
      </c>
      <c r="AC57" s="35" t="n">
        <f aca="false">$AA57*Holdings!R16</f>
        <v>0</v>
      </c>
      <c r="AD57" s="35" t="n">
        <f aca="false">$AA57*Holdings!S16</f>
        <v>0</v>
      </c>
      <c r="AE57" s="35" t="n">
        <f aca="false">$AA57*Holdings!T16</f>
        <v>0.0025</v>
      </c>
      <c r="AF57" s="35" t="n">
        <f aca="false">$AA57*Holdings!U16</f>
        <v>2.1425</v>
      </c>
      <c r="AG57" s="35" t="n">
        <f aca="false">$AA57*Holdings!V16</f>
        <v>0</v>
      </c>
      <c r="AH57" s="35" t="n">
        <f aca="false">$AA57*Holdings!W16</f>
        <v>0</v>
      </c>
      <c r="AI57" s="35" t="n">
        <f aca="false">$AA57*Holdings!X16</f>
        <v>2.2125</v>
      </c>
      <c r="AJ57" s="35" t="n">
        <f aca="false">$AA57*Holdings!Y16</f>
        <v>0.95</v>
      </c>
      <c r="AK57" s="35" t="n">
        <f aca="false">$AA57*Holdings!Z16</f>
        <v>0</v>
      </c>
      <c r="AL57" s="35" t="n">
        <f aca="false">$AA57*Holdings!AA16</f>
        <v>0</v>
      </c>
      <c r="AM57" s="35" t="n">
        <f aca="false">$AA57*Holdings!AB16</f>
        <v>0</v>
      </c>
      <c r="AN57" s="35" t="n">
        <f aca="false">$AA57*Holdings!AC16</f>
        <v>1.4225</v>
      </c>
      <c r="AO57" s="43" t="n">
        <f aca="false">MIN(1,$CD$57+0.5*G57)</f>
        <v>1</v>
      </c>
      <c r="AP57" s="35" t="n">
        <f aca="false">p_liq_on*Inputs_Banks!$AP16*AO57*p_mb_psi</f>
        <v>0.42</v>
      </c>
      <c r="AQ57" s="44" t="n">
        <f aca="false">MAX(F57,E57,W57*(1-p_cb_on))</f>
        <v>0</v>
      </c>
      <c r="AR57" s="35" t="n">
        <f aca="false">p_ib_on*p_lgd_ib*g_s_in*g_u_ib*SUMPRODUCT(Network!M$6:M$29,$AQ$47:$AQ$70)</f>
        <v>1.87017727919108</v>
      </c>
      <c r="AS57" s="35" t="n">
        <f aca="false">p_sw_M1*(SUMPRODUCT(BDC_EAD!M$106:M$127,$BF$47:$BF$68)+SUMPRODUCT(BDC_EAD!M$131:M$152,$BG$47:$BG$68)+(Inputs_Banks!$Y16+p_ccf_bl*Inputs_Banks!$Z16)*$CD$70+Modules!$E16)</f>
        <v>0.407121874997196</v>
      </c>
      <c r="AT57" s="35" t="n">
        <f aca="false">p_sw_M3*(Inputs_Banks!$U16+p_ccf_abf*Inputs_Banks!$V16)*$CD$71</f>
        <v>0</v>
      </c>
      <c r="AU57" s="35" t="n">
        <f aca="false">p_sw_M10*Inputs_Banks!$AC16*$CD$72</f>
        <v>0</v>
      </c>
      <c r="AV57" s="35" t="n">
        <f aca="false">p_sw_M8*(Modules!$M16+Modules!$N16*IF(p_liq_on&gt;0,X57,p_htm_forced))</f>
        <v>3.5269897838154</v>
      </c>
      <c r="AW57" s="35" t="n">
        <f aca="false">SUMPRODUCT(Holdings!$C16:$O16,Holdings!$C$32:$O$32,$AB$72:$AN$72)+Inputs_Banks!$P16*$AL$72</f>
        <v>3.2406063712086</v>
      </c>
      <c r="AX57" s="35" t="n">
        <f aca="false">Modules!$T16+AS57+AT57+AU57+AV57+AW57+AR57</f>
        <v>12.5134248092123</v>
      </c>
      <c r="AY57" s="35" t="n">
        <f aca="false">Modules!$U16-(1-p_tax)*AX57</f>
        <v>8.48657519078773</v>
      </c>
      <c r="AZ57" s="39" t="n">
        <f aca="false">AY57/Modules!$V16</f>
        <v>0.0409694472965074</v>
      </c>
      <c r="BA57" s="48" t="s">
        <v>635</v>
      </c>
      <c r="BB57" s="43" t="n">
        <f aca="false">INDEX($BJ$47:$BJ$80,BDC_EAD!$B16)</f>
        <v>0.412682242137413</v>
      </c>
      <c r="BC57" s="43" t="n">
        <f aca="false">INDEX($BK$47:$BK$80,BDC_EAD!$B16)</f>
        <v>0.0624886432334012</v>
      </c>
      <c r="BD57" s="22" t="n">
        <f aca="false">INDEX(BDC!$Q$6:$Q$39,BDC_EAD!$B16)</f>
        <v>0.274</v>
      </c>
      <c r="BE57" s="43" t="n">
        <f aca="false">BB57*(1-$AK$72)-BC57-p_c_liq</f>
        <v>0.114486589942176</v>
      </c>
      <c r="BF57" s="43" t="n">
        <f aca="false">p_phi*MAX(0,p_a_spv-BE57)/p_a_spv+(1-p_phi)*MAX(0,p_a_spv-BB57)/p_a_spv</f>
        <v>0.751248970883967</v>
      </c>
      <c r="BG57" s="43" t="n">
        <f aca="false">IF(BD57&gt;0,p_phi*MAX(0,BD57-BE57)/BD57+(1-p_phi)*MAX(0,BD57-BB57)/BD57,0)</f>
        <v>0.465732584110435</v>
      </c>
      <c r="BI57" s="12" t="str">
        <f aca="false">BDC!$A$16</f>
        <v>FSK</v>
      </c>
      <c r="BJ57" s="43" t="n">
        <f aca="false">1-((1-BDC!$D$16)*$CD$63+BDC!$D$16*$CD$64)-p_gap-$CD$53*(1-BDC!$M$16)</f>
        <v>0.329896338848212</v>
      </c>
      <c r="BK57" s="43" t="n">
        <f aca="false">(1-BDC!$D$16)*$CD$65+BDC!$D$16*$CD$66</f>
        <v>0.0624513829138554</v>
      </c>
      <c r="BL57" s="45" t="n">
        <f aca="false">BJ57/BDC!$K$16</f>
        <v>0.591718829997586</v>
      </c>
      <c r="BM57" s="35" t="n">
        <f aca="false">IF(BL57&lt;1.5,BDC!$C$16,0)</f>
        <v>11.42</v>
      </c>
      <c r="BN57" s="43" t="n">
        <f aca="false">MAX(0,1-BJ57*(1-CE_mig_hc)-p_bb_cush)*BDC!$Q$16</f>
        <v>0.113991293243687</v>
      </c>
      <c r="BO57" s="43" t="n">
        <f aca="false">MAX(0,BDC!$K$16-BJ57/1.5)</f>
        <v>0.337591231328331</v>
      </c>
      <c r="BP57" s="43" t="n">
        <f aca="false">MIN(MIN(1,BDC!$H$16*$CD$56),$CD$55)</f>
        <v>0</v>
      </c>
      <c r="BQ57" s="43" t="n">
        <f aca="false">BDC!$I$16*BDC!$J$16*BP57*(1-0.3)</f>
        <v>0</v>
      </c>
      <c r="BR57" s="45" t="n">
        <f aca="false">BDC!$C$16*($CD$54*MAX(BN57,BO57)+BQ57)</f>
        <v>3.85529186176954</v>
      </c>
      <c r="CC57" s="10" t="s">
        <v>983</v>
      </c>
      <c r="CD57" s="43" t="n">
        <f aca="false">p_pull_base+p_pull_pan*$CD$50</f>
        <v>1.25</v>
      </c>
    </row>
    <row r="58" customFormat="false" ht="15" hidden="false" customHeight="true" outlineLevel="0" collapsed="false">
      <c r="A58" s="10" t="s">
        <v>518</v>
      </c>
      <c r="B58" s="35" t="n">
        <f aca="false">AY18</f>
        <v>12.0404192572587</v>
      </c>
      <c r="C58" s="39" t="n">
        <f aca="false">AZ18</f>
        <v>0.0603929379702795</v>
      </c>
      <c r="D58" s="44" t="n">
        <f aca="false">IF(C58&lt;Inputs_Banks!$I17,1,0)</f>
        <v>1</v>
      </c>
      <c r="E58" s="44" t="n">
        <f aca="false">IF(C58&lt;0.045,1,0)</f>
        <v>0</v>
      </c>
      <c r="F58" s="44" t="n">
        <f aca="false">IF(B58&lt;0,1,0)</f>
        <v>0</v>
      </c>
      <c r="G58" s="44" t="n">
        <f aca="false">MIN(6,MIN(3,INT(MAX(0,Inputs_Banks!$BA17-C58)/p_notch_step))+D58+2*E58)</f>
        <v>2</v>
      </c>
      <c r="H58" s="39" t="n">
        <f aca="false">C58-Inputs_Banks!$I17</f>
        <v>-0.00960706202972047</v>
      </c>
      <c r="I58" s="44" t="n">
        <f aca="false">RANK(H58,$H$47:$H$70,1)</f>
        <v>22</v>
      </c>
      <c r="J58" s="44" t="n">
        <f aca="false">MAX(IF(I58&lt;=g_n_weak,1,0),E58)</f>
        <v>0</v>
      </c>
      <c r="K58" s="44" t="n">
        <f aca="false">IF(I58&gt;12,1,0)*(1-E58)</f>
        <v>1</v>
      </c>
      <c r="L58" s="35" t="n">
        <f aca="false">INDEX(Inputs_Banks!$AR17:$AX17,1,G58+1)</f>
        <v>0.11828</v>
      </c>
      <c r="M58" s="35" t="n">
        <f aca="false">Inputs_Banks!$AI17*MIN(1,p_u_base+$CD$50*p_u_pan_all+J58*($CD$50*p_u_pan_weak+p_u_mda*D58)+p_u_notch*G58+p_u_fail*E58)</f>
        <v>14.9638</v>
      </c>
      <c r="N58" s="35" t="n">
        <f aca="false">Inputs_Banks!$AK17*MIN(1,p_w_base+p_w_pan*$CD$50+p_w_notch*G58+0.5*D58+1*E58)</f>
        <v>0</v>
      </c>
      <c r="O58" s="35" t="n">
        <f aca="false">Inputs_Banks!$AO17*MIN(1,p_cp_base+p_cp_pan*$CD$50+p_cp_notch*G58)</f>
        <v>0</v>
      </c>
      <c r="P58" s="35" t="n">
        <f aca="false">Inputs_Banks!$AN17*(p_dh+p_dh_pan*$CD$50+MIN(1,0.5*$CD$57+0.25*G58))</f>
        <v>0.020748</v>
      </c>
      <c r="Q58" s="35" t="n">
        <f aca="false">Modules!$Y17</f>
        <v>9.4376065</v>
      </c>
      <c r="R58" s="35" t="n">
        <f aca="false">Inputs_Banks!$AJ17*K58</f>
        <v>173.427</v>
      </c>
      <c r="S58" s="35" t="n">
        <f aca="false">p_liq_on*$CD$58*SUM($M$47:$M$70)*R58/MAX(0.000000001,SUM($R$47:$R$70))</f>
        <v>21.1946105260197</v>
      </c>
      <c r="T58" s="35" t="n">
        <f aca="false">p_liq_on*(L58+M58+N58+O58+P58+Q58)</f>
        <v>24.5404345</v>
      </c>
      <c r="U58" s="35" t="n">
        <f aca="false">g_usable*Inputs_Banks!$AG17+p_cb_on*Inputs_Banks!$AQ17+S58</f>
        <v>86.7236105260197</v>
      </c>
      <c r="V58" s="35" t="n">
        <f aca="false">MAX(0,T58-U58)</f>
        <v>0</v>
      </c>
      <c r="W58" s="44" t="n">
        <f aca="false">IF(V58&gt;0.9*Inputs_Banks!$BB17,1,0)</f>
        <v>0</v>
      </c>
      <c r="X58" s="43" t="n">
        <f aca="false">MAX(p_htm_forced,(1-p_cb_on)*MIN(1,T58/Inputs_Banks!$AG17)*g_theta_sell)</f>
        <v>0.103738732245519</v>
      </c>
      <c r="Y58" s="35" t="n">
        <f aca="false">MAX(0,Modules!$V17-B58/(Inputs_Banks!$I17+g_del_buf))</f>
        <v>38.8290765698841</v>
      </c>
      <c r="Z58" s="35" t="n">
        <f aca="false">MIN(g_del_cap*Inputs_Banks!$BB17,Y58)</f>
        <v>0.04</v>
      </c>
      <c r="AA58" s="35" t="n">
        <f aca="false">MIN(Inputs_Banks!$BB17,V58+Z58)</f>
        <v>0.04</v>
      </c>
      <c r="AB58" s="35" t="n">
        <f aca="false">$AA58*Holdings!Q17</f>
        <v>0</v>
      </c>
      <c r="AC58" s="35" t="n">
        <f aca="false">$AA58*Holdings!R17</f>
        <v>0</v>
      </c>
      <c r="AD58" s="35" t="n">
        <f aca="false">$AA58*Holdings!S17</f>
        <v>0</v>
      </c>
      <c r="AE58" s="35" t="n">
        <f aca="false">$AA58*Holdings!T17</f>
        <v>0.0025</v>
      </c>
      <c r="AF58" s="35" t="n">
        <f aca="false">$AA58*Holdings!U17</f>
        <v>0.0325</v>
      </c>
      <c r="AG58" s="35" t="n">
        <f aca="false">$AA58*Holdings!V17</f>
        <v>0</v>
      </c>
      <c r="AH58" s="35" t="n">
        <f aca="false">$AA58*Holdings!W17</f>
        <v>0</v>
      </c>
      <c r="AI58" s="35" t="n">
        <f aca="false">$AA58*Holdings!X17</f>
        <v>0</v>
      </c>
      <c r="AJ58" s="35" t="n">
        <f aca="false">$AA58*Holdings!Y17</f>
        <v>0.005</v>
      </c>
      <c r="AK58" s="35" t="n">
        <f aca="false">$AA58*Holdings!Z17</f>
        <v>0</v>
      </c>
      <c r="AL58" s="35" t="n">
        <f aca="false">$AA58*Holdings!AA17</f>
        <v>0</v>
      </c>
      <c r="AM58" s="35" t="n">
        <f aca="false">$AA58*Holdings!AB17</f>
        <v>0</v>
      </c>
      <c r="AN58" s="35" t="n">
        <f aca="false">$AA58*Holdings!AC17</f>
        <v>0</v>
      </c>
      <c r="AO58" s="43" t="n">
        <f aca="false">MIN(1,$CD$57+0.5*G58)</f>
        <v>1</v>
      </c>
      <c r="AP58" s="35" t="n">
        <f aca="false">p_liq_on*Inputs_Banks!$AP17*AO58*p_mb_psi</f>
        <v>0</v>
      </c>
      <c r="AQ58" s="44" t="n">
        <f aca="false">MAX(F58,E58,W58*(1-p_cb_on))</f>
        <v>0</v>
      </c>
      <c r="AR58" s="35" t="n">
        <f aca="false">p_ib_on*p_lgd_ib*g_s_in*g_u_ib*SUMPRODUCT(Network!N$6:N$29,$AQ$47:$AQ$70)</f>
        <v>0.127993287244941</v>
      </c>
      <c r="AS58" s="35" t="n">
        <f aca="false">p_sw_M1*(SUMPRODUCT(BDC_EAD!N$106:N$127,$BF$47:$BF$68)+SUMPRODUCT(BDC_EAD!N$131:N$152,$BG$47:$BG$68)+(Inputs_Banks!$Y17+p_ccf_bl*Inputs_Banks!$Z17)*$CD$70+Modules!$E17)</f>
        <v>2.93860692950688</v>
      </c>
      <c r="AT58" s="35" t="n">
        <f aca="false">p_sw_M3*(Inputs_Banks!$U17+p_ccf_abf*Inputs_Banks!$V17)*$CD$71</f>
        <v>0</v>
      </c>
      <c r="AU58" s="35" t="n">
        <f aca="false">p_sw_M10*Inputs_Banks!$AC17*$CD$72</f>
        <v>0</v>
      </c>
      <c r="AV58" s="35" t="n">
        <f aca="false">p_sw_M8*(Modules!$M17+Modules!$N17*IF(p_liq_on&gt;0,X58,p_htm_forced))</f>
        <v>0.326326261781778</v>
      </c>
      <c r="AW58" s="35" t="n">
        <f aca="false">SUMPRODUCT(Holdings!$C17:$O17,Holdings!$C$32:$O$32,$AB$72:$AN$72)+Inputs_Banks!$P17*$AL$72</f>
        <v>0.0406466793024526</v>
      </c>
      <c r="AX58" s="35" t="n">
        <f aca="false">Modules!$T17+AS58+AT58+AU58+AV58+AW58+AR58</f>
        <v>7.93587315783605</v>
      </c>
      <c r="AY58" s="35" t="n">
        <f aca="false">Modules!$U17-(1-p_tax)*AX58</f>
        <v>11.949126842164</v>
      </c>
      <c r="AZ58" s="39" t="n">
        <f aca="false">AY58/Modules!$V17</f>
        <v>0.0599350289021506</v>
      </c>
      <c r="BA58" s="48" t="s">
        <v>651</v>
      </c>
      <c r="BB58" s="43" t="n">
        <f aca="false">INDEX($BJ$47:$BJ$80,BDC_EAD!$B17)</f>
        <v>0.49422228775433</v>
      </c>
      <c r="BC58" s="43" t="n">
        <f aca="false">INDEX($BK$47:$BK$80,BDC_EAD!$B17)</f>
        <v>0.0568250746624367</v>
      </c>
      <c r="BD58" s="22" t="n">
        <f aca="false">INDEX(BDC!$Q$6:$Q$39,BDC_EAD!$B17)</f>
        <v>0.253694581280788</v>
      </c>
      <c r="BE58" s="43" t="n">
        <f aca="false">BB58*(1-$AK$72)-BC58-p_c_liq</f>
        <v>0.164997183602445</v>
      </c>
      <c r="BF58" s="43" t="n">
        <f aca="false">p_phi*MAX(0,p_a_spv-BE58)/p_a_spv+(1-p_phi)*MAX(0,p_a_spv-BB58)/p_a_spv</f>
        <v>0.670225422238826</v>
      </c>
      <c r="BG58" s="43" t="n">
        <f aca="false">IF(BD58&gt;0,p_phi*MAX(0,BD58-BE58)/BD58+(1-p_phi)*MAX(0,BD58-BB58)/BD58,0)</f>
        <v>0.279698201610932</v>
      </c>
      <c r="BI58" s="12" t="str">
        <f aca="false">BDC!$A$17</f>
        <v>GCRED</v>
      </c>
      <c r="BJ58" s="43" t="n">
        <f aca="false">1-((1-BDC!$D$17)*$CD$63+BDC!$D$17*$CD$64)-p_gap-$CD$53*(1-BDC!$M$17)</f>
        <v>0.405048197461641</v>
      </c>
      <c r="BK58" s="43" t="n">
        <f aca="false">(1-BDC!$D$17)*$CD$65+BDC!$D$17*$CD$66</f>
        <v>0.0612217923688434</v>
      </c>
      <c r="BL58" s="45" t="n">
        <f aca="false">BJ58/BDC!$K$17</f>
        <v>0.75726402134133</v>
      </c>
      <c r="BM58" s="35" t="n">
        <f aca="false">IF(BL58&lt;1.5,BDC!$C$17,0)</f>
        <v>9.62</v>
      </c>
      <c r="BN58" s="43" t="n">
        <f aca="false">MAX(0,1-BJ58*(1-CE_mig_hc)-p_bb_cush)*BDC!$Q$17</f>
        <v>0.180836754320013</v>
      </c>
      <c r="BO58" s="43" t="n">
        <f aca="false">MAX(0,BDC!$K$17-BJ58/1.5)</f>
        <v>0.264851589289138</v>
      </c>
      <c r="BP58" s="43" t="n">
        <f aca="false">MIN(MIN(1,BDC!$H$17*$CD$56),$CD$55)</f>
        <v>0.15</v>
      </c>
      <c r="BQ58" s="43" t="n">
        <f aca="false">BDC!$I$17*BDC!$J$17*BP58*(1-0.3)</f>
        <v>0.0488372093023255</v>
      </c>
      <c r="BR58" s="45" t="n">
        <f aca="false">BDC!$C$17*($CD$54*MAX(BN58,BO58)+BQ58)</f>
        <v>3.01768624244988</v>
      </c>
      <c r="CC58" s="10" t="s">
        <v>984</v>
      </c>
      <c r="CD58" s="43" t="n">
        <f aca="false">p_recyc*(1-p_rec_pan*$CD$50)</f>
        <v>0.225</v>
      </c>
    </row>
    <row r="59" customFormat="false" ht="15" hidden="false" customHeight="true" outlineLevel="0" collapsed="false">
      <c r="A59" s="10" t="s">
        <v>520</v>
      </c>
      <c r="B59" s="35" t="n">
        <f aca="false">AY19</f>
        <v>8.16454411947955</v>
      </c>
      <c r="C59" s="39" t="n">
        <f aca="false">AZ19</f>
        <v>0.0426382576062728</v>
      </c>
      <c r="D59" s="44" t="n">
        <f aca="false">IF(C59&lt;Inputs_Banks!$I18,1,0)</f>
        <v>1</v>
      </c>
      <c r="E59" s="44" t="n">
        <f aca="false">IF(C59&lt;0.045,1,0)</f>
        <v>1</v>
      </c>
      <c r="F59" s="44" t="n">
        <f aca="false">IF(B59&lt;0,1,0)</f>
        <v>0</v>
      </c>
      <c r="G59" s="44" t="n">
        <f aca="false">MIN(6,MIN(3,INT(MAX(0,Inputs_Banks!$BA18-C59)/p_notch_step))+D59+2*E59)</f>
        <v>5</v>
      </c>
      <c r="H59" s="39" t="n">
        <f aca="false">C59-Inputs_Banks!$I18</f>
        <v>-0.0473617423937272</v>
      </c>
      <c r="I59" s="44" t="n">
        <f aca="false">RANK(H59,$H$47:$H$70,1)</f>
        <v>14</v>
      </c>
      <c r="J59" s="44" t="n">
        <f aca="false">MAX(IF(I59&lt;=g_n_weak,1,0),E59)</f>
        <v>1</v>
      </c>
      <c r="K59" s="44" t="n">
        <f aca="false">IF(I59&gt;12,1,0)*(1-E59)</f>
        <v>0</v>
      </c>
      <c r="L59" s="35" t="n">
        <f aca="false">INDEX(Inputs_Banks!$AR18:$AX18,1,G59+1)</f>
        <v>0.2565</v>
      </c>
      <c r="M59" s="35" t="n">
        <f aca="false">Inputs_Banks!$AI18*MIN(1,p_u_base+$CD$50*p_u_pan_all+J59*($CD$50*p_u_pan_weak+p_u_mda*D59)+p_u_notch*G59+p_u_fail*E59)</f>
        <v>80.6553</v>
      </c>
      <c r="N59" s="35" t="n">
        <f aca="false">Inputs_Banks!$AK18*MIN(1,p_w_base+p_w_pan*$CD$50+p_w_notch*G59+0.5*D59+1*E59)</f>
        <v>1.159</v>
      </c>
      <c r="O59" s="35" t="n">
        <f aca="false">Inputs_Banks!$AO18*MIN(1,p_cp_base+p_cp_pan*$CD$50+p_cp_notch*G59)</f>
        <v>0</v>
      </c>
      <c r="P59" s="35" t="n">
        <f aca="false">Inputs_Banks!$AN18*(p_dh+p_dh_pan*$CD$50+MIN(1,0.5*$CD$57+0.25*G59))</f>
        <v>0</v>
      </c>
      <c r="Q59" s="35" t="n">
        <f aca="false">Modules!$Y18</f>
        <v>9.1258367</v>
      </c>
      <c r="R59" s="35" t="n">
        <f aca="false">Inputs_Banks!$AJ18*K59</f>
        <v>0</v>
      </c>
      <c r="S59" s="35" t="n">
        <f aca="false">p_liq_on*$CD$58*SUM($M$47:$M$70)*R59/MAX(0.000000001,SUM($R$47:$R$70))</f>
        <v>0</v>
      </c>
      <c r="T59" s="35" t="n">
        <f aca="false">p_liq_on*(L59+M59+N59+O59+P59+Q59)</f>
        <v>91.1966367</v>
      </c>
      <c r="U59" s="35" t="n">
        <f aca="false">g_usable*Inputs_Banks!$AG18+p_cb_on*Inputs_Banks!$AQ18+S59</f>
        <v>82.755</v>
      </c>
      <c r="V59" s="35" t="n">
        <f aca="false">MAX(0,T59-U59)</f>
        <v>8.4416367</v>
      </c>
      <c r="W59" s="44" t="n">
        <f aca="false">IF(V59&gt;0.9*Inputs_Banks!$BB18,1,0)</f>
        <v>1</v>
      </c>
      <c r="X59" s="43" t="n">
        <f aca="false">MAX(p_htm_forced,(1-p_cb_on)*MIN(1,T59/Inputs_Banks!$AG18)*g_theta_sell)</f>
        <v>0.25</v>
      </c>
      <c r="Y59" s="35" t="n">
        <f aca="false">MAX(0,Modules!$V18-B59/(Inputs_Banks!$I18+g_del_buf))</f>
        <v>105.541430321268</v>
      </c>
      <c r="Z59" s="35" t="n">
        <f aca="false">MIN(g_del_cap*Inputs_Banks!$BB18,Y59)</f>
        <v>0.1825</v>
      </c>
      <c r="AA59" s="35" t="n">
        <f aca="false">MIN(Inputs_Banks!$BB18,V59+Z59)</f>
        <v>0.73</v>
      </c>
      <c r="AB59" s="35" t="n">
        <f aca="false">$AA59*Holdings!Q18</f>
        <v>0</v>
      </c>
      <c r="AC59" s="35" t="n">
        <f aca="false">$AA59*Holdings!R18</f>
        <v>0</v>
      </c>
      <c r="AD59" s="35" t="n">
        <f aca="false">$AA59*Holdings!S18</f>
        <v>0</v>
      </c>
      <c r="AE59" s="35" t="n">
        <f aca="false">$AA59*Holdings!T18</f>
        <v>0</v>
      </c>
      <c r="AF59" s="35" t="n">
        <f aca="false">$AA59*Holdings!U18</f>
        <v>0</v>
      </c>
      <c r="AG59" s="35" t="n">
        <f aca="false">$AA59*Holdings!V18</f>
        <v>0</v>
      </c>
      <c r="AH59" s="35" t="n">
        <f aca="false">$AA59*Holdings!W18</f>
        <v>0.15</v>
      </c>
      <c r="AI59" s="35" t="n">
        <f aca="false">$AA59*Holdings!X18</f>
        <v>0.04</v>
      </c>
      <c r="AJ59" s="35" t="n">
        <f aca="false">$AA59*Holdings!Y18</f>
        <v>0.54</v>
      </c>
      <c r="AK59" s="35" t="n">
        <f aca="false">$AA59*Holdings!Z18</f>
        <v>0</v>
      </c>
      <c r="AL59" s="35" t="n">
        <f aca="false">$AA59*Holdings!AA18</f>
        <v>0</v>
      </c>
      <c r="AM59" s="35" t="n">
        <f aca="false">$AA59*Holdings!AB18</f>
        <v>0</v>
      </c>
      <c r="AN59" s="35" t="n">
        <f aca="false">$AA59*Holdings!AC18</f>
        <v>0</v>
      </c>
      <c r="AO59" s="43" t="n">
        <f aca="false">MIN(1,$CD$57+0.5*G59)</f>
        <v>1</v>
      </c>
      <c r="AP59" s="35" t="n">
        <f aca="false">p_liq_on*Inputs_Banks!$AP18*AO59*p_mb_psi</f>
        <v>0</v>
      </c>
      <c r="AQ59" s="44" t="n">
        <f aca="false">MAX(F59,E59,W59*(1-p_cb_on))</f>
        <v>1</v>
      </c>
      <c r="AR59" s="35" t="n">
        <f aca="false">p_ib_on*p_lgd_ib*g_s_in*g_u_ib*SUMPRODUCT(Network!O$6:O$29,$AQ$47:$AQ$70)</f>
        <v>0.12542266204239</v>
      </c>
      <c r="AS59" s="35" t="n">
        <f aca="false">p_sw_M1*(SUMPRODUCT(BDC_EAD!O$106:O$127,$BF$47:$BF$68)+SUMPRODUCT(BDC_EAD!O$131:O$152,$BG$47:$BG$68)+(Inputs_Banks!$Y18+p_ccf_bl*Inputs_Banks!$Z18)*$CD$70+Modules!$E18)</f>
        <v>7.14534260130844</v>
      </c>
      <c r="AT59" s="35" t="n">
        <f aca="false">p_sw_M3*(Inputs_Banks!$U18+p_ccf_abf*Inputs_Banks!$V18)*$CD$71</f>
        <v>0</v>
      </c>
      <c r="AU59" s="35" t="n">
        <f aca="false">p_sw_M10*Inputs_Banks!$AC18*$CD$72</f>
        <v>0</v>
      </c>
      <c r="AV59" s="35" t="n">
        <f aca="false">p_sw_M8*(Modules!$M18+Modules!$N18*IF(p_liq_on&gt;0,X59,p_htm_forced))</f>
        <v>0.93737</v>
      </c>
      <c r="AW59" s="35" t="n">
        <f aca="false">SUMPRODUCT(Holdings!$C18:$O18,Holdings!$C$32:$O$32,$AB$72:$AN$72)+Inputs_Banks!$P18*$AL$72</f>
        <v>0.172630175858069</v>
      </c>
      <c r="AX59" s="35" t="n">
        <f aca="false">Modules!$T18+AS59+AT59+AU59+AV59+AW59+AR59</f>
        <v>11.0180654392089</v>
      </c>
      <c r="AY59" s="35" t="n">
        <f aca="false">Modules!$U18-(1-p_tax)*AX59</f>
        <v>7.6819345607911</v>
      </c>
      <c r="AZ59" s="39" t="n">
        <f aca="false">AY59/Modules!$V18</f>
        <v>0.0401178926740151</v>
      </c>
      <c r="BA59" s="48" t="s">
        <v>648</v>
      </c>
      <c r="BB59" s="43" t="n">
        <f aca="false">INDEX($BJ$47:$BJ$80,BDC_EAD!$B18)</f>
        <v>0.556417298789294</v>
      </c>
      <c r="BC59" s="43" t="n">
        <f aca="false">INDEX($BK$47:$BK$80,BDC_EAD!$B18)</f>
        <v>0.0671461831766285</v>
      </c>
      <c r="BD59" s="22" t="n">
        <f aca="false">INDEX(BDC!$Q$6:$Q$39,BDC_EAD!$B18)</f>
        <v>0.103555555555556</v>
      </c>
      <c r="BE59" s="43" t="n">
        <f aca="false">BB59*(1-$AK$72)-BC59-p_c_liq</f>
        <v>0.188883331157483</v>
      </c>
      <c r="BF59" s="43" t="n">
        <f aca="false">p_phi*MAX(0,p_a_spv-BE59)/p_a_spv+(1-p_phi)*MAX(0,p_a_spv-BB59)/p_a_spv</f>
        <v>0.625156964737364</v>
      </c>
      <c r="BG59" s="43" t="n">
        <f aca="false">IF(BD59&gt;0,p_phi*MAX(0,BD59-BE59)/BD59+(1-p_phi)*MAX(0,BD59-BB59)/BD59,0)</f>
        <v>0</v>
      </c>
      <c r="BI59" s="12" t="str">
        <f aca="false">BDC!$A$18</f>
        <v>SSLP</v>
      </c>
      <c r="BJ59" s="43" t="n">
        <f aca="false">1-((1-BDC!$D$18)*$CD$63+BDC!$D$18*$CD$64)-p_gap-$CD$53*(1-BDC!$M$18)</f>
        <v>0.432216415278359</v>
      </c>
      <c r="BK59" s="43" t="n">
        <f aca="false">(1-BDC!$D$18)*$CD$65+BDC!$D$18*$CD$66</f>
        <v>0.0657302910338874</v>
      </c>
      <c r="BL59" s="45" t="n">
        <f aca="false">BJ59/BDC!$K$18</f>
        <v>0.90717950899084</v>
      </c>
      <c r="BM59" s="35" t="n">
        <f aca="false">IF(BL59&lt;1.5,BDC!$C$18,0)</f>
        <v>8.65</v>
      </c>
      <c r="BN59" s="43" t="n">
        <f aca="false">MAX(0,1-BJ59*(1-CE_mig_hc)-p_bb_cush)*BDC!$Q$18</f>
        <v>0.139067200512426</v>
      </c>
      <c r="BO59" s="43" t="n">
        <f aca="false">MAX(0,BDC!$K$18-BJ59/1.5)</f>
        <v>0.188295513723677</v>
      </c>
      <c r="BP59" s="43" t="n">
        <f aca="false">MIN(MIN(1,BDC!$H$18*$CD$56),$CD$55)</f>
        <v>0</v>
      </c>
      <c r="BQ59" s="43" t="n">
        <f aca="false">BDC!$I$18*BDC!$J$18*BP59*(1-0.3)</f>
        <v>0</v>
      </c>
      <c r="BR59" s="45" t="n">
        <f aca="false">BDC!$C$18*($CD$54*MAX(BN59,BO59)+BQ59)</f>
        <v>1.62875619370981</v>
      </c>
      <c r="CC59" s="10" t="s">
        <v>985</v>
      </c>
      <c r="CD59" s="45" t="n">
        <f aca="false">p_dealer_mult*(1+p_dm_pan*$CD$50)</f>
        <v>10</v>
      </c>
    </row>
    <row r="60" customFormat="false" ht="15" hidden="false" customHeight="true" outlineLevel="0" collapsed="false">
      <c r="A60" s="10" t="s">
        <v>522</v>
      </c>
      <c r="B60" s="35" t="n">
        <f aca="false">AY20</f>
        <v>-0.882660852235318</v>
      </c>
      <c r="C60" s="39" t="n">
        <f aca="false">AZ20</f>
        <v>-0.00168968017851776</v>
      </c>
      <c r="D60" s="44" t="n">
        <f aca="false">IF(C60&lt;Inputs_Banks!$I19,1,0)</f>
        <v>1</v>
      </c>
      <c r="E60" s="44" t="n">
        <f aca="false">IF(C60&lt;0.045,1,0)</f>
        <v>1</v>
      </c>
      <c r="F60" s="44" t="n">
        <f aca="false">IF(B60&lt;0,1,0)</f>
        <v>1</v>
      </c>
      <c r="G60" s="44" t="n">
        <f aca="false">MIN(6,MIN(3,INT(MAX(0,Inputs_Banks!$BA19-C60)/p_notch_step))+D60+2*E60)</f>
        <v>6</v>
      </c>
      <c r="H60" s="39" t="n">
        <f aca="false">C60-Inputs_Banks!$I19</f>
        <v>-0.123689680178518</v>
      </c>
      <c r="I60" s="44" t="n">
        <f aca="false">RANK(H60,$H$47:$H$70,1)</f>
        <v>2</v>
      </c>
      <c r="J60" s="44" t="n">
        <f aca="false">MAX(IF(I60&lt;=g_n_weak,1,0),E60)</f>
        <v>1</v>
      </c>
      <c r="K60" s="44" t="n">
        <f aca="false">IF(I60&gt;12,1,0)*(1-E60)</f>
        <v>0</v>
      </c>
      <c r="L60" s="35" t="n">
        <f aca="false">INDEX(Inputs_Banks!$AR19:$AX19,1,G60+1)</f>
        <v>14.916375</v>
      </c>
      <c r="M60" s="35" t="n">
        <f aca="false">Inputs_Banks!$AI19*MIN(1,p_u_base+$CD$50*p_u_pan_all+J60*($CD$50*p_u_pan_weak+p_u_mda*D60)+p_u_notch*G60+p_u_fail*E60)</f>
        <v>333.3485112849</v>
      </c>
      <c r="N60" s="35" t="n">
        <f aca="false">Inputs_Banks!$AK19*MIN(1,p_w_base+p_w_pan*$CD$50+p_w_notch*G60+0.5*D60+1*E60)</f>
        <v>103.81797</v>
      </c>
      <c r="O60" s="35" t="n">
        <f aca="false">Inputs_Banks!$AO19*MIN(1,p_cp_base+p_cp_pan*$CD$50+p_cp_notch*G60)</f>
        <v>30.26</v>
      </c>
      <c r="P60" s="35" t="n">
        <f aca="false">Inputs_Banks!$AN19*(p_dh+p_dh_pan*$CD$50+MIN(1,0.5*$CD$57+0.25*G60))</f>
        <v>159.617894592383</v>
      </c>
      <c r="Q60" s="35" t="n">
        <f aca="false">Modules!$Y19</f>
        <v>26.8418486</v>
      </c>
      <c r="R60" s="35" t="n">
        <f aca="false">Inputs_Banks!$AJ19*K60</f>
        <v>0</v>
      </c>
      <c r="S60" s="35" t="n">
        <f aca="false">p_liq_on*$CD$58*SUM($M$47:$M$70)*R60/MAX(0.000000001,SUM($R$47:$R$70))</f>
        <v>0</v>
      </c>
      <c r="T60" s="35" t="n">
        <f aca="false">p_liq_on*(L60+M60+N60+O60+P60+Q60)</f>
        <v>668.802599477283</v>
      </c>
      <c r="U60" s="35" t="n">
        <f aca="false">g_usable*Inputs_Banks!$AG19+p_cb_on*Inputs_Banks!$AQ19+S60</f>
        <v>591.841983</v>
      </c>
      <c r="V60" s="35" t="n">
        <f aca="false">MAX(0,T60-U60)</f>
        <v>76.9606164772831</v>
      </c>
      <c r="W60" s="44" t="n">
        <f aca="false">IF(V60&gt;0.9*Inputs_Banks!$BB19,1,0)</f>
        <v>0</v>
      </c>
      <c r="X60" s="43" t="n">
        <f aca="false">MAX(p_htm_forced,(1-p_cb_on)*MIN(1,T60/Inputs_Banks!$AG19)*g_theta_sell)</f>
        <v>0.25</v>
      </c>
      <c r="Y60" s="35" t="n">
        <f aca="false">MAX(0,Modules!$V19-B60/(Inputs_Banks!$I19+g_del_buf))</f>
        <v>529.333471050672</v>
      </c>
      <c r="Z60" s="35" t="n">
        <f aca="false">MIN(g_del_cap*Inputs_Banks!$BB19,Y60)</f>
        <v>55.795</v>
      </c>
      <c r="AA60" s="35" t="n">
        <f aca="false">MIN(Inputs_Banks!$BB19,V60+Z60)</f>
        <v>132.755616477283</v>
      </c>
      <c r="AB60" s="35" t="n">
        <f aca="false">$AA60*Holdings!Q19</f>
        <v>0</v>
      </c>
      <c r="AC60" s="35" t="n">
        <f aca="false">$AA60*Holdings!R19</f>
        <v>0</v>
      </c>
      <c r="AD60" s="35" t="n">
        <f aca="false">$AA60*Holdings!S19</f>
        <v>0</v>
      </c>
      <c r="AE60" s="35" t="n">
        <f aca="false">$AA60*Holdings!T19</f>
        <v>0</v>
      </c>
      <c r="AF60" s="35" t="n">
        <f aca="false">$AA60*Holdings!U19</f>
        <v>35.9935583521839</v>
      </c>
      <c r="AG60" s="35" t="n">
        <f aca="false">$AA60*Holdings!V19</f>
        <v>0</v>
      </c>
      <c r="AH60" s="35" t="n">
        <f aca="false">$AA60*Holdings!W19</f>
        <v>9.66014522623478</v>
      </c>
      <c r="AI60" s="35" t="n">
        <f aca="false">$AA60*Holdings!X19</f>
        <v>0</v>
      </c>
      <c r="AJ60" s="35" t="n">
        <f aca="false">$AA60*Holdings!Y19</f>
        <v>21.2832509972094</v>
      </c>
      <c r="AK60" s="35" t="n">
        <f aca="false">$AA60*Holdings!Z19</f>
        <v>0</v>
      </c>
      <c r="AL60" s="35" t="n">
        <f aca="false">$AA60*Holdings!AA19</f>
        <v>65.6521076736165</v>
      </c>
      <c r="AM60" s="35" t="n">
        <f aca="false">$AA60*Holdings!AB19</f>
        <v>0</v>
      </c>
      <c r="AN60" s="35" t="n">
        <f aca="false">$AA60*Holdings!AC19</f>
        <v>0.166554228038531</v>
      </c>
      <c r="AO60" s="43" t="n">
        <f aca="false">MIN(1,$CD$57+0.5*G60)</f>
        <v>1</v>
      </c>
      <c r="AP60" s="35" t="n">
        <f aca="false">p_liq_on*Inputs_Banks!$AP19*AO60*p_mb_psi</f>
        <v>1.692</v>
      </c>
      <c r="AQ60" s="44" t="n">
        <f aca="false">MAX(F60,E60,W60*(1-p_cb_on))</f>
        <v>1</v>
      </c>
      <c r="AR60" s="35" t="n">
        <f aca="false">p_ib_on*p_lgd_ib*g_s_in*g_u_ib*SUMPRODUCT(Network!P$6:P$29,$AQ$47:$AQ$70)</f>
        <v>3.9803465463568</v>
      </c>
      <c r="AS60" s="35" t="n">
        <f aca="false">p_sw_M1*(SUMPRODUCT(BDC_EAD!P$106:P$127,$BF$47:$BF$68)+SUMPRODUCT(BDC_EAD!P$131:P$152,$BG$47:$BG$68)+(Inputs_Banks!$Y19+p_ccf_bl*Inputs_Banks!$Z19)*$CD$70+Modules!$E19)</f>
        <v>20.643374291426</v>
      </c>
      <c r="AT60" s="35" t="n">
        <f aca="false">p_sw_M3*(Inputs_Banks!$U19+p_ccf_abf*Inputs_Banks!$V19)*$CD$71</f>
        <v>13.8597693702113</v>
      </c>
      <c r="AU60" s="35" t="n">
        <f aca="false">p_sw_M10*Inputs_Banks!$AC19*$CD$72</f>
        <v>0</v>
      </c>
      <c r="AV60" s="35" t="n">
        <f aca="false">p_sw_M8*(Modules!$M19+Modules!$N19*IF(p_liq_on&gt;0,X60,p_htm_forced))</f>
        <v>2.742</v>
      </c>
      <c r="AW60" s="35" t="n">
        <f aca="false">SUMPRODUCT(Holdings!$C19:$O19,Holdings!$C$32:$O$32,$AB$72:$AN$72)+Inputs_Banks!$P19*$AL$72</f>
        <v>15.3774865193046</v>
      </c>
      <c r="AX60" s="35" t="n">
        <f aca="false">Modules!$T19+AS60+AT60+AU60+AV60+AW60+AR60</f>
        <v>75.8309214735707</v>
      </c>
      <c r="AY60" s="35" t="n">
        <f aca="false">Modules!$U19-(1-p_tax)*AX60</f>
        <v>-6.61894147357073</v>
      </c>
      <c r="AZ60" s="39" t="n">
        <f aca="false">AY60/Modules!$V19</f>
        <v>-0.0126706584780991</v>
      </c>
      <c r="BA60" s="48" t="s">
        <v>652</v>
      </c>
      <c r="BB60" s="43" t="n">
        <f aca="false">INDEX($BJ$47:$BJ$80,BDC_EAD!$B19)</f>
        <v>0.363449670124075</v>
      </c>
      <c r="BC60" s="43" t="n">
        <f aca="false">INDEX($BK$47:$BK$80,BDC_EAD!$B19)</f>
        <v>0.0611472717297517</v>
      </c>
      <c r="BD60" s="22" t="n">
        <f aca="false">INDEX(BDC!$Q$6:$Q$39,BDC_EAD!$B19)</f>
        <v>0.238909090909091</v>
      </c>
      <c r="BE60" s="43" t="n">
        <f aca="false">BB60*(1-$AK$72)-BC60-p_c_liq</f>
        <v>0.0887500468384897</v>
      </c>
      <c r="BF60" s="43" t="n">
        <f aca="false">p_phi*MAX(0,p_a_spv-BE60)/p_a_spv+(1-p_phi)*MAX(0,p_a_spv-BB60)/p_a_spv</f>
        <v>0.794728612149133</v>
      </c>
      <c r="BG60" s="43" t="n">
        <f aca="false">IF(BD60&gt;0,p_phi*MAX(0,BD60-BE60)/BD60+(1-p_phi)*MAX(0,BD60-BB60)/BD60,0)</f>
        <v>0.502815672686945</v>
      </c>
      <c r="BI60" s="12" t="str">
        <f aca="false">BDC!$A$19</f>
        <v>GBDC</v>
      </c>
      <c r="BJ60" s="43" t="n">
        <f aca="false">1-((1-BDC!$D$19)*$CD$63+BDC!$D$19*$CD$64)-p_gap-$CD$53*(1-BDC!$M$19)</f>
        <v>0.440432081141748</v>
      </c>
      <c r="BK60" s="43" t="n">
        <f aca="false">(1-BDC!$D$19)*$CD$65+BDC!$D$19*$CD$66</f>
        <v>0.0593587763915524</v>
      </c>
      <c r="BL60" s="45" t="n">
        <f aca="false">BJ60/BDC!$K$19</f>
        <v>0.798506943858616</v>
      </c>
      <c r="BM60" s="35" t="n">
        <f aca="false">IF(BL60&lt;1.5,BDC!$C$19,0)</f>
        <v>8.2</v>
      </c>
      <c r="BN60" s="43" t="n">
        <f aca="false">MAX(0,1-BJ60*(1-CE_mig_hc)-p_bb_cush)*BDC!$Q$19</f>
        <v>0.115814435932283</v>
      </c>
      <c r="BO60" s="43" t="n">
        <f aca="false">MAX(0,BDC!$K$19-BJ60/1.5)</f>
        <v>0.257948119298626</v>
      </c>
      <c r="BP60" s="43" t="n">
        <f aca="false">MIN(MIN(1,BDC!$H$19*$CD$56),$CD$55)</f>
        <v>0</v>
      </c>
      <c r="BQ60" s="43" t="n">
        <f aca="false">BDC!$I$19*BDC!$J$19*BP60*(1-0.3)</f>
        <v>0</v>
      </c>
      <c r="BR60" s="45" t="n">
        <f aca="false">BDC!$C$19*($CD$54*MAX(BN60,BO60)+BQ60)</f>
        <v>2.11517457824873</v>
      </c>
      <c r="CC60" s="10" t="s">
        <v>871</v>
      </c>
      <c r="CD60" s="35" t="n">
        <f aca="false">MIN(1,p_ins_run+p_ins_pan*$CD$50)*(g_fabr+g_fabn_6m)</f>
        <v>47.3</v>
      </c>
    </row>
    <row r="61" customFormat="false" ht="15" hidden="false" customHeight="true" outlineLevel="0" collapsed="false">
      <c r="A61" s="10" t="s">
        <v>525</v>
      </c>
      <c r="B61" s="35" t="n">
        <f aca="false">AY21</f>
        <v>85.5100936458622</v>
      </c>
      <c r="C61" s="39" t="n">
        <f aca="false">AZ21</f>
        <v>0.0873521763405313</v>
      </c>
      <c r="D61" s="44" t="n">
        <f aca="false">IF(C61&lt;Inputs_Banks!$I20,1,0)</f>
        <v>1</v>
      </c>
      <c r="E61" s="44" t="n">
        <f aca="false">IF(C61&lt;0.045,1,0)</f>
        <v>0</v>
      </c>
      <c r="F61" s="44" t="n">
        <f aca="false">IF(B61&lt;0,1,0)</f>
        <v>0</v>
      </c>
      <c r="G61" s="44" t="n">
        <f aca="false">MIN(6,MIN(3,INT(MAX(0,Inputs_Banks!$BA20-C61)/p_notch_step))+D61+2*E61)</f>
        <v>3</v>
      </c>
      <c r="H61" s="39" t="n">
        <f aca="false">C61-Inputs_Banks!$I20</f>
        <v>-0.0246478236594687</v>
      </c>
      <c r="I61" s="44" t="n">
        <f aca="false">RANK(H61,$H$47:$H$70,1)</f>
        <v>18</v>
      </c>
      <c r="J61" s="44" t="n">
        <f aca="false">MAX(IF(I61&lt;=g_n_weak,1,0),E61)</f>
        <v>0</v>
      </c>
      <c r="K61" s="44" t="n">
        <f aca="false">IF(I61&gt;12,1,0)*(1-E61)</f>
        <v>1</v>
      </c>
      <c r="L61" s="35" t="n">
        <f aca="false">INDEX(Inputs_Banks!$AR20:$AX20,1,G61+1)</f>
        <v>0.18</v>
      </c>
      <c r="M61" s="35" t="n">
        <f aca="false">Inputs_Banks!$AI20*MIN(1,p_u_base+$CD$50*p_u_pan_all+J61*($CD$50*p_u_pan_weak+p_u_mda*D61)+p_u_notch*G61+p_u_fail*E61)</f>
        <v>256.5027</v>
      </c>
      <c r="N61" s="35" t="n">
        <f aca="false">Inputs_Banks!$AK20*MIN(1,p_w_base+p_w_pan*$CD$50+p_w_notch*G61+0.5*D61+1*E61)</f>
        <v>0</v>
      </c>
      <c r="O61" s="35" t="n">
        <f aca="false">Inputs_Banks!$AO20*MIN(1,p_cp_base+p_cp_pan*$CD$50+p_cp_notch*G61)</f>
        <v>0</v>
      </c>
      <c r="P61" s="35" t="n">
        <f aca="false">Inputs_Banks!$AN20*(p_dh+p_dh_pan*$CD$50+MIN(1,0.5*$CD$57+0.25*G61))</f>
        <v>143.147499934354</v>
      </c>
      <c r="Q61" s="35" t="n">
        <f aca="false">Modules!$Y20</f>
        <v>5.4922829</v>
      </c>
      <c r="R61" s="35" t="n">
        <f aca="false">Inputs_Banks!$AJ20*K61</f>
        <v>1919.104</v>
      </c>
      <c r="S61" s="35" t="n">
        <f aca="false">p_liq_on*$CD$58*SUM($M$47:$M$70)*R61/MAX(0.000000001,SUM($R$47:$R$70))</f>
        <v>234.534771626832</v>
      </c>
      <c r="T61" s="35" t="n">
        <f aca="false">p_liq_on*(L61+M61+N61+O61+P61+Q61)</f>
        <v>405.322482834354</v>
      </c>
      <c r="U61" s="35" t="n">
        <f aca="false">g_usable*Inputs_Banks!$AG20+p_cb_on*Inputs_Banks!$AQ20+S61</f>
        <v>1019.57067162683</v>
      </c>
      <c r="V61" s="35" t="n">
        <f aca="false">MAX(0,T61-U61)</f>
        <v>0</v>
      </c>
      <c r="W61" s="44" t="n">
        <f aca="false">IF(V61&gt;0.9*Inputs_Banks!$BB20,1,0)</f>
        <v>0</v>
      </c>
      <c r="X61" s="43" t="n">
        <f aca="false">MAX(p_htm_forced,(1-p_cb_on)*MIN(1,T61/Inputs_Banks!$AG20)*g_theta_sell)</f>
        <v>0.14198545923753</v>
      </c>
      <c r="Y61" s="35" t="n">
        <f aca="false">MAX(0,Modules!$V20-B61/(Inputs_Banks!$I20+g_del_buf))</f>
        <v>248.056498753315</v>
      </c>
      <c r="Z61" s="35" t="n">
        <f aca="false">MIN(g_del_cap*Inputs_Banks!$BB20,Y61)</f>
        <v>81.9675</v>
      </c>
      <c r="AA61" s="35" t="n">
        <f aca="false">MIN(Inputs_Banks!$BB20,V61+Z61)</f>
        <v>81.9675</v>
      </c>
      <c r="AB61" s="35" t="n">
        <f aca="false">$AA61*Holdings!Q20</f>
        <v>0</v>
      </c>
      <c r="AC61" s="35" t="n">
        <f aca="false">$AA61*Holdings!R20</f>
        <v>0</v>
      </c>
      <c r="AD61" s="35" t="n">
        <f aca="false">$AA61*Holdings!S20</f>
        <v>0</v>
      </c>
      <c r="AE61" s="35" t="n">
        <f aca="false">$AA61*Holdings!T20</f>
        <v>0</v>
      </c>
      <c r="AF61" s="35" t="n">
        <f aca="false">$AA61*Holdings!U20</f>
        <v>0</v>
      </c>
      <c r="AG61" s="35" t="n">
        <f aca="false">$AA61*Holdings!V20</f>
        <v>0</v>
      </c>
      <c r="AH61" s="35" t="n">
        <f aca="false">$AA61*Holdings!W20</f>
        <v>0</v>
      </c>
      <c r="AI61" s="35" t="n">
        <f aca="false">$AA61*Holdings!X20</f>
        <v>0.0525</v>
      </c>
      <c r="AJ61" s="35" t="n">
        <f aca="false">$AA61*Holdings!Y20</f>
        <v>0.02</v>
      </c>
      <c r="AK61" s="35" t="n">
        <f aca="false">$AA61*Holdings!Z20</f>
        <v>0</v>
      </c>
      <c r="AL61" s="35" t="n">
        <f aca="false">$AA61*Holdings!AA20</f>
        <v>44.0775</v>
      </c>
      <c r="AM61" s="35" t="n">
        <f aca="false">$AA61*Holdings!AB20</f>
        <v>0</v>
      </c>
      <c r="AN61" s="35" t="n">
        <f aca="false">$AA61*Holdings!AC20</f>
        <v>37.8175</v>
      </c>
      <c r="AO61" s="43" t="n">
        <f aca="false">MIN(1,$CD$57+0.5*G61)</f>
        <v>1</v>
      </c>
      <c r="AP61" s="35" t="n">
        <f aca="false">p_liq_on*Inputs_Banks!$AP20*AO61*p_mb_psi</f>
        <v>1.272</v>
      </c>
      <c r="AQ61" s="44" t="n">
        <f aca="false">MAX(F61,E61,W61*(1-p_cb_on))</f>
        <v>0</v>
      </c>
      <c r="AR61" s="35" t="n">
        <f aca="false">p_ib_on*p_lgd_ib*g_s_in*g_u_ib*SUMPRODUCT(Network!Q$6:Q$29,$AQ$47:$AQ$70)</f>
        <v>6.46878662368349</v>
      </c>
      <c r="AS61" s="35" t="n">
        <f aca="false">p_sw_M1*(SUMPRODUCT(BDC_EAD!Q$106:Q$127,$BF$47:$BF$68)+SUMPRODUCT(BDC_EAD!Q$131:Q$152,$BG$47:$BG$68)+(Inputs_Banks!$Y20+p_ccf_bl*Inputs_Banks!$Z20)*$CD$70+Modules!$E20)</f>
        <v>16.3815151661489</v>
      </c>
      <c r="AT61" s="35" t="n">
        <f aca="false">p_sw_M3*(Inputs_Banks!$U20+p_ccf_abf*Inputs_Banks!$V20)*$CD$71</f>
        <v>6.49484142527487</v>
      </c>
      <c r="AU61" s="35" t="n">
        <f aca="false">p_sw_M10*Inputs_Banks!$AC20*$CD$72</f>
        <v>0</v>
      </c>
      <c r="AV61" s="35" t="n">
        <f aca="false">p_sw_M8*(Modules!$M20+Modules!$N20*IF(p_liq_on&gt;0,X61,p_htm_forced))</f>
        <v>4.87915345185631</v>
      </c>
      <c r="AW61" s="35" t="n">
        <f aca="false">SUMPRODUCT(Holdings!$C20:$O20,Holdings!$C$32:$O$32,$AB$72:$AN$72)+Inputs_Banks!$P20*$AL$72</f>
        <v>6.05033977725662</v>
      </c>
      <c r="AX61" s="35" t="n">
        <f aca="false">Modules!$T20+AS61+AT61+AU61+AV61+AW61+AR61</f>
        <v>48.6760181239892</v>
      </c>
      <c r="AY61" s="35" t="n">
        <f aca="false">Modules!$U20-(1-p_tax)*AX61</f>
        <v>79.0239818760108</v>
      </c>
      <c r="AZ61" s="39" t="n">
        <f aca="false">AY61/Modules!$V20</f>
        <v>0.0807263389109652</v>
      </c>
      <c r="BA61" s="48" t="s">
        <v>647</v>
      </c>
      <c r="BB61" s="43" t="n">
        <f aca="false">INDEX($BJ$47:$BJ$80,BDC_EAD!$B20)</f>
        <v>0.401231175123755</v>
      </c>
      <c r="BC61" s="43" t="n">
        <f aca="false">INDEX($BK$47:$BK$80,BDC_EAD!$B20)</f>
        <v>0.0605883669365644</v>
      </c>
      <c r="BD61" s="22" t="n">
        <f aca="false">INDEX(BDC!$Q$6:$Q$39,BDC_EAD!$B20)</f>
        <v>0.244897959183673</v>
      </c>
      <c r="BE61" s="43" t="n">
        <f aca="false">BB61*(1-$AK$72)-BC61-p_c_liq</f>
        <v>0.110088779381501</v>
      </c>
      <c r="BF61" s="43" t="n">
        <f aca="false">p_phi*MAX(0,p_a_spv-BE61)/p_a_spv+(1-p_phi)*MAX(0,p_a_spv-BB61)/p_a_spv</f>
        <v>0.75954677352864</v>
      </c>
      <c r="BG61" s="43" t="n">
        <f aca="false">IF(BD61&gt;0,p_phi*MAX(0,BD61-BE61)/BD61+(1-p_phi)*MAX(0,BD61-BB61)/BD61,0)</f>
        <v>0.44037665402043</v>
      </c>
      <c r="BI61" s="12" t="str">
        <f aca="false">BDC!$A$20</f>
        <v>OSCF</v>
      </c>
      <c r="BJ61" s="43" t="n">
        <f aca="false">1-((1-BDC!$D$20)*$CD$63+BDC!$D$20*$CD$64)-p_gap-$CD$53*(1-BDC!$M$20)</f>
        <v>0.413355834314687</v>
      </c>
      <c r="BK61" s="43" t="n">
        <f aca="false">(1-BDC!$D$20)*$CD$65+BDC!$D$20*$CD$66</f>
        <v>0.0626004241920387</v>
      </c>
      <c r="BL61" s="45" t="n">
        <f aca="false">BJ61/BDC!$K$20</f>
        <v>1.09098834958467</v>
      </c>
      <c r="BM61" s="35" t="n">
        <f aca="false">IF(BL61&lt;1.5,BDC!$C$20,0)</f>
        <v>6.8</v>
      </c>
      <c r="BN61" s="43" t="n">
        <f aca="false">MAX(0,1-BJ61*(1-CE_mig_hc)-p_bb_cush)*BDC!$Q$20</f>
        <v>0.129350577017109</v>
      </c>
      <c r="BO61" s="43" t="n">
        <f aca="false">MAX(0,BDC!$K$20-BJ61/1.5)</f>
        <v>0.103311431367848</v>
      </c>
      <c r="BP61" s="43" t="n">
        <f aca="false">MIN(MIN(1,BDC!$H$20*$CD$56),$CD$55)</f>
        <v>0.114</v>
      </c>
      <c r="BQ61" s="43" t="n">
        <f aca="false">BDC!$I$20*BDC!$J$20*BP61*(1-0.3)</f>
        <v>0.0495652173913043</v>
      </c>
      <c r="BR61" s="45" t="n">
        <f aca="false">BDC!$C$20*($CD$54*MAX(BN61,BO61)+BQ61)</f>
        <v>1.21662740197721</v>
      </c>
      <c r="CC61" s="10" t="s">
        <v>986</v>
      </c>
      <c r="CD61" s="43" t="n">
        <f aca="false">SUMPRODUCT(CreditEngine!$B$6:$B$10,$BU$47:$BU$51)</f>
        <v>0.790768304625863</v>
      </c>
    </row>
    <row r="62" customFormat="false" ht="15" hidden="false" customHeight="true" outlineLevel="0" collapsed="false">
      <c r="A62" s="10" t="s">
        <v>527</v>
      </c>
      <c r="B62" s="35" t="n">
        <f aca="false">AY22</f>
        <v>-3.06826944988806</v>
      </c>
      <c r="C62" s="39" t="n">
        <f aca="false">AZ22</f>
        <v>-0.00677665017217624</v>
      </c>
      <c r="D62" s="44" t="n">
        <f aca="false">IF(C62&lt;Inputs_Banks!$I21,1,0)</f>
        <v>1</v>
      </c>
      <c r="E62" s="44" t="n">
        <f aca="false">IF(C62&lt;0.045,1,0)</f>
        <v>1</v>
      </c>
      <c r="F62" s="44" t="n">
        <f aca="false">IF(B62&lt;0,1,0)</f>
        <v>1</v>
      </c>
      <c r="G62" s="44" t="n">
        <f aca="false">MIN(6,MIN(3,INT(MAX(0,Inputs_Banks!$BA21-C62)/p_notch_step))+D62+2*E62)</f>
        <v>6</v>
      </c>
      <c r="H62" s="39" t="n">
        <f aca="false">C62-Inputs_Banks!$I21</f>
        <v>-0.118776650172176</v>
      </c>
      <c r="I62" s="44" t="n">
        <f aca="false">RANK(H62,$H$47:$H$70,1)</f>
        <v>3</v>
      </c>
      <c r="J62" s="44" t="n">
        <f aca="false">MAX(IF(I62&lt;=g_n_weak,1,0),E62)</f>
        <v>1</v>
      </c>
      <c r="K62" s="44" t="n">
        <f aca="false">IF(I62&gt;12,1,0)*(1-E62)</f>
        <v>0</v>
      </c>
      <c r="L62" s="35" t="n">
        <f aca="false">INDEX(Inputs_Banks!$AR21:$AX21,1,G62+1)</f>
        <v>0.9076515</v>
      </c>
      <c r="M62" s="35" t="n">
        <f aca="false">Inputs_Banks!$AI21*MIN(1,p_u_base+$CD$50*p_u_pan_all+J62*($CD$50*p_u_pan_weak+p_u_mda*D62)+p_u_notch*G62+p_u_fail*E62)</f>
        <v>279.352366202</v>
      </c>
      <c r="N62" s="35" t="n">
        <f aca="false">Inputs_Banks!$AK21*MIN(1,p_w_base+p_w_pan*$CD$50+p_w_notch*G62+0.5*D62+1*E62)</f>
        <v>28.371245</v>
      </c>
      <c r="O62" s="35" t="n">
        <f aca="false">Inputs_Banks!$AO21*MIN(1,p_cp_base+p_cp_pan*$CD$50+p_cp_notch*G62)</f>
        <v>5.15</v>
      </c>
      <c r="P62" s="35" t="n">
        <f aca="false">Inputs_Banks!$AN21*(p_dh+p_dh_pan*$CD$50+MIN(1,0.5*$CD$57+0.25*G62))</f>
        <v>44.8565902707607</v>
      </c>
      <c r="Q62" s="35" t="n">
        <f aca="false">Modules!$Y21</f>
        <v>9.2558384</v>
      </c>
      <c r="R62" s="35" t="n">
        <f aca="false">Inputs_Banks!$AJ21*K62</f>
        <v>0</v>
      </c>
      <c r="S62" s="35" t="n">
        <f aca="false">p_liq_on*$CD$58*SUM($M$47:$M$70)*R62/MAX(0.000000001,SUM($R$47:$R$70))</f>
        <v>0</v>
      </c>
      <c r="T62" s="35" t="n">
        <f aca="false">p_liq_on*(L62+M62+N62+O62+P62+Q62)</f>
        <v>367.893691372761</v>
      </c>
      <c r="U62" s="35" t="n">
        <f aca="false">g_usable*Inputs_Banks!$AG21+p_cb_on*Inputs_Banks!$AQ21+S62</f>
        <v>309.53302303</v>
      </c>
      <c r="V62" s="35" t="n">
        <f aca="false">MAX(0,T62-U62)</f>
        <v>58.3606683427606</v>
      </c>
      <c r="W62" s="44" t="n">
        <f aca="false">IF(V62&gt;0.9*Inputs_Banks!$BB21,1,0)</f>
        <v>0</v>
      </c>
      <c r="X62" s="43" t="n">
        <f aca="false">MAX(p_htm_forced,(1-p_cb_on)*MIN(1,T62/Inputs_Banks!$AG21)*g_theta_sell)</f>
        <v>0.25</v>
      </c>
      <c r="Y62" s="35" t="n">
        <f aca="false">MAX(0,Modules!$V21-B62/(Inputs_Banks!$I21+g_del_buf))</f>
        <v>478.995344412718</v>
      </c>
      <c r="Z62" s="35" t="n">
        <f aca="false">MIN(g_del_cap*Inputs_Banks!$BB21,Y62)</f>
        <v>21.8225</v>
      </c>
      <c r="AA62" s="35" t="n">
        <f aca="false">MIN(Inputs_Banks!$BB21,V62+Z62)</f>
        <v>80.1831683427606</v>
      </c>
      <c r="AB62" s="35" t="n">
        <f aca="false">$AA62*Holdings!Q21</f>
        <v>0</v>
      </c>
      <c r="AC62" s="35" t="n">
        <f aca="false">$AA62*Holdings!R21</f>
        <v>0</v>
      </c>
      <c r="AD62" s="35" t="n">
        <f aca="false">$AA62*Holdings!S21</f>
        <v>0</v>
      </c>
      <c r="AE62" s="35" t="n">
        <f aca="false">$AA62*Holdings!T21</f>
        <v>1.42380468474372</v>
      </c>
      <c r="AF62" s="35" t="n">
        <f aca="false">$AA62*Holdings!U21</f>
        <v>63.4006447361363</v>
      </c>
      <c r="AG62" s="35" t="n">
        <f aca="false">$AA62*Holdings!V21</f>
        <v>0</v>
      </c>
      <c r="AH62" s="35" t="n">
        <f aca="false">$AA62*Holdings!W21</f>
        <v>13.420507383294</v>
      </c>
      <c r="AI62" s="35" t="n">
        <f aca="false">$AA62*Holdings!X21</f>
        <v>0</v>
      </c>
      <c r="AJ62" s="35" t="n">
        <f aca="false">$AA62*Holdings!Y21</f>
        <v>0</v>
      </c>
      <c r="AK62" s="35" t="n">
        <f aca="false">$AA62*Holdings!Z21</f>
        <v>0</v>
      </c>
      <c r="AL62" s="35" t="n">
        <f aca="false">$AA62*Holdings!AA21</f>
        <v>1.93821153858661</v>
      </c>
      <c r="AM62" s="35" t="n">
        <f aca="false">$AA62*Holdings!AB21</f>
        <v>0</v>
      </c>
      <c r="AN62" s="35" t="n">
        <f aca="false">$AA62*Holdings!AC21</f>
        <v>0</v>
      </c>
      <c r="AO62" s="43" t="n">
        <f aca="false">MIN(1,$CD$57+0.5*G62)</f>
        <v>1</v>
      </c>
      <c r="AP62" s="35" t="n">
        <f aca="false">p_liq_on*Inputs_Banks!$AP21*AO62*p_mb_psi</f>
        <v>0</v>
      </c>
      <c r="AQ62" s="44" t="n">
        <f aca="false">MAX(F62,E62,W62*(1-p_cb_on))</f>
        <v>1</v>
      </c>
      <c r="AR62" s="35" t="n">
        <f aca="false">p_ib_on*p_lgd_ib*g_s_in*g_u_ib*SUMPRODUCT(Network!R$6:R$29,$AQ$47:$AQ$70)</f>
        <v>2.40742949502685</v>
      </c>
      <c r="AS62" s="35" t="n">
        <f aca="false">p_sw_M1*(SUMPRODUCT(BDC_EAD!R$106:R$127,$BF$47:$BF$68)+SUMPRODUCT(BDC_EAD!R$131:R$152,$BG$47:$BG$68)+(Inputs_Banks!$Y21+p_ccf_bl*Inputs_Banks!$Z21)*$CD$70+Modules!$E21)</f>
        <v>28.674151775399</v>
      </c>
      <c r="AT62" s="35" t="n">
        <f aca="false">p_sw_M3*(Inputs_Banks!$U21+p_ccf_abf*Inputs_Banks!$V21)*$CD$71</f>
        <v>10.2513739012484</v>
      </c>
      <c r="AU62" s="35" t="n">
        <f aca="false">p_sw_M10*Inputs_Banks!$AC21*$CD$72</f>
        <v>0</v>
      </c>
      <c r="AV62" s="35" t="n">
        <f aca="false">p_sw_M8*(Modules!$M21+Modules!$N21*IF(p_liq_on&gt;0,X62,p_htm_forced))</f>
        <v>2.171</v>
      </c>
      <c r="AW62" s="35" t="n">
        <f aca="false">SUMPRODUCT(Holdings!$C21:$O21,Holdings!$C$32:$O$32,$AB$72:$AN$72)+Inputs_Banks!$P21*$AL$72</f>
        <v>10.1231421886457</v>
      </c>
      <c r="AX62" s="35" t="n">
        <f aca="false">Modules!$T21+AS62+AT62+AU62+AV62+AW62+AR62</f>
        <v>65.0700372231005</v>
      </c>
      <c r="AY62" s="35" t="n">
        <f aca="false">Modules!$U21-(1-p_tax)*AX62</f>
        <v>-6.73030892310052</v>
      </c>
      <c r="AZ62" s="39" t="n">
        <f aca="false">AY62/Modules!$V21</f>
        <v>-0.0148647144155453</v>
      </c>
      <c r="BA62" s="48" t="s">
        <v>659</v>
      </c>
      <c r="BB62" s="43" t="n">
        <f aca="false">INDEX($BJ$47:$BJ$80,BDC_EAD!$B21)</f>
        <v>0.361123826355913</v>
      </c>
      <c r="BC62" s="43" t="n">
        <f aca="false">INDEX($BK$47:$BK$80,BDC_EAD!$B21)</f>
        <v>0.0628985067484052</v>
      </c>
      <c r="BD62" s="22" t="n">
        <f aca="false">INDEX(BDC!$Q$6:$Q$39,BDC_EAD!$B21)</f>
        <v>0.239316017316017</v>
      </c>
      <c r="BE62" s="43" t="n">
        <f aca="false">BB62*(1-$AK$72)-BC62-p_c_liq</f>
        <v>0.085719597747347</v>
      </c>
      <c r="BF62" s="43" t="n">
        <f aca="false">p_phi*MAX(0,p_a_spv-BE62)/p_a_spv+(1-p_phi)*MAX(0,p_a_spv-BB62)/p_a_spv</f>
        <v>0.798856509329914</v>
      </c>
      <c r="BG62" s="43" t="n">
        <f aca="false">IF(BD62&gt;0,p_phi*MAX(0,BD62-BE62)/BD62+(1-p_phi)*MAX(0,BD62-BB62)/BD62,0)</f>
        <v>0.513451364572379</v>
      </c>
      <c r="BI62" s="12" t="str">
        <f aca="false">BDC!$A$21</f>
        <v>PSEC</v>
      </c>
      <c r="BJ62" s="43" t="n">
        <f aca="false">1-((1-BDC!$D$21)*$CD$63+BDC!$D$21*$CD$64)-p_gap-$CD$53*(1-BDC!$M$21)</f>
        <v>0.113624404509291</v>
      </c>
      <c r="BK62" s="43" t="n">
        <f aca="false">(1-BDC!$D$21)*$CD$65+BDC!$D$21*$CD$66</f>
        <v>0.0681894721239115</v>
      </c>
      <c r="BL62" s="45" t="n">
        <f aca="false">BJ62/BDC!$K$21</f>
        <v>0.293980602143086</v>
      </c>
      <c r="BM62" s="35" t="n">
        <f aca="false">IF(BL62&lt;1.5,BDC!$C$21,0)</f>
        <v>6.34</v>
      </c>
      <c r="BN62" s="43" t="n">
        <f aca="false">MAX(0,1-BJ62*(1-CE_mig_hc)-p_bb_cush)*BDC!$Q$21</f>
        <v>0.168253607408428</v>
      </c>
      <c r="BO62" s="43" t="n">
        <f aca="false">MAX(0,BDC!$K$21-BJ62/1.5)</f>
        <v>0.310753464478469</v>
      </c>
      <c r="BP62" s="43" t="n">
        <f aca="false">MIN(MIN(1,BDC!$H$21*$CD$56),$CD$55)</f>
        <v>0</v>
      </c>
      <c r="BQ62" s="43" t="n">
        <f aca="false">BDC!$I$21*BDC!$J$21*BP62*(1-0.3)</f>
        <v>0</v>
      </c>
      <c r="BR62" s="45" t="n">
        <f aca="false">BDC!$C$21*($CD$54*MAX(BN62,BO62)+BQ62)</f>
        <v>1.97017696479349</v>
      </c>
      <c r="CC62" s="10" t="s">
        <v>987</v>
      </c>
      <c r="CD62" s="43" t="n">
        <f aca="false">SUMPRODUCT(CreditEngine!$B$6:$B$10,$BV$47:$BV$51)</f>
        <v>0.924318714457984</v>
      </c>
    </row>
    <row r="63" customFormat="false" ht="15" hidden="false" customHeight="true" outlineLevel="0" collapsed="false">
      <c r="A63" s="10" t="s">
        <v>530</v>
      </c>
      <c r="B63" s="35" t="n">
        <f aca="false">AY23</f>
        <v>48.8513956730853</v>
      </c>
      <c r="C63" s="39" t="n">
        <f aca="false">AZ23</f>
        <v>0.0498349573281984</v>
      </c>
      <c r="D63" s="44" t="n">
        <f aca="false">IF(C63&lt;Inputs_Banks!$I22,1,0)</f>
        <v>1</v>
      </c>
      <c r="E63" s="44" t="n">
        <f aca="false">IF(C63&lt;0.045,1,0)</f>
        <v>0</v>
      </c>
      <c r="F63" s="44" t="n">
        <f aca="false">IF(B63&lt;0,1,0)</f>
        <v>0</v>
      </c>
      <c r="G63" s="44" t="n">
        <f aca="false">MIN(6,MIN(3,INT(MAX(0,Inputs_Banks!$BA22-C63)/p_notch_step))+D63+2*E63)</f>
        <v>4</v>
      </c>
      <c r="H63" s="39" t="n">
        <f aca="false">C63-Inputs_Banks!$I22</f>
        <v>-0.0544650426718016</v>
      </c>
      <c r="I63" s="44" t="n">
        <f aca="false">RANK(H63,$H$47:$H$70,1)</f>
        <v>11</v>
      </c>
      <c r="J63" s="44" t="n">
        <f aca="false">MAX(IF(I63&lt;=g_n_weak,1,0),E63)</f>
        <v>0</v>
      </c>
      <c r="K63" s="44" t="n">
        <f aca="false">IF(I63&gt;12,1,0)*(1-E63)</f>
        <v>0</v>
      </c>
      <c r="L63" s="35" t="n">
        <f aca="false">INDEX(Inputs_Banks!$AR22:$AX22,1,G63+1)</f>
        <v>1.963724</v>
      </c>
      <c r="M63" s="35" t="n">
        <f aca="false">Inputs_Banks!$AI22*MIN(1,p_u_base+$CD$50*p_u_pan_all+J63*($CD$50*p_u_pan_weak+p_u_mda*D63)+p_u_notch*G63+p_u_fail*E63)</f>
        <v>180.233077626</v>
      </c>
      <c r="N63" s="35" t="n">
        <f aca="false">Inputs_Banks!$AK22*MIN(1,p_w_base+p_w_pan*$CD$50+p_w_notch*G63+0.5*D63+1*E63)</f>
        <v>28.3758118</v>
      </c>
      <c r="O63" s="35" t="n">
        <f aca="false">Inputs_Banks!$AO22*MIN(1,p_cp_base+p_cp_pan*$CD$50+p_cp_notch*G63)</f>
        <v>6.01</v>
      </c>
      <c r="P63" s="35" t="n">
        <f aca="false">Inputs_Banks!$AN22*(p_dh+p_dh_pan*$CD$50+MIN(1,0.5*$CD$57+0.25*G63))</f>
        <v>327.022854105455</v>
      </c>
      <c r="Q63" s="35" t="n">
        <f aca="false">Modules!$Y22</f>
        <v>9.7948712</v>
      </c>
      <c r="R63" s="35" t="n">
        <f aca="false">Inputs_Banks!$AJ22*K63</f>
        <v>0</v>
      </c>
      <c r="S63" s="35" t="n">
        <f aca="false">p_liq_on*$CD$58*SUM($M$47:$M$70)*R63/MAX(0.000000001,SUM($R$47:$R$70))</f>
        <v>0</v>
      </c>
      <c r="T63" s="35" t="n">
        <f aca="false">p_liq_on*(L63+M63+N63+O63+P63+Q63)</f>
        <v>553.400338731455</v>
      </c>
      <c r="U63" s="35" t="n">
        <f aca="false">g_usable*Inputs_Banks!$AG22+p_cb_on*Inputs_Banks!$AQ22+S63</f>
        <v>714.7042</v>
      </c>
      <c r="V63" s="35" t="n">
        <f aca="false">MAX(0,T63-U63)</f>
        <v>0</v>
      </c>
      <c r="W63" s="44" t="n">
        <f aca="false">IF(V63&gt;0.9*Inputs_Banks!$BB22,1,0)</f>
        <v>0</v>
      </c>
      <c r="X63" s="43" t="n">
        <f aca="false">MAX(p_htm_forced,(1-p_cb_on)*MIN(1,T63/Inputs_Banks!$AG22)*g_theta_sell)</f>
        <v>0.25</v>
      </c>
      <c r="Y63" s="35" t="n">
        <f aca="false">MAX(0,Modules!$V22-B63/(Inputs_Banks!$I22+g_del_buf))</f>
        <v>533.315809633254</v>
      </c>
      <c r="Z63" s="35" t="n">
        <f aca="false">MIN(g_del_cap*Inputs_Banks!$BB22,Y63)</f>
        <v>88.1275</v>
      </c>
      <c r="AA63" s="35" t="n">
        <f aca="false">MIN(Inputs_Banks!$BB22,V63+Z63)</f>
        <v>88.1275</v>
      </c>
      <c r="AB63" s="35" t="n">
        <f aca="false">$AA63*Holdings!Q22</f>
        <v>0</v>
      </c>
      <c r="AC63" s="35" t="n">
        <f aca="false">$AA63*Holdings!R22</f>
        <v>0</v>
      </c>
      <c r="AD63" s="35" t="n">
        <f aca="false">$AA63*Holdings!S22</f>
        <v>0</v>
      </c>
      <c r="AE63" s="35" t="n">
        <f aca="false">$AA63*Holdings!T22</f>
        <v>0</v>
      </c>
      <c r="AF63" s="35" t="n">
        <f aca="false">$AA63*Holdings!U22</f>
        <v>36.3325</v>
      </c>
      <c r="AG63" s="35" t="n">
        <f aca="false">$AA63*Holdings!V22</f>
        <v>0</v>
      </c>
      <c r="AH63" s="35" t="n">
        <f aca="false">$AA63*Holdings!W22</f>
        <v>3.365</v>
      </c>
      <c r="AI63" s="35" t="n">
        <f aca="false">$AA63*Holdings!X22</f>
        <v>0</v>
      </c>
      <c r="AJ63" s="35" t="n">
        <f aca="false">$AA63*Holdings!Y22</f>
        <v>0</v>
      </c>
      <c r="AK63" s="35" t="n">
        <f aca="false">$AA63*Holdings!Z22</f>
        <v>0</v>
      </c>
      <c r="AL63" s="35" t="n">
        <f aca="false">$AA63*Holdings!AA22</f>
        <v>48.43</v>
      </c>
      <c r="AM63" s="35" t="n">
        <f aca="false">$AA63*Holdings!AB22</f>
        <v>0</v>
      </c>
      <c r="AN63" s="35" t="n">
        <f aca="false">$AA63*Holdings!AC22</f>
        <v>0</v>
      </c>
      <c r="AO63" s="43" t="n">
        <f aca="false">MIN(1,$CD$57+0.5*G63)</f>
        <v>1</v>
      </c>
      <c r="AP63" s="35" t="n">
        <f aca="false">p_liq_on*Inputs_Banks!$AP22*AO63*p_mb_psi</f>
        <v>11.592</v>
      </c>
      <c r="AQ63" s="44" t="n">
        <f aca="false">MAX(F63,E63,W63*(1-p_cb_on))</f>
        <v>0</v>
      </c>
      <c r="AR63" s="35" t="n">
        <f aca="false">p_ib_on*p_lgd_ib*g_s_in*g_u_ib*SUMPRODUCT(Network!S$6:S$29,$AQ$47:$AQ$70)</f>
        <v>8.58923251159663</v>
      </c>
      <c r="AS63" s="35" t="n">
        <f aca="false">p_sw_M1*(SUMPRODUCT(BDC_EAD!S$106:S$127,$BF$47:$BF$68)+SUMPRODUCT(BDC_EAD!S$131:S$152,$BG$47:$BG$68)+(Inputs_Banks!$Y22+p_ccf_bl*Inputs_Banks!$Z22)*$CD$70+Modules!$E22)</f>
        <v>23.7487346889017</v>
      </c>
      <c r="AT63" s="35" t="n">
        <f aca="false">p_sw_M3*(Inputs_Banks!$U22+p_ccf_abf*Inputs_Banks!$V22)*$CD$71</f>
        <v>3.68366035518191</v>
      </c>
      <c r="AU63" s="35" t="n">
        <f aca="false">p_sw_M10*Inputs_Banks!$AC22*$CD$72</f>
        <v>0</v>
      </c>
      <c r="AV63" s="35" t="n">
        <f aca="false">p_sw_M8*(Modules!$M22+Modules!$N22*IF(p_liq_on&gt;0,X63,p_htm_forced))</f>
        <v>4.40625</v>
      </c>
      <c r="AW63" s="35" t="n">
        <f aca="false">SUMPRODUCT(Holdings!$C22:$O22,Holdings!$C$32:$O$32,$AB$72:$AN$72)+Inputs_Banks!$P22*$AL$72</f>
        <v>15.9266482075295</v>
      </c>
      <c r="AX63" s="35" t="n">
        <f aca="false">Modules!$T22+AS63+AT63+AU63+AV63+AW63+AR63</f>
        <v>76.3649035195524</v>
      </c>
      <c r="AY63" s="35" t="n">
        <f aca="false">Modules!$U22-(1-p_tax)*AX63</f>
        <v>41.4585364804476</v>
      </c>
      <c r="AZ63" s="39" t="n">
        <f aca="false">AY63/Modules!$V22</f>
        <v>0.0422932521768457</v>
      </c>
      <c r="BA63" s="48" t="s">
        <v>638</v>
      </c>
      <c r="BB63" s="43" t="n">
        <f aca="false">INDEX($BJ$47:$BJ$80,BDC_EAD!$B22)</f>
        <v>0.393709594067855</v>
      </c>
      <c r="BC63" s="43" t="n">
        <f aca="false">INDEX($BK$47:$BK$80,BDC_EAD!$B22)</f>
        <v>0.0647242624061503</v>
      </c>
      <c r="BD63" s="22" t="n">
        <f aca="false">INDEX(BDC!$Q$6:$Q$39,BDC_EAD!$B22)</f>
        <v>0.177509433962264</v>
      </c>
      <c r="BE63" s="43" t="n">
        <f aca="false">BB63*(1-$AK$72)-BC63-p_c_liq</f>
        <v>0.10181601433117</v>
      </c>
      <c r="BF63" s="43" t="n">
        <f aca="false">p_phi*MAX(0,p_a_spv-BE63)/p_a_spv+(1-p_phi)*MAX(0,p_a_spv-BB63)/p_a_spv</f>
        <v>0.771150385316419</v>
      </c>
      <c r="BG63" s="43" t="n">
        <f aca="false">IF(BD63&gt;0,p_phi*MAX(0,BD63-BE63)/BD63+(1-p_phi)*MAX(0,BD63-BB63)/BD63,0)</f>
        <v>0.341135309561905</v>
      </c>
      <c r="BI63" s="12" t="str">
        <f aca="false">BDC!$A$22</f>
        <v>NHPIF</v>
      </c>
      <c r="BJ63" s="43" t="n">
        <f aca="false">1-((1-BDC!$D$22)*$CD$63+BDC!$D$22*$CD$64)-p_gap-$CD$53*(1-BDC!$M$22)</f>
        <v>0.401231175123755</v>
      </c>
      <c r="BK63" s="43" t="n">
        <f aca="false">(1-BDC!$D$22)*$CD$65+BDC!$D$22*$CD$66</f>
        <v>0.0605883669365644</v>
      </c>
      <c r="BL63" s="45" t="n">
        <f aca="false">BJ63/BDC!$K$22</f>
        <v>0.819180315877667</v>
      </c>
      <c r="BM63" s="35" t="n">
        <f aca="false">IF(BL63&lt;1.5,BDC!$C$22,0)</f>
        <v>5.98</v>
      </c>
      <c r="BN63" s="43" t="n">
        <f aca="false">MAX(0,1-BJ63*(1-CE_mig_hc)-p_bb_cush)*BDC!$Q$22</f>
        <v>0.151630856363478</v>
      </c>
      <c r="BO63" s="43" t="n">
        <f aca="false">MAX(0,BDC!$K$22-BJ63/1.5)</f>
        <v>0.222308468284843</v>
      </c>
      <c r="BP63" s="43" t="n">
        <f aca="false">MIN(MIN(1,BDC!$H$22*$CD$56),$CD$55)</f>
        <v>0.25</v>
      </c>
      <c r="BQ63" s="43" t="n">
        <f aca="false">BDC!$I$22*BDC!$J$22*BP63*(1-0.3)</f>
        <v>0.0892857142857143</v>
      </c>
      <c r="BR63" s="45" t="n">
        <f aca="false">BDC!$C$22*($CD$54*MAX(BN63,BO63)+BQ63)</f>
        <v>1.86333321177193</v>
      </c>
      <c r="CC63" s="10" t="s">
        <v>988</v>
      </c>
      <c r="CD63" s="43" t="n">
        <f aca="false">$CD$61*p_lgd_gen-CE_PDb*g_lgd_gen_b</f>
        <v>0.332131634197048</v>
      </c>
    </row>
    <row r="64" customFormat="false" ht="15" hidden="false" customHeight="true" outlineLevel="0" collapsed="false">
      <c r="A64" s="10" t="s">
        <v>532</v>
      </c>
      <c r="B64" s="35" t="n">
        <f aca="false">AY24</f>
        <v>32.7028940139074</v>
      </c>
      <c r="C64" s="39" t="n">
        <f aca="false">AZ24</f>
        <v>0.0653257488299245</v>
      </c>
      <c r="D64" s="44" t="n">
        <f aca="false">IF(C64&lt;Inputs_Banks!$I23,1,0)</f>
        <v>1</v>
      </c>
      <c r="E64" s="44" t="n">
        <f aca="false">IF(C64&lt;0.045,1,0)</f>
        <v>0</v>
      </c>
      <c r="F64" s="44" t="n">
        <f aca="false">IF(B64&lt;0,1,0)</f>
        <v>0</v>
      </c>
      <c r="G64" s="44" t="n">
        <f aca="false">MIN(6,MIN(3,INT(MAX(0,Inputs_Banks!$BA23-C64)/p_notch_step))+D64+2*E64)</f>
        <v>3</v>
      </c>
      <c r="H64" s="39" t="n">
        <f aca="false">C64-Inputs_Banks!$I23</f>
        <v>-0.0372742511700755</v>
      </c>
      <c r="I64" s="44" t="n">
        <f aca="false">RANK(H64,$H$47:$H$70,1)</f>
        <v>16</v>
      </c>
      <c r="J64" s="44" t="n">
        <f aca="false">MAX(IF(I64&lt;=g_n_weak,1,0),E64)</f>
        <v>0</v>
      </c>
      <c r="K64" s="44" t="n">
        <f aca="false">IF(I64&gt;12,1,0)*(1-E64)</f>
        <v>1</v>
      </c>
      <c r="L64" s="35" t="n">
        <f aca="false">INDEX(Inputs_Banks!$AR23:$AX23,1,G64+1)</f>
        <v>0.9008013</v>
      </c>
      <c r="M64" s="35" t="n">
        <f aca="false">Inputs_Banks!$AI23*MIN(1,p_u_base+$CD$50*p_u_pan_all+J64*($CD$50*p_u_pan_weak+p_u_mda*D64)+p_u_notch*G64+p_u_fail*E64)</f>
        <v>74.2885386201</v>
      </c>
      <c r="N64" s="35" t="n">
        <f aca="false">Inputs_Banks!$AK23*MIN(1,p_w_base+p_w_pan*$CD$50+p_w_notch*G64+0.5*D64+1*E64)</f>
        <v>0</v>
      </c>
      <c r="O64" s="35" t="n">
        <f aca="false">Inputs_Banks!$AO23*MIN(1,p_cp_base+p_cp_pan*$CD$50+p_cp_notch*G64)</f>
        <v>3.8</v>
      </c>
      <c r="P64" s="35" t="n">
        <f aca="false">Inputs_Banks!$AN23*(p_dh+p_dh_pan*$CD$50+MIN(1,0.5*$CD$57+0.25*G64))</f>
        <v>128.300227265032</v>
      </c>
      <c r="Q64" s="35" t="n">
        <f aca="false">Modules!$Y23</f>
        <v>3.506521</v>
      </c>
      <c r="R64" s="35" t="n">
        <f aca="false">Inputs_Banks!$AJ23*K64</f>
        <v>611.4283014</v>
      </c>
      <c r="S64" s="35" t="n">
        <f aca="false">p_liq_on*$CD$58*SUM($M$47:$M$70)*R64/MAX(0.000000001,SUM($R$47:$R$70))</f>
        <v>74.7229941863655</v>
      </c>
      <c r="T64" s="35" t="n">
        <f aca="false">p_liq_on*(L64+M64+N64+O64+P64+Q64)</f>
        <v>210.796088185132</v>
      </c>
      <c r="U64" s="35" t="n">
        <f aca="false">g_usable*Inputs_Banks!$AG23+p_cb_on*Inputs_Banks!$AQ23+S64</f>
        <v>511.480329186366</v>
      </c>
      <c r="V64" s="35" t="n">
        <f aca="false">MAX(0,T64-U64)</f>
        <v>0</v>
      </c>
      <c r="W64" s="44" t="n">
        <f aca="false">IF(V64&gt;0.9*Inputs_Banks!$BB23,1,0)</f>
        <v>0</v>
      </c>
      <c r="X64" s="43" t="n">
        <f aca="false">MAX(p_htm_forced,(1-p_cb_on)*MIN(1,T64/Inputs_Banks!$AG23)*g_theta_sell)</f>
        <v>0.175507146957768</v>
      </c>
      <c r="Y64" s="35" t="n">
        <f aca="false">MAX(0,Modules!$V23-B64/(Inputs_Banks!$I23+g_del_buf))</f>
        <v>196.682374235061</v>
      </c>
      <c r="Z64" s="35" t="n">
        <f aca="false">MIN(g_del_cap*Inputs_Banks!$BB23,Y64)</f>
        <v>40.9075</v>
      </c>
      <c r="AA64" s="35" t="n">
        <f aca="false">MIN(Inputs_Banks!$BB23,V64+Z64)</f>
        <v>40.9075</v>
      </c>
      <c r="AB64" s="35" t="n">
        <f aca="false">$AA64*Holdings!Q23</f>
        <v>0</v>
      </c>
      <c r="AC64" s="35" t="n">
        <f aca="false">$AA64*Holdings!R23</f>
        <v>0</v>
      </c>
      <c r="AD64" s="35" t="n">
        <f aca="false">$AA64*Holdings!S23</f>
        <v>0</v>
      </c>
      <c r="AE64" s="35" t="n">
        <f aca="false">$AA64*Holdings!T23</f>
        <v>0</v>
      </c>
      <c r="AF64" s="35" t="n">
        <f aca="false">$AA64*Holdings!U23</f>
        <v>6.4975</v>
      </c>
      <c r="AG64" s="35" t="n">
        <f aca="false">$AA64*Holdings!V23</f>
        <v>0</v>
      </c>
      <c r="AH64" s="35" t="n">
        <f aca="false">$AA64*Holdings!W23</f>
        <v>2.6375</v>
      </c>
      <c r="AI64" s="35" t="n">
        <f aca="false">$AA64*Holdings!X23</f>
        <v>0</v>
      </c>
      <c r="AJ64" s="35" t="n">
        <f aca="false">$AA64*Holdings!Y23</f>
        <v>0</v>
      </c>
      <c r="AK64" s="35" t="n">
        <f aca="false">$AA64*Holdings!Z23</f>
        <v>0</v>
      </c>
      <c r="AL64" s="35" t="n">
        <f aca="false">$AA64*Holdings!AA23</f>
        <v>31.7725</v>
      </c>
      <c r="AM64" s="35" t="n">
        <f aca="false">$AA64*Holdings!AB23</f>
        <v>0</v>
      </c>
      <c r="AN64" s="35" t="n">
        <f aca="false">$AA64*Holdings!AC23</f>
        <v>0</v>
      </c>
      <c r="AO64" s="43" t="n">
        <f aca="false">MIN(1,$CD$57+0.5*G64)</f>
        <v>1</v>
      </c>
      <c r="AP64" s="35" t="n">
        <f aca="false">p_liq_on*Inputs_Banks!$AP23*AO64*p_mb_psi</f>
        <v>5.856</v>
      </c>
      <c r="AQ64" s="44" t="n">
        <f aca="false">MAX(F64,E64,W64*(1-p_cb_on))</f>
        <v>0</v>
      </c>
      <c r="AR64" s="35" t="n">
        <f aca="false">p_ib_on*p_lgd_ib*g_s_in*g_u_ib*SUMPRODUCT(Network!T$6:T$29,$AQ$47:$AQ$70)</f>
        <v>5.68949765808156</v>
      </c>
      <c r="AS64" s="35" t="n">
        <f aca="false">p_sw_M1*(SUMPRODUCT(BDC_EAD!T$106:T$127,$BF$47:$BF$68)+SUMPRODUCT(BDC_EAD!T$131:T$152,$BG$47:$BG$68)+(Inputs_Banks!$Y23+p_ccf_bl*Inputs_Banks!$Z23)*$CD$70+Modules!$E23)</f>
        <v>11.9173703231754</v>
      </c>
      <c r="AT64" s="35" t="n">
        <f aca="false">p_sw_M3*(Inputs_Banks!$U23+p_ccf_abf*Inputs_Banks!$V23)*$CD$71</f>
        <v>0</v>
      </c>
      <c r="AU64" s="35" t="n">
        <f aca="false">p_sw_M10*Inputs_Banks!$AC23*$CD$72</f>
        <v>0</v>
      </c>
      <c r="AV64" s="35" t="n">
        <f aca="false">p_sw_M8*(Modules!$M23+Modules!$N23*IF(p_liq_on&gt;0,X64,p_htm_forced))</f>
        <v>1.4754192669672</v>
      </c>
      <c r="AW64" s="35" t="n">
        <f aca="false">SUMPRODUCT(Holdings!$C23:$O23,Holdings!$C$32:$O$32,$AB$72:$AN$72)+Inputs_Banks!$P23*$AL$72</f>
        <v>6.6357227629957</v>
      </c>
      <c r="AX64" s="35" t="n">
        <f aca="false">Modules!$T23+AS64+AT64+AU64+AV64+AW64+AR64</f>
        <v>33.189682187302</v>
      </c>
      <c r="AY64" s="35" t="n">
        <f aca="false">Modules!$U23-(1-p_tax)*AX64</f>
        <v>27.891267812698</v>
      </c>
      <c r="AZ64" s="39" t="n">
        <f aca="false">AY64/Modules!$V23</f>
        <v>0.0557142727156082</v>
      </c>
      <c r="BA64" s="48" t="s">
        <v>631</v>
      </c>
      <c r="BB64" s="43" t="n">
        <f aca="false">INDEX($BJ$47:$BJ$80,BDC_EAD!$B23)</f>
        <v>0.421663471167733</v>
      </c>
      <c r="BC64" s="43" t="n">
        <f aca="false">INDEX($BK$47:$BK$80,BDC_EAD!$B23)</f>
        <v>0.063979056015234</v>
      </c>
      <c r="BD64" s="22" t="n">
        <f aca="false">INDEX(BDC!$Q$6:$Q$39,BDC_EAD!$B23)</f>
        <v>0.276335078534031</v>
      </c>
      <c r="BE64" s="43" t="n">
        <f aca="false">BB64*(1-$AK$72)-BC64-p_c_liq</f>
        <v>0.117935853127019</v>
      </c>
      <c r="BF64" s="43" t="n">
        <f aca="false">p_phi*MAX(0,p_a_spv-BE64)/p_a_spv+(1-p_phi)*MAX(0,p_a_spv-BB64)/p_a_spv</f>
        <v>0.74474089037834</v>
      </c>
      <c r="BG64" s="43" t="n">
        <f aca="false">IF(BD64&gt;0,p_phi*MAX(0,BD64-BE64)/BD64+(1-p_phi)*MAX(0,BD64-BB64)/BD64,0)</f>
        <v>0.458571459685325</v>
      </c>
      <c r="BI64" s="12" t="str">
        <f aca="false">BDC!$A$23</f>
        <v>MAIN</v>
      </c>
      <c r="BJ64" s="43" t="n">
        <f aca="false">1-((1-BDC!$D$23)*$CD$63+BDC!$D$23*$CD$64)-p_gap-$CD$53*(1-BDC!$M$23)</f>
        <v>0.556417298789294</v>
      </c>
      <c r="BK64" s="43" t="n">
        <f aca="false">(1-BDC!$D$23)*$CD$65+BDC!$D$23*$CD$66</f>
        <v>0.0671461831766285</v>
      </c>
      <c r="BL64" s="45" t="n">
        <f aca="false">BJ64/BDC!$K$23</f>
        <v>1.25193892227591</v>
      </c>
      <c r="BM64" s="35" t="n">
        <f aca="false">IF(BL64&lt;1.5,BDC!$C$23,0)</f>
        <v>5.75</v>
      </c>
      <c r="BN64" s="43" t="n">
        <f aca="false">MAX(0,1-BJ64*(1-CE_mig_hc)-p_bb_cush)*BDC!$Q$23</f>
        <v>0.050065278117532</v>
      </c>
      <c r="BO64" s="43" t="n">
        <f aca="false">MAX(0,BDC!$K$23-BJ64/1.5)</f>
        <v>0.0734995785849151</v>
      </c>
      <c r="BP64" s="43" t="n">
        <f aca="false">MIN(MIN(1,BDC!$H$23*$CD$56),$CD$55)</f>
        <v>0</v>
      </c>
      <c r="BQ64" s="43" t="n">
        <f aca="false">BDC!$I$23*BDC!$J$23*BP64*(1-0.3)</f>
        <v>0</v>
      </c>
      <c r="BR64" s="45" t="n">
        <f aca="false">BDC!$C$23*($CD$54*MAX(BN64,BO64)+BQ64)</f>
        <v>0.422622576863262</v>
      </c>
      <c r="CC64" s="10" t="s">
        <v>989</v>
      </c>
      <c r="CD64" s="43" t="n">
        <f aca="false">$CD$62*p_lgd_sw-CE_PDb*g_lgd_sw_b</f>
        <v>0.556662359955042</v>
      </c>
    </row>
    <row r="65" customFormat="false" ht="15" hidden="false" customHeight="true" outlineLevel="0" collapsed="false">
      <c r="A65" s="10" t="s">
        <v>534</v>
      </c>
      <c r="B65" s="35" t="n">
        <f aca="false">AY25</f>
        <v>53.4513268619633</v>
      </c>
      <c r="C65" s="39" t="n">
        <f aca="false">AZ25</f>
        <v>0.0982178394852801</v>
      </c>
      <c r="D65" s="44" t="n">
        <f aca="false">IF(C65&lt;Inputs_Banks!$I24,1,0)</f>
        <v>1</v>
      </c>
      <c r="E65" s="44" t="n">
        <f aca="false">IF(C65&lt;0.045,1,0)</f>
        <v>0</v>
      </c>
      <c r="F65" s="44" t="n">
        <f aca="false">IF(B65&lt;0,1,0)</f>
        <v>0</v>
      </c>
      <c r="G65" s="44" t="n">
        <f aca="false">MIN(6,MIN(3,INT(MAX(0,Inputs_Banks!$BA24-C65)/p_notch_step))+D65+2*E65)</f>
        <v>2</v>
      </c>
      <c r="H65" s="39" t="n">
        <f aca="false">C65-Inputs_Banks!$I24</f>
        <v>-0.0100821605147199</v>
      </c>
      <c r="I65" s="44" t="n">
        <f aca="false">RANK(H65,$H$47:$H$70,1)</f>
        <v>21</v>
      </c>
      <c r="J65" s="44" t="n">
        <f aca="false">MAX(IF(I65&lt;=g_n_weak,1,0),E65)</f>
        <v>0</v>
      </c>
      <c r="K65" s="44" t="n">
        <f aca="false">IF(I65&gt;12,1,0)*(1-E65)</f>
        <v>1</v>
      </c>
      <c r="L65" s="35" t="n">
        <f aca="false">INDEX(Inputs_Banks!$AR24:$AX24,1,G65+1)</f>
        <v>0.6836</v>
      </c>
      <c r="M65" s="35" t="n">
        <f aca="false">Inputs_Banks!$AI24*MIN(1,p_u_base+$CD$50*p_u_pan_all+J65*($CD$50*p_u_pan_weak+p_u_mda*D65)+p_u_notch*G65+p_u_fail*E65)</f>
        <v>84.061665</v>
      </c>
      <c r="N65" s="35" t="n">
        <f aca="false">Inputs_Banks!$AK24*MIN(1,p_w_base+p_w_pan*$CD$50+p_w_notch*G65+0.5*D65+1*E65)</f>
        <v>44.031</v>
      </c>
      <c r="O65" s="35" t="n">
        <f aca="false">Inputs_Banks!$AO24*MIN(1,p_cp_base+p_cp_pan*$CD$50+p_cp_notch*G65)</f>
        <v>6.29</v>
      </c>
      <c r="P65" s="35" t="n">
        <f aca="false">Inputs_Banks!$AN24*(p_dh+p_dh_pan*$CD$50+MIN(1,0.5*$CD$57+0.25*G65))</f>
        <v>21.26696</v>
      </c>
      <c r="Q65" s="35" t="n">
        <f aca="false">Modules!$Y24</f>
        <v>0.730916</v>
      </c>
      <c r="R65" s="35" t="n">
        <f aca="false">Inputs_Banks!$AJ24*K65</f>
        <v>812.19</v>
      </c>
      <c r="S65" s="35" t="n">
        <f aca="false">p_liq_on*$CD$58*SUM($M$47:$M$70)*R65/MAX(0.000000001,SUM($R$47:$R$70))</f>
        <v>99.2581934942539</v>
      </c>
      <c r="T65" s="35" t="n">
        <f aca="false">p_liq_on*(L65+M65+N65+O65+P65+Q65)</f>
        <v>157.064141</v>
      </c>
      <c r="U65" s="35" t="n">
        <f aca="false">g_usable*Inputs_Banks!$AG24+p_cb_on*Inputs_Banks!$AQ24+S65</f>
        <v>475.238193494254</v>
      </c>
      <c r="V65" s="35" t="n">
        <f aca="false">MAX(0,T65-U65)</f>
        <v>0</v>
      </c>
      <c r="W65" s="44" t="n">
        <f aca="false">IF(V65&gt;0.9*Inputs_Banks!$BB24,1,0)</f>
        <v>0</v>
      </c>
      <c r="X65" s="43" t="n">
        <f aca="false">MAX(p_htm_forced,(1-p_cb_on)*MIN(1,T65/Inputs_Banks!$AG24)*g_theta_sell)</f>
        <v>0.114880149941486</v>
      </c>
      <c r="Y65" s="35" t="n">
        <f aca="false">MAX(0,Modules!$V24-B65/(Inputs_Banks!$I24+g_del_buf))</f>
        <v>72.4438900091504</v>
      </c>
      <c r="Z65" s="35" t="n">
        <f aca="false">MIN(g_del_cap*Inputs_Banks!$BB24,Y65)</f>
        <v>63.9425</v>
      </c>
      <c r="AA65" s="35" t="n">
        <f aca="false">MIN(Inputs_Banks!$BB24,V65+Z65)</f>
        <v>63.9425</v>
      </c>
      <c r="AB65" s="35" t="n">
        <f aca="false">$AA65*Holdings!Q24</f>
        <v>0</v>
      </c>
      <c r="AC65" s="35" t="n">
        <f aca="false">$AA65*Holdings!R24</f>
        <v>0</v>
      </c>
      <c r="AD65" s="35" t="n">
        <f aca="false">$AA65*Holdings!S24</f>
        <v>0</v>
      </c>
      <c r="AE65" s="35" t="n">
        <f aca="false">$AA65*Holdings!T24</f>
        <v>0</v>
      </c>
      <c r="AF65" s="35" t="n">
        <f aca="false">$AA65*Holdings!U24</f>
        <v>10.3475</v>
      </c>
      <c r="AG65" s="35" t="n">
        <f aca="false">$AA65*Holdings!V24</f>
        <v>0</v>
      </c>
      <c r="AH65" s="35" t="n">
        <f aca="false">$AA65*Holdings!W24</f>
        <v>0.915</v>
      </c>
      <c r="AI65" s="35" t="n">
        <f aca="false">$AA65*Holdings!X24</f>
        <v>0</v>
      </c>
      <c r="AJ65" s="35" t="n">
        <f aca="false">$AA65*Holdings!Y24</f>
        <v>0.535</v>
      </c>
      <c r="AK65" s="35" t="n">
        <f aca="false">$AA65*Holdings!Z24</f>
        <v>0</v>
      </c>
      <c r="AL65" s="35" t="n">
        <f aca="false">$AA65*Holdings!AA24</f>
        <v>32.3075</v>
      </c>
      <c r="AM65" s="35" t="n">
        <f aca="false">$AA65*Holdings!AB24</f>
        <v>0</v>
      </c>
      <c r="AN65" s="35" t="n">
        <f aca="false">$AA65*Holdings!AC24</f>
        <v>19.8375</v>
      </c>
      <c r="AO65" s="43" t="n">
        <f aca="false">MIN(1,$CD$57+0.5*G65)</f>
        <v>1</v>
      </c>
      <c r="AP65" s="35" t="n">
        <f aca="false">p_liq_on*Inputs_Banks!$AP24*AO65*p_mb_psi</f>
        <v>0.18</v>
      </c>
      <c r="AQ65" s="44" t="n">
        <f aca="false">MAX(F65,E65,W65*(1-p_cb_on))</f>
        <v>0</v>
      </c>
      <c r="AR65" s="35" t="n">
        <f aca="false">p_ib_on*p_lgd_ib*g_s_in*g_u_ib*SUMPRODUCT(Network!U$6:U$29,$AQ$47:$AQ$70)</f>
        <v>6.48784956231882</v>
      </c>
      <c r="AS65" s="35" t="n">
        <f aca="false">p_sw_M1*(SUMPRODUCT(BDC_EAD!U$106:U$127,$BF$47:$BF$68)+SUMPRODUCT(BDC_EAD!U$131:U$152,$BG$47:$BG$68)+(Inputs_Banks!$Y24+p_ccf_bl*Inputs_Banks!$Z24)*$CD$70+Modules!$E24)</f>
        <v>0.0607767881736133</v>
      </c>
      <c r="AT65" s="35" t="n">
        <f aca="false">p_sw_M3*(Inputs_Banks!$U24+p_ccf_abf*Inputs_Banks!$V24)*$CD$71</f>
        <v>0</v>
      </c>
      <c r="AU65" s="35" t="n">
        <f aca="false">p_sw_M10*Inputs_Banks!$AC24*$CD$72</f>
        <v>0</v>
      </c>
      <c r="AV65" s="35" t="n">
        <f aca="false">p_sw_M8*(Modules!$M24+Modules!$N24*IF(p_liq_on&gt;0,X65,p_htm_forced))</f>
        <v>0.522410118216428</v>
      </c>
      <c r="AW65" s="35" t="n">
        <f aca="false">SUMPRODUCT(Holdings!$C24:$O24,Holdings!$C$32:$O$32,$AB$72:$AN$72)+Inputs_Banks!$P24*$AL$72</f>
        <v>7.25147243367992</v>
      </c>
      <c r="AX65" s="35" t="n">
        <f aca="false">Modules!$T24+AS65+AT65+AU65+AV65+AW65+AR65</f>
        <v>24.4750117000588</v>
      </c>
      <c r="AY65" s="35" t="n">
        <f aca="false">Modules!$U24-(1-p_tax)*AX65</f>
        <v>47.9889882999412</v>
      </c>
      <c r="AZ65" s="39" t="n">
        <f aca="false">AY65/Modules!$V24</f>
        <v>0.0881806874893263</v>
      </c>
      <c r="BA65" s="48" t="s">
        <v>655</v>
      </c>
      <c r="BB65" s="43" t="n">
        <f aca="false">INDEX($BJ$47:$BJ$80,BDC_EAD!$B24)</f>
        <v>0.392098725301358</v>
      </c>
      <c r="BC65" s="43" t="n">
        <f aca="false">INDEX($BK$47:$BK$80,BDC_EAD!$B24)</f>
        <v>0.0620042590793056</v>
      </c>
      <c r="BD65" s="22" t="n">
        <f aca="false">INDEX(BDC!$Q$6:$Q$39,BDC_EAD!$B24)</f>
        <v>0.254901960784314</v>
      </c>
      <c r="BE65" s="43" t="n">
        <f aca="false">BB65*(1-$AK$72)-BC65-p_c_liq</f>
        <v>0.103650039836441</v>
      </c>
      <c r="BF65" s="43" t="n">
        <f aca="false">p_phi*MAX(0,p_a_spv-BE65)/p_a_spv+(1-p_phi)*MAX(0,p_a_spv-BB65)/p_a_spv</f>
        <v>0.769514604386537</v>
      </c>
      <c r="BG65" s="43" t="n">
        <f aca="false">IF(BD65&gt;0,p_phi*MAX(0,BD65-BE65)/BD65+(1-p_phi)*MAX(0,BD65-BB65)/BD65,0)</f>
        <v>0.474698336513323</v>
      </c>
      <c r="BI65" s="12" t="str">
        <f aca="false">BDC!$A$24</f>
        <v>OTIC</v>
      </c>
      <c r="BJ65" s="43" t="n">
        <f aca="false">1-((1-BDC!$D$24)*$CD$63+BDC!$D$24*$CD$64)-p_gap-$CD$53*(1-BDC!$M$24)</f>
        <v>0.384840432143422</v>
      </c>
      <c r="BK65" s="43" t="n">
        <f aca="false">(1-BDC!$D$24)*$CD$65+BDC!$D$24*$CD$66</f>
        <v>0.0578683636097197</v>
      </c>
      <c r="BL65" s="45" t="n">
        <f aca="false">BJ65/BDC!$K$24</f>
        <v>0.832329306728796</v>
      </c>
      <c r="BM65" s="35" t="n">
        <f aca="false">IF(BL65&lt;1.5,BDC!$C$24,0)</f>
        <v>5.06</v>
      </c>
      <c r="BN65" s="43" t="n">
        <f aca="false">MAX(0,1-BJ65*(1-CE_mig_hc)-p_bb_cush)*BDC!$Q$24</f>
        <v>0.270936849243253</v>
      </c>
      <c r="BO65" s="43" t="n">
        <f aca="false">MAX(0,BDC!$K$24-BJ65/1.5)</f>
        <v>0.205805303302235</v>
      </c>
      <c r="BP65" s="43" t="n">
        <f aca="false">MIN(MIN(1,BDC!$H$24*$CD$56),$CD$55)</f>
        <v>0.25</v>
      </c>
      <c r="BQ65" s="43" t="n">
        <f aca="false">BDC!$I$24*BDC!$J$24*BP65*(1-0.3)</f>
        <v>0.0940860215053763</v>
      </c>
      <c r="BR65" s="45" t="n">
        <f aca="false">BDC!$C$24*($CD$54*MAX(BN65,BO65)+BQ65)</f>
        <v>1.84701572598807</v>
      </c>
      <c r="CC65" s="10" t="s">
        <v>990</v>
      </c>
      <c r="CD65" s="43" t="n">
        <f aca="false">(1-$CD$61)*$CD$52/10000*g_dur_s</f>
        <v>0.0690464594734653</v>
      </c>
    </row>
    <row r="66" customFormat="false" ht="15" hidden="false" customHeight="true" outlineLevel="0" collapsed="false">
      <c r="A66" s="10" t="s">
        <v>535</v>
      </c>
      <c r="B66" s="35" t="n">
        <f aca="false">AY26</f>
        <v>16.0257821381746</v>
      </c>
      <c r="C66" s="39" t="n">
        <f aca="false">AZ26</f>
        <v>0.0193001552534647</v>
      </c>
      <c r="D66" s="44" t="n">
        <f aca="false">IF(C66&lt;Inputs_Banks!$I25,1,0)</f>
        <v>1</v>
      </c>
      <c r="E66" s="44" t="n">
        <f aca="false">IF(C66&lt;0.045,1,0)</f>
        <v>1</v>
      </c>
      <c r="F66" s="44" t="n">
        <f aca="false">IF(B66&lt;0,1,0)</f>
        <v>0</v>
      </c>
      <c r="G66" s="44" t="n">
        <f aca="false">MIN(6,MIN(3,INT(MAX(0,Inputs_Banks!$BA25-C66)/p_notch_step))+D66+2*E66)</f>
        <v>6</v>
      </c>
      <c r="H66" s="39" t="n">
        <f aca="false">C66-Inputs_Banks!$I25</f>
        <v>-0.0675998447465353</v>
      </c>
      <c r="I66" s="44" t="n">
        <f aca="false">RANK(H66,$H$47:$H$70,1)</f>
        <v>8</v>
      </c>
      <c r="J66" s="44" t="n">
        <f aca="false">MAX(IF(I66&lt;=g_n_weak,1,0),E66)</f>
        <v>1</v>
      </c>
      <c r="K66" s="44" t="n">
        <f aca="false">IF(I66&gt;12,1,0)*(1-E66)</f>
        <v>0</v>
      </c>
      <c r="L66" s="35" t="n">
        <f aca="false">INDEX(Inputs_Banks!$AR25:$AX25,1,G66+1)</f>
        <v>0.817907877744296</v>
      </c>
      <c r="M66" s="35" t="n">
        <f aca="false">Inputs_Banks!$AI25*MIN(1,p_u_base+$CD$50*p_u_pan_all+J66*($CD$50*p_u_pan_weak+p_u_mda*D66)+p_u_notch*G66+p_u_fail*E66)</f>
        <v>715.108384601193</v>
      </c>
      <c r="N66" s="35" t="n">
        <f aca="false">Inputs_Banks!$AK25*MIN(1,p_w_base+p_w_pan*$CD$50+p_w_notch*G66+0.5*D66+1*E66)</f>
        <v>111.414716192116</v>
      </c>
      <c r="O66" s="35" t="n">
        <f aca="false">Inputs_Banks!$AO25*MIN(1,p_cp_base+p_cp_pan*$CD$50+p_cp_notch*G66)</f>
        <v>32.9</v>
      </c>
      <c r="P66" s="35" t="n">
        <f aca="false">Inputs_Banks!$AN25*(p_dh+p_dh_pan*$CD$50+MIN(1,0.5*$CD$57+0.25*G66))</f>
        <v>76.0290509481086</v>
      </c>
      <c r="Q66" s="35" t="n">
        <f aca="false">Modules!$Y25</f>
        <v>21.0243399144764</v>
      </c>
      <c r="R66" s="35" t="n">
        <f aca="false">Inputs_Banks!$AJ25*K66</f>
        <v>0</v>
      </c>
      <c r="S66" s="35" t="n">
        <f aca="false">p_liq_on*$CD$58*SUM($M$47:$M$70)*R66/MAX(0.000000001,SUM($R$47:$R$70))</f>
        <v>0</v>
      </c>
      <c r="T66" s="35" t="n">
        <f aca="false">p_liq_on*(L66+M66+N66+O66+P66+Q66)</f>
        <v>957.294399533638</v>
      </c>
      <c r="U66" s="35" t="n">
        <f aca="false">g_usable*Inputs_Banks!$AG25+p_cb_on*Inputs_Banks!$AQ25+S66</f>
        <v>834.979565832359</v>
      </c>
      <c r="V66" s="35" t="n">
        <f aca="false">MAX(0,T66-U66)</f>
        <v>122.314833701279</v>
      </c>
      <c r="W66" s="44" t="n">
        <f aca="false">IF(V66&gt;0.9*Inputs_Banks!$BB25,1,0)</f>
        <v>0</v>
      </c>
      <c r="X66" s="43" t="n">
        <f aca="false">MAX(p_htm_forced,(1-p_cb_on)*MIN(1,T66/Inputs_Banks!$AG25)*g_theta_sell)</f>
        <v>0.25</v>
      </c>
      <c r="Y66" s="35" t="n">
        <f aca="false">MAX(0,Modules!$V25-B66/(Inputs_Banks!$I25+g_del_buf))</f>
        <v>655.961895980912</v>
      </c>
      <c r="Z66" s="35" t="n">
        <f aca="false">MIN(g_del_cap*Inputs_Banks!$BB25,Y66)</f>
        <v>34.975</v>
      </c>
      <c r="AA66" s="35" t="n">
        <f aca="false">MIN(Inputs_Banks!$BB25,V66+Z66)</f>
        <v>139.9</v>
      </c>
      <c r="AB66" s="35" t="n">
        <f aca="false">$AA66*Holdings!Q25</f>
        <v>0</v>
      </c>
      <c r="AC66" s="35" t="n">
        <f aca="false">$AA66*Holdings!R25</f>
        <v>0</v>
      </c>
      <c r="AD66" s="35" t="n">
        <f aca="false">$AA66*Holdings!S25</f>
        <v>0</v>
      </c>
      <c r="AE66" s="35" t="n">
        <f aca="false">$AA66*Holdings!T25</f>
        <v>0</v>
      </c>
      <c r="AF66" s="35" t="n">
        <f aca="false">$AA66*Holdings!U25</f>
        <v>24.89</v>
      </c>
      <c r="AG66" s="35" t="n">
        <f aca="false">$AA66*Holdings!V25</f>
        <v>0</v>
      </c>
      <c r="AH66" s="35" t="n">
        <f aca="false">$AA66*Holdings!W25</f>
        <v>0</v>
      </c>
      <c r="AI66" s="35" t="n">
        <f aca="false">$AA66*Holdings!X25</f>
        <v>42.43</v>
      </c>
      <c r="AJ66" s="35" t="n">
        <f aca="false">$AA66*Holdings!Y25</f>
        <v>0</v>
      </c>
      <c r="AK66" s="35" t="n">
        <f aca="false">$AA66*Holdings!Z25</f>
        <v>0</v>
      </c>
      <c r="AL66" s="35" t="n">
        <f aca="false">$AA66*Holdings!AA25</f>
        <v>33.46</v>
      </c>
      <c r="AM66" s="35" t="n">
        <f aca="false">$AA66*Holdings!AB25</f>
        <v>0</v>
      </c>
      <c r="AN66" s="35" t="n">
        <f aca="false">$AA66*Holdings!AC25</f>
        <v>39.12</v>
      </c>
      <c r="AO66" s="43" t="n">
        <f aca="false">MIN(1,$CD$57+0.5*G66)</f>
        <v>1</v>
      </c>
      <c r="AP66" s="35" t="n">
        <f aca="false">p_liq_on*Inputs_Banks!$AP25*AO66*p_mb_psi</f>
        <v>1.674</v>
      </c>
      <c r="AQ66" s="44" t="n">
        <f aca="false">MAX(F66,E66,W66*(1-p_cb_on))</f>
        <v>1</v>
      </c>
      <c r="AR66" s="35" t="n">
        <f aca="false">p_ib_on*p_lgd_ib*g_s_in*g_u_ib*SUMPRODUCT(Network!V$6:V$29,$AQ$47:$AQ$70)</f>
        <v>5.46895937135048</v>
      </c>
      <c r="AS66" s="35" t="n">
        <f aca="false">p_sw_M1*(SUMPRODUCT(BDC_EAD!V$106:V$127,$BF$47:$BF$68)+SUMPRODUCT(BDC_EAD!V$131:V$152,$BG$47:$BG$68)+(Inputs_Banks!$Y25+p_ccf_bl*Inputs_Banks!$Z25)*$CD$70+Modules!$E25)</f>
        <v>28.8226410800686</v>
      </c>
      <c r="AT66" s="35" t="n">
        <f aca="false">p_sw_M3*(Inputs_Banks!$U25+p_ccf_abf*Inputs_Banks!$V25)*$CD$71</f>
        <v>0</v>
      </c>
      <c r="AU66" s="35" t="n">
        <f aca="false">p_sw_M10*Inputs_Banks!$AC25*$CD$72</f>
        <v>0</v>
      </c>
      <c r="AV66" s="35" t="n">
        <f aca="false">p_sw_M8*(Modules!$M25+Modules!$N25*IF(p_liq_on&gt;0,X66,p_htm_forced))</f>
        <v>7.68041297429432</v>
      </c>
      <c r="AW66" s="35" t="n">
        <f aca="false">SUMPRODUCT(Holdings!$C25:$O25,Holdings!$C$32:$O$32,$AB$72:$AN$72)+Inputs_Banks!$P25*$AL$72</f>
        <v>21.7045172722731</v>
      </c>
      <c r="AX66" s="35" t="n">
        <f aca="false">Modules!$T25+AS66+AT66+AU66+AV66+AW66+AR66</f>
        <v>92.4184518903835</v>
      </c>
      <c r="AY66" s="35" t="n">
        <f aca="false">Modules!$U25-(1-p_tax)*AX66</f>
        <v>7.21933176375832</v>
      </c>
      <c r="AZ66" s="39" t="n">
        <f aca="false">AY66/Modules!$V25</f>
        <v>0.00869437901161154</v>
      </c>
      <c r="BA66" s="48" t="s">
        <v>645</v>
      </c>
      <c r="BB66" s="43" t="n">
        <f aca="false">INDEX($BJ$47:$BJ$80,BDC_EAD!$B25)</f>
        <v>0.413355834314687</v>
      </c>
      <c r="BC66" s="43" t="n">
        <f aca="false">INDEX($BK$47:$BK$80,BDC_EAD!$B25)</f>
        <v>0.0626004241920387</v>
      </c>
      <c r="BD66" s="22" t="n">
        <f aca="false">INDEX(BDC!$Q$6:$Q$39,BDC_EAD!$B25)</f>
        <v>0.212552795031056</v>
      </c>
      <c r="BE66" s="43" t="n">
        <f aca="false">BB66*(1-$AK$72)-BC66-p_c_liq</f>
        <v>0.114745284681039</v>
      </c>
      <c r="BF66" s="43" t="n">
        <f aca="false">p_phi*MAX(0,p_a_spv-BE66)/p_a_spv+(1-p_phi)*MAX(0,p_a_spv-BB66)/p_a_spv</f>
        <v>0.750760864846045</v>
      </c>
      <c r="BG66" s="43" t="n">
        <f aca="false">IF(BD66&gt;0,p_phi*MAX(0,BD66-BE66)/BD66+(1-p_phi)*MAX(0,BD66-BB66)/BD66,0)</f>
        <v>0.368125049913274</v>
      </c>
      <c r="BI66" s="12" t="str">
        <f aca="false">BDC!$A$25</f>
        <v>ASCF</v>
      </c>
      <c r="BJ66" s="43" t="n">
        <f aca="false">1-((1-BDC!$D$25)*$CD$63+BDC!$D$25*$CD$64)-p_gap-$CD$53*(1-BDC!$M$25)</f>
        <v>0.410212404154075</v>
      </c>
      <c r="BK66" s="43" t="n">
        <f aca="false">(1-BDC!$D$25)*$CD$65+BDC!$D$25*$CD$66</f>
        <v>0.0620787797183972</v>
      </c>
      <c r="BL66" s="45" t="n">
        <f aca="false">BJ66/BDC!$K$25</f>
        <v>0.760821296593456</v>
      </c>
      <c r="BM66" s="35" t="n">
        <f aca="false">IF(BL66&lt;1.5,BDC!$C$25,0)</f>
        <v>4.62</v>
      </c>
      <c r="BN66" s="43" t="n">
        <f aca="false">MAX(0,1-BJ66*(1-CE_mig_hc)-p_bb_cush)*BDC!$Q$25</f>
        <v>0.164799096707034</v>
      </c>
      <c r="BO66" s="43" t="n">
        <f aca="false">MAX(0,BDC!$K$25-BJ66/1.5)</f>
        <v>0.265695570809726</v>
      </c>
      <c r="BP66" s="43" t="n">
        <f aca="false">MIN(MIN(1,BDC!$H$25*$CD$56),$CD$55)</f>
        <v>0.25</v>
      </c>
      <c r="BQ66" s="43" t="n">
        <f aca="false">BDC!$I$25*BDC!$J$25*BP66*(1-0.3)</f>
        <v>0.0806451612903226</v>
      </c>
      <c r="BR66" s="45" t="n">
        <f aca="false">BDC!$C$25*($CD$54*MAX(BN66,BO66)+BQ66)</f>
        <v>1.60009418230222</v>
      </c>
      <c r="CC66" s="10" t="s">
        <v>991</v>
      </c>
      <c r="CD66" s="43" t="n">
        <f aca="false">(1-$CD$62)*($CD$52+p_ds_sw)/10000*g_dur_s</f>
        <v>0.0317861399276465</v>
      </c>
    </row>
    <row r="67" customFormat="false" ht="15" hidden="false" customHeight="true" outlineLevel="0" collapsed="false">
      <c r="A67" s="10" t="s">
        <v>537</v>
      </c>
      <c r="B67" s="35" t="n">
        <f aca="false">AY27</f>
        <v>42.4346348504758</v>
      </c>
      <c r="C67" s="39" t="n">
        <f aca="false">AZ27</f>
        <v>0.062560222720034</v>
      </c>
      <c r="D67" s="44" t="n">
        <f aca="false">IF(C67&lt;Inputs_Banks!$I26,1,0)</f>
        <v>1</v>
      </c>
      <c r="E67" s="44" t="n">
        <f aca="false">IF(C67&lt;0.045,1,0)</f>
        <v>0</v>
      </c>
      <c r="F67" s="44" t="n">
        <f aca="false">IF(B67&lt;0,1,0)</f>
        <v>0</v>
      </c>
      <c r="G67" s="44" t="n">
        <f aca="false">MIN(6,MIN(3,INT(MAX(0,Inputs_Banks!$BA26-C67)/p_notch_step))+D67+2*E67)</f>
        <v>3</v>
      </c>
      <c r="H67" s="39" t="n">
        <f aca="false">C67-Inputs_Banks!$I26</f>
        <v>-0.019139777279966</v>
      </c>
      <c r="I67" s="44" t="n">
        <f aca="false">RANK(H67,$H$47:$H$70,1)</f>
        <v>19</v>
      </c>
      <c r="J67" s="44" t="n">
        <f aca="false">MAX(IF(I67&lt;=g_n_weak,1,0),E67)</f>
        <v>0</v>
      </c>
      <c r="K67" s="44" t="n">
        <f aca="false">IF(I67&gt;12,1,0)*(1-E67)</f>
        <v>1</v>
      </c>
      <c r="L67" s="35" t="n">
        <f aca="false">INDEX(Inputs_Banks!$AR26:$AX26,1,G67+1)</f>
        <v>1.79246804624562</v>
      </c>
      <c r="M67" s="35" t="n">
        <f aca="false">Inputs_Banks!$AI26*MIN(1,p_u_base+$CD$50*p_u_pan_all+J67*($CD$50*p_u_pan_weak+p_u_mda*D67)+p_u_notch*G67+p_u_fail*E67)</f>
        <v>156.430463378636</v>
      </c>
      <c r="N67" s="35" t="n">
        <f aca="false">Inputs_Banks!$AK26*MIN(1,p_w_base+p_w_pan*$CD$50+p_w_notch*G67+0.5*D67+1*E67)</f>
        <v>142.213430908308</v>
      </c>
      <c r="O67" s="35" t="n">
        <f aca="false">Inputs_Banks!$AO26*MIN(1,p_cp_base+p_cp_pan*$CD$50+p_cp_notch*G67)</f>
        <v>24.02</v>
      </c>
      <c r="P67" s="35" t="n">
        <f aca="false">Inputs_Banks!$AN26*(p_dh+p_dh_pan*$CD$50+MIN(1,0.5*$CD$57+0.25*G67))</f>
        <v>30.3571427289411</v>
      </c>
      <c r="Q67" s="35" t="n">
        <f aca="false">Modules!$Y26</f>
        <v>5.08130839142734</v>
      </c>
      <c r="R67" s="35" t="n">
        <f aca="false">Inputs_Banks!$AJ26*K67</f>
        <v>1241.80817292909</v>
      </c>
      <c r="S67" s="35" t="n">
        <f aca="false">p_liq_on*$CD$58*SUM($M$47:$M$70)*R67/MAX(0.000000001,SUM($R$47:$R$70))</f>
        <v>151.762070342336</v>
      </c>
      <c r="T67" s="35" t="n">
        <f aca="false">p_liq_on*(L67+M67+N67+O67+P67+Q67)</f>
        <v>359.894813453558</v>
      </c>
      <c r="U67" s="35" t="n">
        <f aca="false">g_usable*Inputs_Banks!$AG26+p_cb_on*Inputs_Banks!$AQ26+S67</f>
        <v>809.000353965729</v>
      </c>
      <c r="V67" s="35" t="n">
        <f aca="false">MAX(0,T67-U67)</f>
        <v>0</v>
      </c>
      <c r="W67" s="44" t="n">
        <f aca="false">IF(V67&gt;0.9*Inputs_Banks!$BB26,1,0)</f>
        <v>0</v>
      </c>
      <c r="X67" s="43" t="n">
        <f aca="false">MAX(p_htm_forced,(1-p_cb_on)*MIN(1,T67/Inputs_Banks!$AG26)*g_theta_sell)</f>
        <v>0.150586288361194</v>
      </c>
      <c r="Y67" s="35" t="n">
        <f aca="false">MAX(0,Modules!$V26-B67/(Inputs_Banks!$I26+g_del_buf))</f>
        <v>188.858416782417</v>
      </c>
      <c r="Z67" s="35" t="n">
        <f aca="false">MIN(g_del_cap*Inputs_Banks!$BB26,Y67)</f>
        <v>9.4025</v>
      </c>
      <c r="AA67" s="35" t="n">
        <f aca="false">MIN(Inputs_Banks!$BB26,V67+Z67)</f>
        <v>9.4025</v>
      </c>
      <c r="AB67" s="35" t="n">
        <f aca="false">$AA67*Holdings!Q26</f>
        <v>0</v>
      </c>
      <c r="AC67" s="35" t="n">
        <f aca="false">$AA67*Holdings!R26</f>
        <v>0</v>
      </c>
      <c r="AD67" s="35" t="n">
        <f aca="false">$AA67*Holdings!S26</f>
        <v>0</v>
      </c>
      <c r="AE67" s="35" t="n">
        <f aca="false">$AA67*Holdings!T26</f>
        <v>0</v>
      </c>
      <c r="AF67" s="35" t="n">
        <f aca="false">$AA67*Holdings!U26</f>
        <v>0.78</v>
      </c>
      <c r="AG67" s="35" t="n">
        <f aca="false">$AA67*Holdings!V26</f>
        <v>0</v>
      </c>
      <c r="AH67" s="35" t="n">
        <f aca="false">$AA67*Holdings!W26</f>
        <v>0</v>
      </c>
      <c r="AI67" s="35" t="n">
        <f aca="false">$AA67*Holdings!X26</f>
        <v>0</v>
      </c>
      <c r="AJ67" s="35" t="n">
        <f aca="false">$AA67*Holdings!Y26</f>
        <v>0</v>
      </c>
      <c r="AK67" s="35" t="n">
        <f aca="false">$AA67*Holdings!Z26</f>
        <v>0</v>
      </c>
      <c r="AL67" s="35" t="n">
        <f aca="false">$AA67*Holdings!AA26</f>
        <v>0.6375</v>
      </c>
      <c r="AM67" s="35" t="n">
        <f aca="false">$AA67*Holdings!AB26</f>
        <v>0</v>
      </c>
      <c r="AN67" s="35" t="n">
        <f aca="false">$AA67*Holdings!AC26</f>
        <v>7.985</v>
      </c>
      <c r="AO67" s="43" t="n">
        <f aca="false">MIN(1,$CD$57+0.5*G67)</f>
        <v>1</v>
      </c>
      <c r="AP67" s="35" t="n">
        <f aca="false">p_liq_on*Inputs_Banks!$AP26*AO67*p_mb_psi</f>
        <v>0.468</v>
      </c>
      <c r="AQ67" s="44" t="n">
        <f aca="false">MAX(F67,E67,W67*(1-p_cb_on))</f>
        <v>0</v>
      </c>
      <c r="AR67" s="35" t="n">
        <f aca="false">p_ib_on*p_lgd_ib*g_s_in*g_u_ib*SUMPRODUCT(Network!W$6:W$29,$AQ$47:$AQ$70)</f>
        <v>7.17491647012662</v>
      </c>
      <c r="AS67" s="35" t="n">
        <f aca="false">p_sw_M1*(SUMPRODUCT(BDC_EAD!W$106:W$127,$BF$47:$BF$68)+SUMPRODUCT(BDC_EAD!W$131:W$152,$BG$47:$BG$68)+(Inputs_Banks!$Y26+p_ccf_bl*Inputs_Banks!$Z26)*$CD$70+Modules!$E26)</f>
        <v>7.70107823629907</v>
      </c>
      <c r="AT67" s="35" t="n">
        <f aca="false">p_sw_M3*(Inputs_Banks!$U26+p_ccf_abf*Inputs_Banks!$V26)*$CD$71</f>
        <v>0</v>
      </c>
      <c r="AU67" s="35" t="n">
        <f aca="false">p_sw_M10*Inputs_Banks!$AC26*$CD$72</f>
        <v>0</v>
      </c>
      <c r="AV67" s="35" t="n">
        <f aca="false">p_sw_M8*(Modules!$M26+Modules!$N26*IF(p_liq_on&gt;0,X67,p_htm_forced))</f>
        <v>2.16977183718659</v>
      </c>
      <c r="AW67" s="35" t="n">
        <f aca="false">SUMPRODUCT(Holdings!$C26:$O26,Holdings!$C$32:$O$32,$AB$72:$AN$72)+Inputs_Banks!$P26*$AL$72</f>
        <v>9.58045764895551</v>
      </c>
      <c r="AX67" s="35" t="n">
        <f aca="false">Modules!$T26+AS67+AT67+AU67+AV67+AW67+AR67</f>
        <v>42.6068074700433</v>
      </c>
      <c r="AY67" s="35" t="n">
        <f aca="false">Modules!$U26-(1-p_tax)*AX67</f>
        <v>36.7311237764975</v>
      </c>
      <c r="AZ67" s="39" t="n">
        <f aca="false">AY67/Modules!$V26</f>
        <v>0.0541516921804985</v>
      </c>
      <c r="BA67" s="48" t="s">
        <v>639</v>
      </c>
      <c r="BB67" s="43" t="n">
        <f aca="false">INDEX($BJ$47:$BJ$80,BDC_EAD!$B26)</f>
        <v>0.261914595446638</v>
      </c>
      <c r="BC67" s="43" t="n">
        <f aca="false">INDEX($BK$47:$BK$80,BDC_EAD!$B26)</f>
        <v>0.0568250746624367</v>
      </c>
      <c r="BD67" s="22" t="n">
        <f aca="false">INDEX(BDC!$Q$6:$Q$39,BDC_EAD!$B26)</f>
        <v>0.310820512820513</v>
      </c>
      <c r="BE67" s="43" t="n">
        <f aca="false">BB67*(1-$AK$72)-BC67-p_c_liq</f>
        <v>0.0372279528332139</v>
      </c>
      <c r="BF67" s="43" t="n">
        <f aca="false">p_phi*MAX(0,p_a_spv-BE67)/p_a_spv+(1-p_phi)*MAX(0,p_a_spv-BB67)/p_a_spv</f>
        <v>0.882621026634431</v>
      </c>
      <c r="BG67" s="43" t="n">
        <f aca="false">IF(BD67&gt;0,p_phi*MAX(0,BD67-BE67)/BD67+(1-p_phi)*MAX(0,BD67-BB67)/BD67,0)</f>
        <v>0.735650389962049</v>
      </c>
      <c r="BI67" s="12" t="str">
        <f aca="false">BDC!$A$26</f>
        <v>HTGC</v>
      </c>
      <c r="BJ67" s="43" t="n">
        <f aca="false">1-((1-BDC!$D$26)*$CD$63+BDC!$D$26*$CD$64)-p_gap-$CD$53*(1-BDC!$M$26)</f>
        <v>0.49422228775433</v>
      </c>
      <c r="BK67" s="43" t="n">
        <f aca="false">(1-BDC!$D$26)*$CD$65+BDC!$D$26*$CD$66</f>
        <v>0.0568250746624367</v>
      </c>
      <c r="BL67" s="45" t="n">
        <f aca="false">BJ67/BDC!$K$26</f>
        <v>0.974049751593485</v>
      </c>
      <c r="BM67" s="35" t="n">
        <f aca="false">IF(BL67&lt;1.5,BDC!$C$26,0)</f>
        <v>4.58</v>
      </c>
      <c r="BN67" s="43" t="n">
        <f aca="false">MAX(0,1-BJ67*(1-CE_mig_hc)-p_bb_cush)*BDC!$Q$26</f>
        <v>0.136448855252561</v>
      </c>
      <c r="BO67" s="43" t="n">
        <f aca="false">MAX(0,BDC!$K$26-BJ67/1.5)</f>
        <v>0.177907637392023</v>
      </c>
      <c r="BP67" s="43" t="n">
        <f aca="false">MIN(MIN(1,BDC!$H$26*$CD$56),$CD$55)</f>
        <v>0</v>
      </c>
      <c r="BQ67" s="43" t="n">
        <f aca="false">BDC!$I$26*BDC!$J$26*BP67*(1-0.3)</f>
        <v>0</v>
      </c>
      <c r="BR67" s="45" t="n">
        <f aca="false">BDC!$C$26*($CD$54*MAX(BN67,BO67)+BQ67)</f>
        <v>0.814816979255465</v>
      </c>
      <c r="CC67" s="10" t="s">
        <v>992</v>
      </c>
      <c r="CD67" s="43" t="n">
        <f aca="false">1-((1-CE_sw_sys)*$CD$63+CE_sw_sys*$CD$64)-p_gap-$CD$53*(1-CE_mk_sys)</f>
        <v>0.408146622487016</v>
      </c>
    </row>
    <row r="68" customFormat="false" ht="15" hidden="false" customHeight="true" outlineLevel="0" collapsed="false">
      <c r="A68" s="10" t="s">
        <v>538</v>
      </c>
      <c r="B68" s="35" t="n">
        <f aca="false">AY28</f>
        <v>41.2923921002798</v>
      </c>
      <c r="C68" s="39" t="n">
        <f aca="false">AZ28</f>
        <v>0.0756222061510351</v>
      </c>
      <c r="D68" s="44" t="n">
        <f aca="false">IF(C68&lt;Inputs_Banks!$I27,1,0)</f>
        <v>1</v>
      </c>
      <c r="E68" s="44" t="n">
        <f aca="false">IF(C68&lt;0.045,1,0)</f>
        <v>0</v>
      </c>
      <c r="F68" s="44" t="n">
        <f aca="false">IF(B68&lt;0,1,0)</f>
        <v>0</v>
      </c>
      <c r="G68" s="44" t="n">
        <f aca="false">MIN(6,MIN(3,INT(MAX(0,Inputs_Banks!$BA27-C68)/p_notch_step))+D68+2*E68)</f>
        <v>3</v>
      </c>
      <c r="H68" s="39" t="n">
        <f aca="false">C68-Inputs_Banks!$I27</f>
        <v>-0.0056777938489649</v>
      </c>
      <c r="I68" s="44" t="n">
        <f aca="false">RANK(H68,$H$47:$H$70,1)</f>
        <v>24</v>
      </c>
      <c r="J68" s="44" t="n">
        <f aca="false">MAX(IF(I68&lt;=g_n_weak,1,0),E68)</f>
        <v>0</v>
      </c>
      <c r="K68" s="44" t="n">
        <f aca="false">IF(I68&gt;12,1,0)*(1-E68)</f>
        <v>1</v>
      </c>
      <c r="L68" s="35" t="n">
        <f aca="false">INDEX(Inputs_Banks!$AR27:$AX27,1,G68+1)</f>
        <v>1.75265973802349</v>
      </c>
      <c r="M68" s="35" t="n">
        <f aca="false">Inputs_Banks!$AI27*MIN(1,p_u_base+$CD$50*p_u_pan_all+J68*($CD$50*p_u_pan_weak+p_u_mda*D68)+p_u_notch*G68+p_u_fail*E68)</f>
        <v>150.345736670561</v>
      </c>
      <c r="N68" s="35" t="n">
        <f aca="false">Inputs_Banks!$AK27*MIN(1,p_w_base+p_w_pan*$CD$50+p_w_notch*G68+0.5*D68+1*E68)</f>
        <v>37.6025029210996</v>
      </c>
      <c r="O68" s="35" t="n">
        <f aca="false">Inputs_Banks!$AO27*MIN(1,p_cp_base+p_cp_pan*$CD$50+p_cp_notch*G68)</f>
        <v>15.5</v>
      </c>
      <c r="P68" s="35" t="n">
        <f aca="false">Inputs_Banks!$AN27*(p_dh+p_dh_pan*$CD$50+MIN(1,0.5*$CD$57+0.25*G68))</f>
        <v>71.2624542599161</v>
      </c>
      <c r="Q68" s="35" t="n">
        <f aca="false">Modules!$Y27</f>
        <v>8.4308773</v>
      </c>
      <c r="R68" s="35" t="n">
        <f aca="false">Inputs_Banks!$AJ27*K68</f>
        <v>1101.02948773138</v>
      </c>
      <c r="S68" s="35" t="n">
        <f aca="false">p_liq_on*$CD$58*SUM($M$47:$M$70)*R68/MAX(0.000000001,SUM($R$47:$R$70))</f>
        <v>134.55742860183</v>
      </c>
      <c r="T68" s="35" t="n">
        <f aca="false">p_liq_on*(L68+M68+N68+O68+P68+Q68)</f>
        <v>284.894230889601</v>
      </c>
      <c r="U68" s="35" t="n">
        <f aca="false">g_usable*Inputs_Banks!$AG27+p_cb_on*Inputs_Banks!$AQ27+S68</f>
        <v>688.349171422075</v>
      </c>
      <c r="V68" s="35" t="n">
        <f aca="false">MAX(0,T68-U68)</f>
        <v>0</v>
      </c>
      <c r="W68" s="44" t="n">
        <f aca="false">IF(V68&gt;0.9*Inputs_Banks!$BB27,1,0)</f>
        <v>0</v>
      </c>
      <c r="X68" s="43" t="n">
        <f aca="false">MAX(p_htm_forced,(1-p_cb_on)*MIN(1,T68/Inputs_Banks!$AG27)*g_theta_sell)</f>
        <v>0.141471797856095</v>
      </c>
      <c r="Y68" s="35" t="n">
        <f aca="false">MAX(0,Modules!$V27-B68/(Inputs_Banks!$I27+g_del_buf))</f>
        <v>67.5602792151108</v>
      </c>
      <c r="Z68" s="35" t="n">
        <f aca="false">MIN(g_del_cap*Inputs_Banks!$BB27,Y68)</f>
        <v>12.31</v>
      </c>
      <c r="AA68" s="35" t="n">
        <f aca="false">MIN(Inputs_Banks!$BB27,V68+Z68)</f>
        <v>12.31</v>
      </c>
      <c r="AB68" s="35" t="n">
        <f aca="false">$AA68*Holdings!Q27</f>
        <v>0</v>
      </c>
      <c r="AC68" s="35" t="n">
        <f aca="false">$AA68*Holdings!R27</f>
        <v>0</v>
      </c>
      <c r="AD68" s="35" t="n">
        <f aca="false">$AA68*Holdings!S27</f>
        <v>0</v>
      </c>
      <c r="AE68" s="35" t="n">
        <f aca="false">$AA68*Holdings!T27</f>
        <v>0</v>
      </c>
      <c r="AF68" s="35" t="n">
        <f aca="false">$AA68*Holdings!U27</f>
        <v>0</v>
      </c>
      <c r="AG68" s="35" t="n">
        <f aca="false">$AA68*Holdings!V27</f>
        <v>0</v>
      </c>
      <c r="AH68" s="35" t="n">
        <f aca="false">$AA68*Holdings!W27</f>
        <v>0</v>
      </c>
      <c r="AI68" s="35" t="n">
        <f aca="false">$AA68*Holdings!X27</f>
        <v>0</v>
      </c>
      <c r="AJ68" s="35" t="n">
        <f aca="false">$AA68*Holdings!Y27</f>
        <v>0</v>
      </c>
      <c r="AK68" s="35" t="n">
        <f aca="false">$AA68*Holdings!Z27</f>
        <v>0</v>
      </c>
      <c r="AL68" s="35" t="n">
        <f aca="false">$AA68*Holdings!AA27</f>
        <v>0</v>
      </c>
      <c r="AM68" s="35" t="n">
        <f aca="false">$AA68*Holdings!AB27</f>
        <v>0</v>
      </c>
      <c r="AN68" s="35" t="n">
        <f aca="false">$AA68*Holdings!AC27</f>
        <v>12.31</v>
      </c>
      <c r="AO68" s="43" t="n">
        <f aca="false">MIN(1,$CD$57+0.5*G68)</f>
        <v>1</v>
      </c>
      <c r="AP68" s="35" t="n">
        <f aca="false">p_liq_on*Inputs_Banks!$AP27*AO68*p_mb_psi</f>
        <v>4.374</v>
      </c>
      <c r="AQ68" s="44" t="n">
        <f aca="false">MAX(F68,E68,W68*(1-p_cb_on))</f>
        <v>0</v>
      </c>
      <c r="AR68" s="35" t="n">
        <f aca="false">p_ib_on*p_lgd_ib*g_s_in*g_u_ib*SUMPRODUCT(Network!X$6:X$29,$AQ$47:$AQ$70)</f>
        <v>2.1466925289075</v>
      </c>
      <c r="AS68" s="35" t="n">
        <f aca="false">p_sw_M1*(SUMPRODUCT(BDC_EAD!X$106:X$127,$BF$47:$BF$68)+SUMPRODUCT(BDC_EAD!X$131:X$152,$BG$47:$BG$68)+(Inputs_Banks!$Y27+p_ccf_bl*Inputs_Banks!$Z27)*$CD$70+Modules!$E27)</f>
        <v>7.83931301052684</v>
      </c>
      <c r="AT68" s="35" t="n">
        <f aca="false">p_sw_M3*(Inputs_Banks!$U27+p_ccf_abf*Inputs_Banks!$V27)*$CD$71</f>
        <v>0</v>
      </c>
      <c r="AU68" s="35" t="n">
        <f aca="false">p_sw_M10*Inputs_Banks!$AC27*$CD$72</f>
        <v>0</v>
      </c>
      <c r="AV68" s="35" t="n">
        <f aca="false">p_sw_M8*(Modules!$M27+Modules!$N27*IF(p_liq_on&gt;0,X68,p_htm_forced))</f>
        <v>1.7060801035343</v>
      </c>
      <c r="AW68" s="35" t="n">
        <f aca="false">SUMPRODUCT(Holdings!$C27:$O27,Holdings!$C$32:$O$32,$AB$72:$AN$72)+Inputs_Banks!$P27*$AL$72</f>
        <v>7.66960803240718</v>
      </c>
      <c r="AX68" s="35" t="n">
        <f aca="false">Modules!$T27+AS68+AT68+AU68+AV68+AW68+AR68</f>
        <v>29.2108646596847</v>
      </c>
      <c r="AY68" s="35" t="n">
        <f aca="false">Modules!$U27-(1-p_tax)*AX68</f>
        <v>39.1121167067749</v>
      </c>
      <c r="AZ68" s="39" t="n">
        <f aca="false">AY68/Modules!$V27</f>
        <v>0.0716292857391285</v>
      </c>
      <c r="BA68" s="48" t="s">
        <v>653</v>
      </c>
      <c r="BB68" s="43" t="n">
        <f aca="false">INDEX($BJ$47:$BJ$80,BDC_EAD!$B27)</f>
        <v>0.525207527908933</v>
      </c>
      <c r="BC68" s="43" t="n">
        <f aca="false">INDEX($BK$47:$BK$80,BDC_EAD!$B27)</f>
        <v>0.0619669987597597</v>
      </c>
      <c r="BD68" s="22" t="n">
        <f aca="false">INDEX(BDC!$Q$6:$Q$39,BDC_EAD!$B27)</f>
        <v>0.118607929515418</v>
      </c>
      <c r="BE68" s="43" t="n">
        <f aca="false">BB68*(1-$AK$72)-BC68-p_c_liq</f>
        <v>0.176897141590153</v>
      </c>
      <c r="BF68" s="43" t="n">
        <f aca="false">p_phi*MAX(0,p_a_spv-BE68)/p_a_spv+(1-p_phi)*MAX(0,p_a_spv-BB68)/p_a_spv</f>
        <v>0.647772544494415</v>
      </c>
      <c r="BG68" s="43" t="n">
        <f aca="false">IF(BD68&gt;0,p_phi*MAX(0,BD68-BE68)/BD68+(1-p_phi)*MAX(0,BD68-BB68)/BD68,0)</f>
        <v>0</v>
      </c>
      <c r="BI68" s="12" t="str">
        <f aca="false">BDC!$A$27</f>
        <v>MSDL</v>
      </c>
      <c r="BJ68" s="43" t="n">
        <f aca="false">1-((1-BDC!$D$27)*$CD$63+BDC!$D$27*$CD$64)-p_gap-$CD$53*(1-BDC!$M$27)</f>
        <v>0.363449670124075</v>
      </c>
      <c r="BK68" s="43" t="n">
        <f aca="false">(1-BDC!$D$27)*$CD$65+BDC!$D$27*$CD$66</f>
        <v>0.0611472717297517</v>
      </c>
      <c r="BL68" s="45" t="n">
        <f aca="false">BJ68/BDC!$K$27</f>
        <v>0.666324395227472</v>
      </c>
      <c r="BM68" s="35" t="n">
        <f aca="false">IF(BL68&lt;1.5,BDC!$C$27,0)</f>
        <v>3.55</v>
      </c>
      <c r="BN68" s="43" t="n">
        <f aca="false">MAX(0,1-BJ68*(1-CE_mig_hc)-p_bb_cush)*BDC!$Q$27</f>
        <v>0.155815521691545</v>
      </c>
      <c r="BO68" s="43" t="n">
        <f aca="false">MAX(0,BDC!$K$27-BJ68/1.5)</f>
        <v>0.303154765371829</v>
      </c>
      <c r="BP68" s="43" t="n">
        <f aca="false">MIN(MIN(1,BDC!$H$27*$CD$56),$CD$55)</f>
        <v>0</v>
      </c>
      <c r="BQ68" s="43" t="n">
        <f aca="false">BDC!$I$27*BDC!$J$27*BP68*(1-0.3)</f>
        <v>0</v>
      </c>
      <c r="BR68" s="45" t="n">
        <f aca="false">BDC!$C$27*($CD$54*MAX(BN68,BO68)+BQ68)</f>
        <v>1.07619941706999</v>
      </c>
      <c r="CC68" s="10" t="s">
        <v>845</v>
      </c>
      <c r="CD68" s="43" t="n">
        <f aca="false">(1-CE_sw_sys)*$CD$65+CE_sw_sys*$CD$66</f>
        <v>0.0617359683514154</v>
      </c>
    </row>
    <row r="69" customFormat="false" ht="15" hidden="false" customHeight="true" outlineLevel="0" collapsed="false">
      <c r="A69" s="10" t="s">
        <v>540</v>
      </c>
      <c r="B69" s="35" t="n">
        <f aca="false">AY29</f>
        <v>38.1397287511541</v>
      </c>
      <c r="C69" s="39" t="n">
        <f aca="false">AZ29</f>
        <v>0.0644785831322175</v>
      </c>
      <c r="D69" s="44" t="n">
        <f aca="false">IF(C69&lt;Inputs_Banks!$I28,1,0)</f>
        <v>1</v>
      </c>
      <c r="E69" s="44" t="n">
        <f aca="false">IF(C69&lt;0.045,1,0)</f>
        <v>0</v>
      </c>
      <c r="F69" s="44" t="n">
        <f aca="false">IF(B69&lt;0,1,0)</f>
        <v>0</v>
      </c>
      <c r="G69" s="44" t="n">
        <f aca="false">MIN(6,MIN(3,INT(MAX(0,Inputs_Banks!$BA28-C69)/p_notch_step))+D69+2*E69)</f>
        <v>3</v>
      </c>
      <c r="H69" s="39" t="n">
        <f aca="false">C69-Inputs_Banks!$I28</f>
        <v>-0.0465214168677825</v>
      </c>
      <c r="I69" s="44" t="n">
        <f aca="false">RANK(H69,$H$47:$H$70,1)</f>
        <v>15</v>
      </c>
      <c r="J69" s="44" t="n">
        <f aca="false">MAX(IF(I69&lt;=g_n_weak,1,0),E69)</f>
        <v>0</v>
      </c>
      <c r="K69" s="44" t="n">
        <f aca="false">IF(I69&gt;12,1,0)*(1-E69)</f>
        <v>1</v>
      </c>
      <c r="L69" s="35" t="n">
        <f aca="false">INDEX(Inputs_Banks!$AR28:$AX28,1,G69+1)</f>
        <v>0.713129179866244</v>
      </c>
      <c r="M69" s="35" t="n">
        <f aca="false">Inputs_Banks!$AI28*MIN(1,p_u_base+$CD$50*p_u_pan_all+J69*($CD$50*p_u_pan_weak+p_u_mda*D69)+p_u_notch*G69+p_u_fail*E69)</f>
        <v>103.04116156283</v>
      </c>
      <c r="N69" s="35" t="n">
        <f aca="false">Inputs_Banks!$AK28*MIN(1,p_w_base+p_w_pan*$CD$50+p_w_notch*G69+0.5*D69+1*E69)</f>
        <v>111.12284406899</v>
      </c>
      <c r="O69" s="35" t="n">
        <f aca="false">Inputs_Banks!$AO28*MIN(1,p_cp_base+p_cp_pan*$CD$50+p_cp_notch*G69)</f>
        <v>38.53</v>
      </c>
      <c r="P69" s="35" t="n">
        <f aca="false">Inputs_Banks!$AN28*(p_dh+p_dh_pan*$CD$50+MIN(1,0.5*$CD$57+0.25*G69))</f>
        <v>88.8900335264263</v>
      </c>
      <c r="Q69" s="35" t="n">
        <f aca="false">Modules!$Y28</f>
        <v>3.6692462</v>
      </c>
      <c r="R69" s="35" t="n">
        <f aca="false">Inputs_Banks!$AJ28*K69</f>
        <v>1157.74234424498</v>
      </c>
      <c r="S69" s="35" t="n">
        <f aca="false">p_liq_on*$CD$58*SUM($M$47:$M$70)*R69/MAX(0.000000001,SUM($R$47:$R$70))</f>
        <v>141.48833846952</v>
      </c>
      <c r="T69" s="35" t="n">
        <f aca="false">p_liq_on*(L69+M69+N69+O69+P69+Q69)</f>
        <v>345.966414538112</v>
      </c>
      <c r="U69" s="35" t="n">
        <f aca="false">g_usable*Inputs_Banks!$AG28+p_cb_on*Inputs_Banks!$AQ28+S69</f>
        <v>653.003192394195</v>
      </c>
      <c r="V69" s="35" t="n">
        <f aca="false">MAX(0,T69-U69)</f>
        <v>0</v>
      </c>
      <c r="W69" s="44" t="n">
        <f aca="false">IF(V69&gt;0.9*Inputs_Banks!$BB28,1,0)</f>
        <v>0</v>
      </c>
      <c r="X69" s="43" t="n">
        <f aca="false">MAX(p_htm_forced,(1-p_cb_on)*MIN(1,T69/Inputs_Banks!$AG28)*g_theta_sell)</f>
        <v>0.25</v>
      </c>
      <c r="Y69" s="35" t="n">
        <f aca="false">MAX(0,Modules!$V28-B69/(Inputs_Banks!$I28+g_del_buf))</f>
        <v>262.71926658283</v>
      </c>
      <c r="Z69" s="35" t="n">
        <f aca="false">MIN(g_del_cap*Inputs_Banks!$BB28,Y69)</f>
        <v>33.855</v>
      </c>
      <c r="AA69" s="35" t="n">
        <f aca="false">MIN(Inputs_Banks!$BB28,V69+Z69)</f>
        <v>33.855</v>
      </c>
      <c r="AB69" s="35" t="n">
        <f aca="false">$AA69*Holdings!Q28</f>
        <v>0</v>
      </c>
      <c r="AC69" s="35" t="n">
        <f aca="false">$AA69*Holdings!R28</f>
        <v>0</v>
      </c>
      <c r="AD69" s="35" t="n">
        <f aca="false">$AA69*Holdings!S28</f>
        <v>0</v>
      </c>
      <c r="AE69" s="35" t="n">
        <f aca="false">$AA69*Holdings!T28</f>
        <v>0</v>
      </c>
      <c r="AF69" s="35" t="n">
        <f aca="false">$AA69*Holdings!U28</f>
        <v>13.575</v>
      </c>
      <c r="AG69" s="35" t="n">
        <f aca="false">$AA69*Holdings!V28</f>
        <v>0.3625</v>
      </c>
      <c r="AH69" s="35" t="n">
        <f aca="false">$AA69*Holdings!W28</f>
        <v>0</v>
      </c>
      <c r="AI69" s="35" t="n">
        <f aca="false">$AA69*Holdings!X28</f>
        <v>0</v>
      </c>
      <c r="AJ69" s="35" t="n">
        <f aca="false">$AA69*Holdings!Y28</f>
        <v>2.83</v>
      </c>
      <c r="AK69" s="35" t="n">
        <f aca="false">$AA69*Holdings!Z28</f>
        <v>0</v>
      </c>
      <c r="AL69" s="35" t="n">
        <f aca="false">$AA69*Holdings!AA28</f>
        <v>17.0875</v>
      </c>
      <c r="AM69" s="35" t="n">
        <f aca="false">$AA69*Holdings!AB28</f>
        <v>0</v>
      </c>
      <c r="AN69" s="35" t="n">
        <f aca="false">$AA69*Holdings!AC28</f>
        <v>0</v>
      </c>
      <c r="AO69" s="43" t="n">
        <f aca="false">MIN(1,$CD$57+0.5*G69)</f>
        <v>1</v>
      </c>
      <c r="AP69" s="35" t="n">
        <f aca="false">p_liq_on*Inputs_Banks!$AP28*AO69*p_mb_psi</f>
        <v>1.278</v>
      </c>
      <c r="AQ69" s="44" t="n">
        <f aca="false">MAX(F69,E69,W69*(1-p_cb_on))</f>
        <v>0</v>
      </c>
      <c r="AR69" s="35" t="n">
        <f aca="false">p_ib_on*p_lgd_ib*g_s_in*g_u_ib*SUMPRODUCT(Network!Y$6:Y$29,$AQ$47:$AQ$70)</f>
        <v>2.54688213716781</v>
      </c>
      <c r="AS69" s="35" t="n">
        <f aca="false">p_sw_M1*(SUMPRODUCT(BDC_EAD!Y$106:Y$127,$BF$47:$BF$68)+SUMPRODUCT(BDC_EAD!Y$131:Y$152,$BG$47:$BG$68)+(Inputs_Banks!$Y28+p_ccf_bl*Inputs_Banks!$Z28)*$CD$70+Modules!$E28)</f>
        <v>9.5671959469054</v>
      </c>
      <c r="AT69" s="35" t="n">
        <f aca="false">p_sw_M3*(Inputs_Banks!$U28+p_ccf_abf*Inputs_Banks!$V28)*$CD$71</f>
        <v>7.1638502201745</v>
      </c>
      <c r="AU69" s="35" t="n">
        <f aca="false">p_sw_M10*Inputs_Banks!$AC28*$CD$72</f>
        <v>0</v>
      </c>
      <c r="AV69" s="35" t="n">
        <f aca="false">p_sw_M8*(Modules!$M28+Modules!$N28*IF(p_liq_on&gt;0,X69,p_htm_forced))</f>
        <v>4.53398609644492</v>
      </c>
      <c r="AW69" s="35" t="n">
        <f aca="false">SUMPRODUCT(Holdings!$C28:$O28,Holdings!$C$32:$O$32,$AB$72:$AN$72)+Inputs_Banks!$P28*$AL$72</f>
        <v>5.64745227188545</v>
      </c>
      <c r="AX69" s="35" t="n">
        <f aca="false">Modules!$T28+AS69+AT69+AU69+AV69+AW69+AR69</f>
        <v>38.58229914885</v>
      </c>
      <c r="AY69" s="35" t="n">
        <f aca="false">Modules!$U28-(1-p_tax)*AX69</f>
        <v>35.3043604780419</v>
      </c>
      <c r="AZ69" s="39" t="n">
        <f aca="false">AY69/Modules!$V28</f>
        <v>0.0596851424105714</v>
      </c>
      <c r="BA69" s="44" t="n">
        <f aca="false">MAX(F69,E69)</f>
        <v>0</v>
      </c>
      <c r="BI69" s="12" t="str">
        <f aca="false">BDC!$A$28</f>
        <v>TSLX</v>
      </c>
      <c r="BJ69" s="43" t="n">
        <f aca="false">1-((1-BDC!$D$28)*$CD$63+BDC!$D$28*$CD$64)-p_gap-$CD$53*(1-BDC!$M$28)</f>
        <v>0.525207527908933</v>
      </c>
      <c r="BK69" s="43" t="n">
        <f aca="false">(1-BDC!$D$28)*$CD$65+BDC!$D$28*$CD$66</f>
        <v>0.0619669987597597</v>
      </c>
      <c r="BL69" s="45" t="n">
        <f aca="false">BJ69/BDC!$K$28</f>
        <v>0.938756762482896</v>
      </c>
      <c r="BM69" s="35" t="n">
        <f aca="false">IF(BL69&lt;1.5,BDC!$C$28,0)</f>
        <v>3.3</v>
      </c>
      <c r="BN69" s="43" t="n">
        <f aca="false">MAX(0,1-BJ69*(1-CE_mig_hc)-p_bb_cush)*BDC!$Q$28</f>
        <v>0.0605793713671617</v>
      </c>
      <c r="BO69" s="43" t="n">
        <f aca="false">MAX(0,BDC!$K$28-BJ69/1.5)</f>
        <v>0.209333013699478</v>
      </c>
      <c r="BP69" s="43" t="n">
        <f aca="false">MIN(MIN(1,BDC!$H$28*$CD$56),$CD$55)</f>
        <v>0</v>
      </c>
      <c r="BQ69" s="43" t="n">
        <f aca="false">BDC!$I$28*BDC!$J$28*BP69*(1-0.3)</f>
        <v>0</v>
      </c>
      <c r="BR69" s="45" t="n">
        <f aca="false">BDC!$C$28*($CD$54*MAX(BN69,BO69)+BQ69)</f>
        <v>0.690798945208277</v>
      </c>
      <c r="CC69" s="10" t="s">
        <v>993</v>
      </c>
      <c r="CD69" s="43" t="n">
        <f aca="false">$CD$67*(1-$AK$72)-$CD$68-p_c_liq</f>
        <v>0.112744674016444</v>
      </c>
    </row>
    <row r="70" customFormat="false" ht="15" hidden="false" customHeight="true" outlineLevel="0" collapsed="false">
      <c r="A70" s="10" t="s">
        <v>543</v>
      </c>
      <c r="B70" s="35" t="n">
        <f aca="false">AY30</f>
        <v>6.30211203076101</v>
      </c>
      <c r="C70" s="39" t="n">
        <f aca="false">AZ30</f>
        <v>0.0602404224092014</v>
      </c>
      <c r="D70" s="44" t="n">
        <f aca="false">IF(C70&lt;Inputs_Banks!$I29,1,0)</f>
        <v>1</v>
      </c>
      <c r="E70" s="44" t="n">
        <f aca="false">IF(C70&lt;0.045,1,0)</f>
        <v>0</v>
      </c>
      <c r="F70" s="44" t="n">
        <f aca="false">IF(B70&lt;0,1,0)</f>
        <v>0</v>
      </c>
      <c r="G70" s="44" t="n">
        <f aca="false">MIN(6,MIN(3,INT(MAX(0,Inputs_Banks!$BA29-C70)/p_notch_step))+D70+2*E70)</f>
        <v>2</v>
      </c>
      <c r="H70" s="39" t="n">
        <f aca="false">C70-Inputs_Banks!$I29</f>
        <v>-0.00725957759079862</v>
      </c>
      <c r="I70" s="44" t="n">
        <f aca="false">RANK(H70,$H$47:$H$70,1)</f>
        <v>23</v>
      </c>
      <c r="J70" s="44" t="n">
        <f aca="false">MAX(IF(I70&lt;=g_n_weak,1,0),E70)</f>
        <v>0</v>
      </c>
      <c r="K70" s="44" t="n">
        <f aca="false">IF(I70&gt;12,1,0)*(1-E70)</f>
        <v>1</v>
      </c>
      <c r="L70" s="35" t="n">
        <f aca="false">INDEX(Inputs_Banks!$AR29:$AX29,1,G70+1)</f>
        <v>0.8997</v>
      </c>
      <c r="M70" s="35" t="n">
        <f aca="false">Inputs_Banks!$AI29*MIN(1,p_u_base+$CD$50*p_u_pan_all+J70*($CD$50*p_u_pan_weak+p_u_mda*D70)+p_u_notch*G70+p_u_fail*E70)</f>
        <v>0</v>
      </c>
      <c r="N70" s="35" t="n">
        <f aca="false">Inputs_Banks!$AK29*MIN(1,p_w_base+p_w_pan*$CD$50+p_w_notch*G70+0.5*D70+1*E70)</f>
        <v>1.603</v>
      </c>
      <c r="O70" s="35" t="n">
        <f aca="false">Inputs_Banks!$AO29*MIN(1,p_cp_base+p_cp_pan*$CD$50+p_cp_notch*G70)</f>
        <v>0</v>
      </c>
      <c r="P70" s="35" t="n">
        <f aca="false">Inputs_Banks!$AN29*(p_dh+p_dh_pan*$CD$50+MIN(1,0.5*$CD$57+0.25*G70))</f>
        <v>15.8432978486056</v>
      </c>
      <c r="Q70" s="35" t="n">
        <f aca="false">Modules!$Y29</f>
        <v>0</v>
      </c>
      <c r="R70" s="35" t="n">
        <f aca="false">Inputs_Banks!$AJ29*K70</f>
        <v>0</v>
      </c>
      <c r="S70" s="35" t="n">
        <f aca="false">p_liq_on*$CD$58*SUM($M$47:$M$70)*R70/MAX(0.000000001,SUM($R$47:$R$70))</f>
        <v>0</v>
      </c>
      <c r="T70" s="35" t="n">
        <f aca="false">p_liq_on*(L70+M70+N70+O70+P70+Q70)</f>
        <v>18.3459978486056</v>
      </c>
      <c r="U70" s="35" t="n">
        <f aca="false">g_usable*Inputs_Banks!$AG29+p_cb_on*Inputs_Banks!$AQ29+S70</f>
        <v>16.4573</v>
      </c>
      <c r="V70" s="35" t="n">
        <f aca="false">MAX(0,T70-U70)</f>
        <v>1.88869784860557</v>
      </c>
      <c r="W70" s="44" t="n">
        <f aca="false">IF(V70&gt;0.9*Inputs_Banks!$BB29,1,0)</f>
        <v>0</v>
      </c>
      <c r="X70" s="43" t="n">
        <f aca="false">MAX(p_htm_forced,(1-p_cb_on)*MIN(1,T70/Inputs_Banks!$AG29)*g_theta_sell)</f>
        <v>0.25</v>
      </c>
      <c r="Y70" s="35" t="n">
        <f aca="false">MAX(0,Modules!$V29-B70/(Inputs_Banks!$I29+g_del_buf))</f>
        <v>17.6903168170895</v>
      </c>
      <c r="Z70" s="35" t="n">
        <f aca="false">MIN(g_del_cap*Inputs_Banks!$BB29,Y70)</f>
        <v>4.57</v>
      </c>
      <c r="AA70" s="35" t="n">
        <f aca="false">MIN(Inputs_Banks!$BB29,V70+Z70)</f>
        <v>6.45869784860557</v>
      </c>
      <c r="AB70" s="35" t="n">
        <f aca="false">$AA70*Holdings!Q29</f>
        <v>0</v>
      </c>
      <c r="AC70" s="35" t="n">
        <f aca="false">$AA70*Holdings!R29</f>
        <v>0</v>
      </c>
      <c r="AD70" s="35" t="n">
        <f aca="false">$AA70*Holdings!S29</f>
        <v>0</v>
      </c>
      <c r="AE70" s="35" t="n">
        <f aca="false">$AA70*Holdings!T29</f>
        <v>0.229658293303808</v>
      </c>
      <c r="AF70" s="35" t="n">
        <f aca="false">$AA70*Holdings!U29</f>
        <v>1.86199877801703</v>
      </c>
      <c r="AG70" s="35" t="n">
        <f aca="false">$AA70*Holdings!V29</f>
        <v>0</v>
      </c>
      <c r="AH70" s="35" t="n">
        <f aca="false">$AA70*Holdings!W29</f>
        <v>0.64657642576303</v>
      </c>
      <c r="AI70" s="35" t="n">
        <f aca="false">$AA70*Holdings!X29</f>
        <v>0.250857520378006</v>
      </c>
      <c r="AJ70" s="35" t="n">
        <f aca="false">$AA70*Holdings!Y29</f>
        <v>0.346254042211896</v>
      </c>
      <c r="AK70" s="35" t="n">
        <f aca="false">$AA70*Holdings!Z29</f>
        <v>0</v>
      </c>
      <c r="AL70" s="35" t="n">
        <f aca="false">$AA70*Holdings!AA29</f>
        <v>3.0597551077092</v>
      </c>
      <c r="AM70" s="35" t="n">
        <f aca="false">$AA70*Holdings!AB29</f>
        <v>0</v>
      </c>
      <c r="AN70" s="35" t="n">
        <f aca="false">$AA70*Holdings!AC29</f>
        <v>0.0635976812225931</v>
      </c>
      <c r="AO70" s="43" t="n">
        <f aca="false">MIN(1,$CD$57+0.5*G70)</f>
        <v>1</v>
      </c>
      <c r="AP70" s="35" t="n">
        <f aca="false">p_liq_on*Inputs_Banks!$AP29*AO70*p_mb_psi</f>
        <v>0</v>
      </c>
      <c r="AQ70" s="44" t="n">
        <f aca="false">MAX(F70,E70,W70*(1-p_cb_on))</f>
        <v>0</v>
      </c>
      <c r="AR70" s="35" t="n">
        <f aca="false">p_ib_on*p_lgd_ib*g_s_in*g_u_ib*SUMPRODUCT(Network!Z$6:Z$29,$AQ$47:$AQ$70)</f>
        <v>0.220928563990574</v>
      </c>
      <c r="AS70" s="35" t="n">
        <f aca="false">p_sw_M1*(SUMPRODUCT(BDC_EAD!Z$106:Z$127,$BF$47:$BF$68)+SUMPRODUCT(BDC_EAD!Z$131:Z$152,$BG$47:$BG$68)+(Inputs_Banks!$Y29+p_ccf_bl*Inputs_Banks!$Z29)*$CD$70+Modules!$E29)</f>
        <v>0</v>
      </c>
      <c r="AT70" s="35" t="n">
        <f aca="false">p_sw_M3*(Inputs_Banks!$U29+p_ccf_abf*Inputs_Banks!$V29)*$CD$71</f>
        <v>0</v>
      </c>
      <c r="AU70" s="35" t="n">
        <f aca="false">p_sw_M10*Inputs_Banks!$AC29*$CD$72</f>
        <v>0</v>
      </c>
      <c r="AV70" s="35" t="n">
        <f aca="false">p_sw_M8*(Modules!$M29+Modules!$N29*IF(p_liq_on&gt;0,X70,p_htm_forced))</f>
        <v>0</v>
      </c>
      <c r="AW70" s="35" t="n">
        <f aca="false">SUMPRODUCT(Holdings!$C29:$O29,Holdings!$C$32:$O$32,$AB$72:$AN$72)+Inputs_Banks!$P29*$AL$72</f>
        <v>1.38077942330249</v>
      </c>
      <c r="AX70" s="35" t="n">
        <f aca="false">Modules!$T29+AS70+AT70+AU70+AV70+AW70+AR70</f>
        <v>2.75862158151775</v>
      </c>
      <c r="AY70" s="35" t="n">
        <f aca="false">Modules!$U29-(1-p_tax)*AX70</f>
        <v>5.95937841848225</v>
      </c>
      <c r="AZ70" s="39" t="n">
        <f aca="false">AY70/Modules!$V29</f>
        <v>0.0569643115630711</v>
      </c>
      <c r="BA70" s="44" t="n">
        <f aca="false">MAX(F70,E70)</f>
        <v>0</v>
      </c>
      <c r="BI70" s="12" t="str">
        <f aca="false">BDC!$A$29</f>
        <v>GSBD</v>
      </c>
      <c r="BJ70" s="43" t="n">
        <f aca="false">1-((1-BDC!$D$29)*$CD$63+BDC!$D$29*$CD$64)-p_gap-$CD$53*(1-BDC!$M$29)</f>
        <v>0.402673902876419</v>
      </c>
      <c r="BK70" s="43" t="n">
        <f aca="false">(1-BDC!$D$29)*$CD$65+BDC!$D$29*$CD$66</f>
        <v>0.0617434368424848</v>
      </c>
      <c r="BL70" s="45" t="n">
        <f aca="false">BJ70/BDC!$K$29</f>
        <v>0.698757654991433</v>
      </c>
      <c r="BM70" s="35" t="n">
        <f aca="false">IF(BL70&lt;1.5,BDC!$C$29,0)</f>
        <v>3.2</v>
      </c>
      <c r="BN70" s="43" t="n">
        <f aca="false">MAX(0,1-BJ70*(1-CE_mig_hc)-p_bb_cush)*BDC!$Q$29</f>
        <v>0.130680147041233</v>
      </c>
      <c r="BO70" s="43" t="n">
        <f aca="false">MAX(0,BDC!$K$29-BJ70/1.5)</f>
        <v>0.307821917856399</v>
      </c>
      <c r="BP70" s="43" t="n">
        <f aca="false">MIN(MIN(1,BDC!$H$29*$CD$56),$CD$55)</f>
        <v>0</v>
      </c>
      <c r="BQ70" s="43" t="n">
        <f aca="false">BDC!$I$29*BDC!$J$29*BP70*(1-0.3)</f>
        <v>0</v>
      </c>
      <c r="BR70" s="45" t="n">
        <f aca="false">BDC!$C$29*($CD$54*MAX(BN70,BO70)+BQ70)</f>
        <v>0.985030137140476</v>
      </c>
      <c r="CC70" s="10" t="s">
        <v>994</v>
      </c>
      <c r="CD70" s="43" t="n">
        <f aca="false">p_phi*MAX(0,p_a_spv-$CD$69)/p_a_spv+(1-p_phi)*MAX(0,p_a_spv-$CD$67)/p_a_spv</f>
        <v>0.754535623270631</v>
      </c>
    </row>
    <row r="71" customFormat="false" ht="15" hidden="false" customHeight="true" outlineLevel="0" collapsed="false">
      <c r="AA71" s="7" t="s">
        <v>995</v>
      </c>
      <c r="AB71" s="47" t="n">
        <f aca="false">p_fs_on*(SUM(AB47:AB70)+$CD$60*Holdings!C$37+Holdings!C$36*SUM($AP$47:$AP$70))</f>
        <v>0</v>
      </c>
      <c r="AC71" s="47" t="n">
        <f aca="false">p_fs_on*(SUM(AC47:AC70)+$CD$60*Holdings!D$37+Holdings!D$36*SUM($AP$47:$AP$70))</f>
        <v>0</v>
      </c>
      <c r="AD71" s="47" t="n">
        <f aca="false">p_fs_on*(SUM(AD47:AD70)+$CD$60*Holdings!E$37+Holdings!E$36*SUM($AP$47:$AP$70))</f>
        <v>0</v>
      </c>
      <c r="AE71" s="47" t="n">
        <f aca="false">p_fs_on*(SUM(AE47:AE70)+$CD$60*Holdings!F$37+Holdings!F$36*SUM($AP$47:$AP$70))</f>
        <v>65.5893229780475</v>
      </c>
      <c r="AF71" s="47" t="n">
        <f aca="false">p_fs_on*(SUM(AF47:AF70)+$CD$60*Holdings!G$37+Holdings!G$36*SUM($AP$47:$AP$70))</f>
        <v>354.094201866337</v>
      </c>
      <c r="AG71" s="47" t="n">
        <f aca="false">p_fs_on*(SUM(AG47:AG70)+$CD$60*Holdings!H$37+Holdings!H$36*SUM($AP$47:$AP$70))</f>
        <v>8.84482</v>
      </c>
      <c r="AH71" s="47" t="n">
        <f aca="false">p_fs_on*(SUM(AH47:AH70)+$CD$60*Holdings!I$37+Holdings!I$36*SUM($AP$47:$AP$70))</f>
        <v>58.8522290352918</v>
      </c>
      <c r="AI71" s="47" t="n">
        <f aca="false">p_fs_on*(SUM(AI47:AI70)+$CD$60*Holdings!J$37+Holdings!J$36*SUM($AP$47:$AP$70))</f>
        <v>97.135857520378</v>
      </c>
      <c r="AJ71" s="47" t="n">
        <f aca="false">p_fs_on*(SUM(AJ47:AJ70)+$CD$60*Holdings!K$37+Holdings!K$36*SUM($AP$47:$AP$70))</f>
        <v>99.3790650394213</v>
      </c>
      <c r="AK71" s="47" t="n">
        <f aca="false">p_fs_on*(SUM(AK47:AK70)+$CD$60*Holdings!L$37+$CD$74+Holdings!L$36*SUM($AP$47:$AP$70))</f>
        <v>216.309230667799</v>
      </c>
      <c r="AL71" s="47" t="n">
        <f aca="false">p_fs_on*(SUM(AL47:AL70)+$CD$60*Holdings!M$37+Holdings!M$36*SUM($AP$47:$AP$70))</f>
        <v>680.106334319912</v>
      </c>
      <c r="AM71" s="47" t="n">
        <f aca="false">p_fs_on*(SUM(AM47:AM70)+$CD$60*Holdings!N$37+Holdings!N$36*SUM($AP$47:$AP$70))</f>
        <v>0</v>
      </c>
      <c r="AN71" s="47" t="n">
        <f aca="false">p_fs_on*(SUM(AN47:AN70)+$CD$60*Holdings!O$37+Holdings!O$36*SUM($AP$47:$AP$70))</f>
        <v>158.227651909261</v>
      </c>
      <c r="BI71" s="12" t="str">
        <f aca="false">BDC!$A$30</f>
        <v>OCSL</v>
      </c>
      <c r="BJ71" s="43" t="n">
        <f aca="false">1-((1-BDC!$D$30)*$CD$63+BDC!$D$30*$CD$64)-p_gap-$CD$53*(1-BDC!$M$30)</f>
        <v>0.392098725301358</v>
      </c>
      <c r="BK71" s="43" t="n">
        <f aca="false">(1-BDC!$D$30)*$CD$65+BDC!$D$30*$CD$66</f>
        <v>0.0620042590793056</v>
      </c>
      <c r="BL71" s="45" t="n">
        <f aca="false">BJ71/BDC!$K$30</f>
        <v>0.769116730398817</v>
      </c>
      <c r="BM71" s="35" t="n">
        <f aca="false">IF(BL71&lt;1.5,BDC!$C$30,0)</f>
        <v>2.74</v>
      </c>
      <c r="BN71" s="43" t="n">
        <f aca="false">MAX(0,1-BJ71*(1-CE_mig_hc)-p_bb_cush)*BDC!$Q$30</f>
        <v>0.159860448974885</v>
      </c>
      <c r="BO71" s="43" t="n">
        <f aca="false">MAX(0,BDC!$K$30-BJ71/1.5)</f>
        <v>0.248404771367722</v>
      </c>
      <c r="BP71" s="43" t="n">
        <f aca="false">MIN(MIN(1,BDC!$H$30*$CD$56),$CD$55)</f>
        <v>0</v>
      </c>
      <c r="BQ71" s="43" t="n">
        <f aca="false">BDC!$I$30*BDC!$J$30*BP71*(1-0.3)</f>
        <v>0</v>
      </c>
      <c r="BR71" s="45" t="n">
        <f aca="false">BDC!$C$30*($CD$54*MAX(BN71,BO71)+BQ71)</f>
        <v>0.680629073547559</v>
      </c>
      <c r="CC71" s="10" t="s">
        <v>996</v>
      </c>
      <c r="CD71" s="43" t="n">
        <f aca="false">p_phi*MAX(0,g_a_abf-(CE_Vh_a*(1-$AJ$72)-p_c_liq))/g_a_abf+(1-p_phi)*MAX(0,g_a_abf-CE_Vh_a)/g_a_abf</f>
        <v>0.299301448169349</v>
      </c>
    </row>
    <row r="72" customFormat="false" ht="15" hidden="false" customHeight="true" outlineLevel="0" collapsed="false">
      <c r="AA72" s="7" t="s">
        <v>997</v>
      </c>
      <c r="AB72" s="50" t="n">
        <f aca="false">MIN(Holdings!C$34,$CD$59*Holdings!C$31*AB71/10000+Holdings!C$39*$CD$50^g_gamma_pan)</f>
        <v>0</v>
      </c>
      <c r="AC72" s="50" t="n">
        <f aca="false">MIN(Holdings!D$34,$CD$59*Holdings!D$31*AC71/10000+Holdings!D$39*$CD$50^g_gamma_pan)</f>
        <v>0.00999999999999999</v>
      </c>
      <c r="AD72" s="50" t="n">
        <f aca="false">MIN(Holdings!E$34,$CD$59*Holdings!E$31*AD71/10000+Holdings!E$39*$CD$50^g_gamma_pan)</f>
        <v>0.02</v>
      </c>
      <c r="AE72" s="50" t="n">
        <f aca="false">MIN(Holdings!F$34,$CD$59*Holdings!F$31*AE71/10000+Holdings!F$39*$CD$50^g_gamma_pan)</f>
        <v>0.0963973307445118</v>
      </c>
      <c r="AF72" s="50" t="n">
        <f aca="false">MIN(Holdings!G$34,$CD$59*Holdings!G$31*AF71/10000+Holdings!G$39*$CD$50^g_gamma_pan)</f>
        <v>0.25</v>
      </c>
      <c r="AG72" s="50" t="n">
        <f aca="false">MIN(Holdings!H$34,$CD$59*Holdings!H$31*AG71/10000+Holdings!H$39*$CD$50^g_gamma_pan)</f>
        <v>0.16326723</v>
      </c>
      <c r="AH72" s="50" t="n">
        <f aca="false">MIN(Holdings!I$34,$CD$59*Holdings!I$31*AH71/10000+Holdings!I$39*$CD$50^g_gamma_pan)</f>
        <v>0.376556687105875</v>
      </c>
      <c r="AI72" s="50" t="n">
        <f aca="false">MIN(Holdings!J$34,$CD$59*Holdings!J$31*AI71/10000+Holdings!J$39*$CD$50^g_gamma_pan)</f>
        <v>0.441407572561134</v>
      </c>
      <c r="AJ72" s="50" t="n">
        <f aca="false">MIN(Holdings!K$34,$CD$59*Holdings!K$31*AJ71/10000+Holdings!K$39*$CD$50^g_gamma_pan)</f>
        <v>0.249068597559132</v>
      </c>
      <c r="AK72" s="50" t="n">
        <f aca="false">MIN(Holdings!L$34,$CD$59*Holdings!L$31*AK71/10000+Holdings!L$39*$CD$50^g_gamma_pan)</f>
        <v>0.45</v>
      </c>
      <c r="AL72" s="50" t="n">
        <f aca="false">MIN(Holdings!M$34,$CD$59*Holdings!M$31*AL71/10000+Holdings!M$39*$CD$50^g_gamma_pan)</f>
        <v>0.334005316715995</v>
      </c>
      <c r="AM72" s="50" t="n">
        <f aca="false">MIN(Holdings!N$34,$CD$59*Holdings!N$31*AM71/10000+Holdings!N$39*$CD$50^g_gamma_pan)</f>
        <v>0</v>
      </c>
      <c r="AN72" s="50" t="n">
        <f aca="false">MIN(Holdings!O$34,$CD$59*Holdings!O$31*AN71/10000+Holdings!O$39*$CD$50^g_gamma_pan)</f>
        <v>0.258227651909261</v>
      </c>
      <c r="BI72" s="12" t="str">
        <f aca="false">BDC!$A$31</f>
        <v>BBDC</v>
      </c>
      <c r="BJ72" s="43" t="n">
        <f aca="false">1-((1-BDC!$D$31)*$CD$63+BDC!$D$31*$CD$64)-p_gap-$CD$53*(1-BDC!$M$31)</f>
        <v>0.440484450675871</v>
      </c>
      <c r="BK72" s="43" t="n">
        <f aca="false">(1-BDC!$D$31)*$CD$65+BDC!$D$31*$CD$66</f>
        <v>0.0655439894361583</v>
      </c>
      <c r="BL72" s="45" t="n">
        <f aca="false">BJ72/BDC!$K$31</f>
        <v>0.798601890249749</v>
      </c>
      <c r="BM72" s="35" t="n">
        <f aca="false">IF(BL72&lt;1.5,BDC!$C$31,0)</f>
        <v>2.46</v>
      </c>
      <c r="BN72" s="43" t="n">
        <f aca="false">MAX(0,1-BJ72*(1-CE_mig_hc)-p_bb_cush)*BDC!$Q$31</f>
        <v>0.161288813940408</v>
      </c>
      <c r="BO72" s="43" t="n">
        <f aca="false">MAX(0,BDC!$K$31-BJ72/1.5)</f>
        <v>0.257913206275877</v>
      </c>
      <c r="BP72" s="43" t="n">
        <f aca="false">MIN(MIN(1,BDC!$H$31*$CD$56),$CD$55)</f>
        <v>0</v>
      </c>
      <c r="BQ72" s="43" t="n">
        <f aca="false">BDC!$I$31*BDC!$J$31*BP72*(1-0.3)</f>
        <v>0</v>
      </c>
      <c r="BR72" s="45" t="n">
        <f aca="false">BDC!$C$31*($CD$54*MAX(BN72,BO72)+BQ72)</f>
        <v>0.634466487438657</v>
      </c>
      <c r="CC72" s="10" t="s">
        <v>998</v>
      </c>
      <c r="CD72" s="43" t="n">
        <f aca="false">p_phi*MAX(0,g_trs_adv-$CD$69)/g_trs_adv+(1-p_phi)*MAX(0,g_trs_adv-$CD$67)/g_trs_adv</f>
        <v>0.785218670361802</v>
      </c>
    </row>
    <row r="73" customFormat="false" ht="15" hidden="false" customHeight="true" outlineLevel="0" collapsed="false">
      <c r="BI73" s="12" t="str">
        <f aca="false">BDC!$A$32</f>
        <v>CGBD</v>
      </c>
      <c r="BJ73" s="43" t="n">
        <f aca="false">1-((1-BDC!$D$32)*$CD$63+BDC!$D$32*$CD$64)-p_gap-$CD$53*(1-BDC!$M$32)</f>
        <v>0.378165749019815</v>
      </c>
      <c r="BK73" s="43" t="n">
        <f aca="false">(1-BDC!$D$32)*$CD$65+BDC!$D$32*$CD$66</f>
        <v>0.0643143988911463</v>
      </c>
      <c r="BL73" s="45" t="n">
        <f aca="false">BJ73/BDC!$K$32</f>
        <v>0.695952092733944</v>
      </c>
      <c r="BM73" s="35" t="n">
        <f aca="false">IF(BL73&lt;1.5,BDC!$C$32,0)</f>
        <v>2.36</v>
      </c>
      <c r="BN73" s="43" t="n">
        <f aca="false">MAX(0,1-BJ73*(1-CE_mig_hc)-p_bb_cush)*BDC!$Q$32</f>
        <v>0.188636784641365</v>
      </c>
      <c r="BO73" s="43" t="n">
        <f aca="false">MAX(0,BDC!$K$32-BJ73/1.5)</f>
        <v>0.291268496087247</v>
      </c>
      <c r="BP73" s="43" t="n">
        <f aca="false">MIN(MIN(1,BDC!$H$32*$CD$56),$CD$55)</f>
        <v>0</v>
      </c>
      <c r="BQ73" s="43" t="n">
        <f aca="false">BDC!$I$32*BDC!$J$32*BP73*(1-0.3)</f>
        <v>0</v>
      </c>
      <c r="BR73" s="45" t="n">
        <f aca="false">BDC!$C$32*($CD$54*MAX(BN73,BO73)+BQ73)</f>
        <v>0.687393650765903</v>
      </c>
      <c r="CC73" s="10" t="s">
        <v>999</v>
      </c>
      <c r="CD73" s="43" t="n">
        <f aca="false">SUM($BM$47:$BM$80)/SUM(BDC!$C$6:$C$39)</f>
        <v>0.998189261533617</v>
      </c>
    </row>
    <row r="74" customFormat="false" ht="15" hidden="false" customHeight="true" outlineLevel="0" collapsed="false">
      <c r="BI74" s="12" t="str">
        <f aca="false">BDC!$A$33</f>
        <v>KBDC</v>
      </c>
      <c r="BJ74" s="43" t="n">
        <f aca="false">1-((1-BDC!$D$33)*$CD$63+BDC!$D$33*$CD$64)-p_gap-$CD$53*(1-BDC!$M$33)</f>
        <v>0.456205474041006</v>
      </c>
      <c r="BK74" s="43" t="n">
        <f aca="false">(1-BDC!$D$33)*$CD$65+BDC!$D$33*$CD$66</f>
        <v>0.068487554680278</v>
      </c>
      <c r="BL74" s="45" t="n">
        <f aca="false">BJ74/BDC!$K$33</f>
        <v>0.846124682623062</v>
      </c>
      <c r="BM74" s="35" t="n">
        <f aca="false">IF(BL74&lt;1.5,BDC!$C$33,0)</f>
        <v>2.29</v>
      </c>
      <c r="BN74" s="43" t="n">
        <f aca="false">MAX(0,1-BJ74*(1-CE_mig_hc)-p_bb_cush)*BDC!$Q$33</f>
        <v>0.1539572367744</v>
      </c>
      <c r="BO74" s="43" t="n">
        <f aca="false">MAX(0,BDC!$K$33-BJ74/1.5)</f>
        <v>0.235033524218438</v>
      </c>
      <c r="BP74" s="43" t="n">
        <f aca="false">MIN(MIN(1,BDC!$H$33*$CD$56),$CD$55)</f>
        <v>0</v>
      </c>
      <c r="BQ74" s="43" t="n">
        <f aca="false">BDC!$I$33*BDC!$J$33*BP74*(1-0.3)</f>
        <v>0</v>
      </c>
      <c r="BR74" s="45" t="n">
        <f aca="false">BDC!$C$33*($CD$54*MAX(BN74,BO74)+BQ74)</f>
        <v>0.538226770460224</v>
      </c>
      <c r="CC74" s="10" t="s">
        <v>869</v>
      </c>
      <c r="CD74" s="35" t="n">
        <f aca="false">p_pc_scale*SUM($BR$47:$BR$80)</f>
        <v>209.214230667799</v>
      </c>
    </row>
    <row r="75" customFormat="false" ht="15" hidden="false" customHeight="true" outlineLevel="0" collapsed="false">
      <c r="BI75" s="12" t="str">
        <f aca="false">BDC!$A$34</f>
        <v>NMFC</v>
      </c>
      <c r="BJ75" s="43" t="n">
        <f aca="false">1-((1-BDC!$D$34)*$CD$63+BDC!$D$34*$CD$64)-p_gap-$CD$53*(1-BDC!$M$34)</f>
        <v>0.361123826355913</v>
      </c>
      <c r="BK75" s="43" t="n">
        <f aca="false">(1-BDC!$D$34)*$CD$65+BDC!$D$34*$CD$66</f>
        <v>0.0628985067484052</v>
      </c>
      <c r="BL75" s="45" t="n">
        <f aca="false">BJ75/BDC!$K$34</f>
        <v>0.636790869375694</v>
      </c>
      <c r="BM75" s="35" t="n">
        <f aca="false">IF(BL75&lt;1.5,BDC!$C$34,0)</f>
        <v>2.29</v>
      </c>
      <c r="BN75" s="43" t="n">
        <f aca="false">MAX(0,1-BJ75*(1-CE_mig_hc)-p_bb_cush)*BDC!$Q$34</f>
        <v>0.15656762438422</v>
      </c>
      <c r="BO75" s="43" t="n">
        <f aca="false">MAX(0,BDC!$K$34-BJ75/1.5)</f>
        <v>0.326350349528958</v>
      </c>
      <c r="BP75" s="43" t="n">
        <f aca="false">MIN(MIN(1,BDC!$H$34*$CD$56),$CD$55)</f>
        <v>0</v>
      </c>
      <c r="BQ75" s="43" t="n">
        <f aca="false">BDC!$I$34*BDC!$J$34*BP75*(1-0.3)</f>
        <v>0</v>
      </c>
      <c r="BR75" s="45" t="n">
        <f aca="false">BDC!$C$34*($CD$54*MAX(BN75,BO75)+BQ75)</f>
        <v>0.747342300421315</v>
      </c>
    </row>
    <row r="76" customFormat="false" ht="15" hidden="false" customHeight="true" outlineLevel="0" collapsed="false">
      <c r="BI76" s="12" t="str">
        <f aca="false">BDC!$A$35</f>
        <v>HPS CCS</v>
      </c>
      <c r="BJ76" s="43" t="n">
        <f aca="false">1-((1-BDC!$D$35)*$CD$63+BDC!$D$35*$CD$64)-p_gap-$CD$53*(1-BDC!$M$35)</f>
        <v>0.428848454391989</v>
      </c>
      <c r="BK76" s="43" t="n">
        <f aca="false">(1-BDC!$D$35)*$CD$65+BDC!$D$35*$CD$66</f>
        <v>0.0651713862407002</v>
      </c>
      <c r="BL76" s="45" t="n">
        <f aca="false">BJ76/BDC!$K$35</f>
        <v>1.05036795351081</v>
      </c>
      <c r="BM76" s="35" t="n">
        <f aca="false">IF(BL76&lt;1.5,BDC!$C$35,0)</f>
        <v>2.27</v>
      </c>
      <c r="BN76" s="43" t="n">
        <f aca="false">MAX(0,1-BJ76*(1-CE_mig_hc)-p_bb_cush)*BDC!$Q$35</f>
        <v>0.121466639892192</v>
      </c>
      <c r="BO76" s="43" t="n">
        <f aca="false">MAX(0,BDC!$K$35-BJ76/1.5)</f>
        <v>0.12238505407398</v>
      </c>
      <c r="BP76" s="43" t="n">
        <f aca="false">MIN(MIN(1,BDC!$H$35*$CD$56),$CD$55)</f>
        <v>0.138</v>
      </c>
      <c r="BQ76" s="43" t="n">
        <f aca="false">BDC!$I$35*BDC!$J$35*BP76*(1-0.3)</f>
        <v>0.0571597633136094</v>
      </c>
      <c r="BR76" s="45" t="n">
        <f aca="false">BDC!$C$35*($CD$54*MAX(BN76,BO76)+BQ76)</f>
        <v>0.407566735469828</v>
      </c>
    </row>
    <row r="77" customFormat="false" ht="15" hidden="false" customHeight="true" outlineLevel="0" collapsed="false">
      <c r="BI77" s="12" t="str">
        <f aca="false">BDC!$A$36</f>
        <v>APCF</v>
      </c>
      <c r="BJ77" s="43" t="n">
        <f aca="false">1-((1-BDC!$D$36)*$CD$63+BDC!$D$36*$CD$64)-p_gap-$CD$53*(1-BDC!$M$36)</f>
        <v>0.412233180685897</v>
      </c>
      <c r="BK77" s="43" t="n">
        <f aca="false">(1-BDC!$D$36)*$CD$65+BDC!$D$36*$CD$66</f>
        <v>0.0624141225943096</v>
      </c>
      <c r="BL77" s="45" t="n">
        <f aca="false">BJ77/BDC!$K$36</f>
        <v>0.770696816064938</v>
      </c>
      <c r="BM77" s="35" t="n">
        <f aca="false">IF(BL77&lt;1.5,BDC!$C$36,0)</f>
        <v>1.73</v>
      </c>
      <c r="BN77" s="43" t="n">
        <f aca="false">MAX(0,1-BJ77*(1-CE_mig_hc)-p_bb_cush)*BDC!$Q$36</f>
        <v>0.163016261096768</v>
      </c>
      <c r="BO77" s="43" t="n">
        <f aca="false">MAX(0,BDC!$K$36-BJ77/1.5)</f>
        <v>0.260061600472968</v>
      </c>
      <c r="BP77" s="43" t="n">
        <f aca="false">MIN(MIN(1,BDC!$H$36*$CD$56),$CD$55)</f>
        <v>0.0135</v>
      </c>
      <c r="BQ77" s="43" t="n">
        <f aca="false">BDC!$I$36*BDC!$J$36*BP77*(1-0.3)</f>
        <v>0.0043953488372093</v>
      </c>
      <c r="BR77" s="45" t="n">
        <f aca="false">BDC!$C$36*($CD$54*MAX(BN77,BO77)+BQ77)</f>
        <v>0.457510522306606</v>
      </c>
    </row>
    <row r="78" customFormat="false" ht="15" hidden="false" customHeight="true" outlineLevel="0" collapsed="false">
      <c r="BI78" s="12" t="str">
        <f aca="false">BDC!$A$37</f>
        <v>TCPC</v>
      </c>
      <c r="BJ78" s="43" t="n">
        <f aca="false">1-((1-BDC!$D$37)*$CD$63+BDC!$D$37*$CD$64)-p_gap-$CD$53*(1-BDC!$M$37)</f>
        <v>0.368439426438033</v>
      </c>
      <c r="BK78" s="43" t="n">
        <f aca="false">(1-BDC!$D$37)*$CD$65+BDC!$D$37*$CD$66</f>
        <v>0.059246995432915</v>
      </c>
      <c r="BL78" s="45" t="n">
        <f aca="false">BJ78/BDC!$K$37</f>
        <v>0.59173604852169</v>
      </c>
      <c r="BM78" s="35" t="n">
        <f aca="false">IF(BL78&lt;1.5,BDC!$C$37,0)</f>
        <v>1.29</v>
      </c>
      <c r="BN78" s="43" t="n">
        <f aca="false">MAX(0,1-BJ78*(1-CE_mig_hc)-p_bb_cush)*BDC!$Q$37</f>
        <v>0.201683787747215</v>
      </c>
      <c r="BO78" s="43" t="n">
        <f aca="false">MAX(0,BDC!$K$37-BJ78/1.5)</f>
        <v>0.37701522514194</v>
      </c>
      <c r="BP78" s="43" t="n">
        <f aca="false">MIN(MIN(1,BDC!$H$37*$CD$56),$CD$55)</f>
        <v>0</v>
      </c>
      <c r="BQ78" s="43" t="n">
        <f aca="false">BDC!$I$37*BDC!$J$37*BP78*(1-0.3)</f>
        <v>0</v>
      </c>
      <c r="BR78" s="45" t="n">
        <f aca="false">BDC!$C$37*($CD$54*MAX(BN78,BO78)+BQ78)</f>
        <v>0.486349640433103</v>
      </c>
    </row>
    <row r="79" customFormat="false" ht="15" hidden="false" customHeight="true" outlineLevel="0" collapsed="false">
      <c r="BI79" s="12" t="str">
        <f aca="false">BDC!$A$38</f>
        <v>OBDC II</v>
      </c>
      <c r="BJ79" s="43" t="n">
        <f aca="false">1-((1-BDC!$D$38)*$CD$63+BDC!$D$38*$CD$64)-p_gap-$CD$53*(1-BDC!$M$38)</f>
        <v>0.431318292375327</v>
      </c>
      <c r="BK79" s="43" t="n">
        <f aca="false">(1-BDC!$D$38)*$CD$65+BDC!$D$38*$CD$66</f>
        <v>0.0655812497557042</v>
      </c>
      <c r="BL79" s="45" t="n">
        <f aca="false">BJ79/BDC!$K$38</f>
        <v>2.02879344932098</v>
      </c>
      <c r="BM79" s="35" t="n">
        <f aca="false">IF(BL79&lt;1.5,BDC!$C$38,0)</f>
        <v>0</v>
      </c>
      <c r="BN79" s="43" t="n">
        <f aca="false">MAX(0,1-BJ79*(1-CE_mig_hc)-p_bb_cush)*BDC!$Q$38</f>
        <v>0.126039156046108</v>
      </c>
      <c r="BO79" s="43" t="n">
        <f aca="false">MAX(0,BDC!$K$38-BJ79/1.5)</f>
        <v>0</v>
      </c>
      <c r="BP79" s="43" t="n">
        <f aca="false">MIN(MIN(1,BDC!$H$38*$CD$56),$CD$55)</f>
        <v>0</v>
      </c>
      <c r="BQ79" s="43" t="n">
        <f aca="false">BDC!$I$38*BDC!$J$38*BP79*(1-0.3)</f>
        <v>0</v>
      </c>
      <c r="BR79" s="45" t="n">
        <f aca="false">BDC!$C$38*($CD$54*MAX(BN79,BO79)+BQ79)</f>
        <v>0.0869670176718148</v>
      </c>
    </row>
    <row r="80" customFormat="false" ht="15" hidden="false" customHeight="true" outlineLevel="0" collapsed="false">
      <c r="BI80" s="12" t="str">
        <f aca="false">BDC!$A$39</f>
        <v>NHPIF-A</v>
      </c>
      <c r="BJ80" s="43" t="n">
        <f aca="false">1-((1-BDC!$D$39)*$CD$63+BDC!$D$39*$CD$64)-p_gap-$CD$53*(1-BDC!$M$39)</f>
        <v>0.406395381816189</v>
      </c>
      <c r="BK80" s="43" t="n">
        <f aca="false">(1-BDC!$D$39)*$CD$65+BDC!$D$39*$CD$66</f>
        <v>0.0614453542861183</v>
      </c>
      <c r="BL80" s="45" t="n">
        <f aca="false">BJ80/BDC!$K$39</f>
        <v>0.800954004938703</v>
      </c>
      <c r="BM80" s="35" t="n">
        <f aca="false">IF(BL80&lt;1.5,BDC!$C$39,0)</f>
        <v>0.6</v>
      </c>
      <c r="BN80" s="43" t="n">
        <f aca="false">MAX(0,1-BJ80*(1-CE_mig_hc)-p_bb_cush)*BDC!$Q$39</f>
        <v>0.155931774753151</v>
      </c>
      <c r="BO80" s="43" t="n">
        <f aca="false">MAX(0,BDC!$K$39-BJ80/1.5)</f>
        <v>0.23645890801745</v>
      </c>
      <c r="BP80" s="43" t="n">
        <f aca="false">MIN(MIN(1,BDC!$H$39*$CD$56),$CD$55)</f>
        <v>0.204</v>
      </c>
      <c r="BQ80" s="43" t="n">
        <f aca="false">BDC!$I$39*BDC!$J$39*BP80*(1-0.3)</f>
        <v>0.0703448275862069</v>
      </c>
      <c r="BR80" s="45" t="n">
        <f aca="false">BDC!$C$39*($CD$54*MAX(BN80,BO80)+BQ80)</f>
        <v>0.184082241362194</v>
      </c>
    </row>
    <row r="85" customFormat="false" ht="15" hidden="false" customHeight="true" outlineLevel="0" collapsed="false">
      <c r="A85" s="9" t="s">
        <v>1001</v>
      </c>
    </row>
    <row r="86" customFormat="false" ht="42" hidden="false" customHeight="true" outlineLevel="0" collapsed="false">
      <c r="A86" s="21" t="s">
        <v>51</v>
      </c>
      <c r="B86" s="21" t="s">
        <v>910</v>
      </c>
      <c r="C86" s="21" t="s">
        <v>911</v>
      </c>
      <c r="D86" s="21" t="s">
        <v>912</v>
      </c>
      <c r="E86" s="21" t="s">
        <v>913</v>
      </c>
      <c r="F86" s="21" t="s">
        <v>914</v>
      </c>
      <c r="G86" s="21" t="s">
        <v>61</v>
      </c>
      <c r="H86" s="21" t="s">
        <v>915</v>
      </c>
      <c r="I86" s="21" t="s">
        <v>916</v>
      </c>
      <c r="J86" s="21" t="s">
        <v>917</v>
      </c>
      <c r="K86" s="21" t="s">
        <v>918</v>
      </c>
      <c r="L86" s="21" t="s">
        <v>919</v>
      </c>
      <c r="M86" s="21" t="s">
        <v>920</v>
      </c>
      <c r="N86" s="21" t="s">
        <v>921</v>
      </c>
      <c r="O86" s="21" t="s">
        <v>922</v>
      </c>
      <c r="P86" s="21" t="s">
        <v>923</v>
      </c>
      <c r="Q86" s="21" t="s">
        <v>924</v>
      </c>
      <c r="R86" s="21" t="s">
        <v>925</v>
      </c>
      <c r="S86" s="21" t="s">
        <v>926</v>
      </c>
      <c r="T86" s="21" t="s">
        <v>927</v>
      </c>
      <c r="U86" s="21" t="s">
        <v>928</v>
      </c>
      <c r="V86" s="21" t="s">
        <v>60</v>
      </c>
      <c r="W86" s="21" t="s">
        <v>929</v>
      </c>
      <c r="X86" s="21" t="s">
        <v>930</v>
      </c>
      <c r="Y86" s="21" t="s">
        <v>931</v>
      </c>
      <c r="Z86" s="21" t="s">
        <v>932</v>
      </c>
      <c r="AA86" s="21" t="s">
        <v>933</v>
      </c>
      <c r="AB86" s="21" t="s">
        <v>934</v>
      </c>
      <c r="AC86" s="21" t="s">
        <v>935</v>
      </c>
      <c r="AD86" s="21" t="s">
        <v>936</v>
      </c>
      <c r="AE86" s="21" t="s">
        <v>937</v>
      </c>
      <c r="AF86" s="21" t="s">
        <v>938</v>
      </c>
      <c r="AG86" s="21" t="s">
        <v>939</v>
      </c>
      <c r="AH86" s="21" t="s">
        <v>940</v>
      </c>
      <c r="AI86" s="21" t="s">
        <v>941</v>
      </c>
      <c r="AJ86" s="21" t="s">
        <v>942</v>
      </c>
      <c r="AK86" s="21" t="s">
        <v>943</v>
      </c>
      <c r="AL86" s="21" t="s">
        <v>944</v>
      </c>
      <c r="AM86" s="21" t="s">
        <v>945</v>
      </c>
      <c r="AN86" s="21" t="s">
        <v>946</v>
      </c>
      <c r="AO86" s="21" t="s">
        <v>947</v>
      </c>
      <c r="AP86" s="21" t="s">
        <v>948</v>
      </c>
      <c r="AQ86" s="21" t="s">
        <v>949</v>
      </c>
      <c r="AR86" s="21" t="s">
        <v>950</v>
      </c>
      <c r="AS86" s="21" t="s">
        <v>951</v>
      </c>
      <c r="AT86" s="21" t="s">
        <v>952</v>
      </c>
      <c r="AU86" s="21" t="s">
        <v>953</v>
      </c>
      <c r="AV86" s="21" t="s">
        <v>954</v>
      </c>
      <c r="AW86" s="21" t="s">
        <v>955</v>
      </c>
      <c r="AX86" s="21" t="s">
        <v>956</v>
      </c>
      <c r="AY86" s="21" t="s">
        <v>957</v>
      </c>
      <c r="AZ86" s="21" t="s">
        <v>958</v>
      </c>
      <c r="BA86" s="21" t="s">
        <v>959</v>
      </c>
      <c r="BB86" s="21" t="s">
        <v>960</v>
      </c>
      <c r="BC86" s="21" t="s">
        <v>614</v>
      </c>
      <c r="BD86" s="21" t="s">
        <v>961</v>
      </c>
      <c r="BE86" s="21" t="s">
        <v>962</v>
      </c>
      <c r="BF86" s="21" t="s">
        <v>963</v>
      </c>
      <c r="BG86" s="21" t="s">
        <v>964</v>
      </c>
      <c r="BI86" s="21" t="s">
        <v>599</v>
      </c>
      <c r="BJ86" s="21" t="s">
        <v>960</v>
      </c>
      <c r="BK86" s="21" t="s">
        <v>614</v>
      </c>
      <c r="BL86" s="21" t="s">
        <v>965</v>
      </c>
      <c r="BM86" s="21" t="s">
        <v>966</v>
      </c>
      <c r="BN86" s="21" t="s">
        <v>967</v>
      </c>
      <c r="BO86" s="21" t="s">
        <v>968</v>
      </c>
      <c r="BP86" s="21" t="s">
        <v>969</v>
      </c>
      <c r="BQ86" s="21" t="s">
        <v>622</v>
      </c>
      <c r="BR86" s="21" t="s">
        <v>623</v>
      </c>
      <c r="BT86" s="21" t="s">
        <v>805</v>
      </c>
      <c r="BU86" s="21" t="s">
        <v>970</v>
      </c>
      <c r="BV86" s="21" t="s">
        <v>971</v>
      </c>
      <c r="CC86" s="21" t="s">
        <v>972</v>
      </c>
      <c r="CD86" s="21" t="s">
        <v>363</v>
      </c>
    </row>
    <row r="87" customFormat="false" ht="15" hidden="false" customHeight="true" outlineLevel="0" collapsed="false">
      <c r="A87" s="10" t="s">
        <v>496</v>
      </c>
      <c r="B87" s="35" t="n">
        <f aca="false">AY47</f>
        <v>145.939542781989</v>
      </c>
      <c r="C87" s="39" t="n">
        <f aca="false">AZ47</f>
        <v>0.0618865153559056</v>
      </c>
      <c r="D87" s="44" t="n">
        <f aca="false">IF(C87&lt;Inputs_Banks!$I6,1,0)</f>
        <v>1</v>
      </c>
      <c r="E87" s="44" t="n">
        <f aca="false">IF(C87&lt;0.045,1,0)</f>
        <v>0</v>
      </c>
      <c r="F87" s="44" t="n">
        <f aca="false">IF(B87&lt;0,1,0)</f>
        <v>0</v>
      </c>
      <c r="G87" s="44" t="n">
        <f aca="false">MIN(6,MIN(3,INT(MAX(0,Inputs_Banks!$BA6-C87)/p_notch_step))+D87+2*E87)</f>
        <v>4</v>
      </c>
      <c r="H87" s="39" t="n">
        <f aca="false">C87-Inputs_Banks!$I6</f>
        <v>-0.0531134846440944</v>
      </c>
      <c r="I87" s="44" t="n">
        <f aca="false">RANK(H87,$H$87:$H$110,1)</f>
        <v>13</v>
      </c>
      <c r="J87" s="44" t="n">
        <f aca="false">MAX(IF(I87&lt;=g_n_weak,1,0),E87)</f>
        <v>0</v>
      </c>
      <c r="K87" s="44" t="n">
        <f aca="false">IF(I87&gt;12,1,0)*(1-E87)</f>
        <v>1</v>
      </c>
      <c r="L87" s="35" t="n">
        <f aca="false">INDEX(Inputs_Banks!$AR6:$AX6,1,G87+1)</f>
        <v>0.918</v>
      </c>
      <c r="M87" s="35" t="n">
        <f aca="false">Inputs_Banks!$AI6*MIN(1,p_u_base+$CD$90*p_u_pan_all+J87*($CD$90*p_u_pan_weak+p_u_mda*D87)+p_u_notch*G87+p_u_fail*E87)</f>
        <v>540.609</v>
      </c>
      <c r="N87" s="35" t="n">
        <f aca="false">Inputs_Banks!$AK6*MIN(1,p_w_base+p_w_pan*$CD$90+p_w_notch*G87+0.5*D87+1*E87)</f>
        <v>30.166</v>
      </c>
      <c r="O87" s="35" t="n">
        <f aca="false">Inputs_Banks!$AO6*MIN(1,p_cp_base+p_cp_pan*$CD$90+p_cp_notch*G87)</f>
        <v>5.45</v>
      </c>
      <c r="P87" s="35" t="n">
        <f aca="false">Inputs_Banks!$AN6*(p_dh+p_dh_pan*$CD$90+MIN(1,0.5*$CD$97+0.25*G87))</f>
        <v>244.593789910108</v>
      </c>
      <c r="Q87" s="35" t="n">
        <f aca="false">Modules!$Y6</f>
        <v>45.160097</v>
      </c>
      <c r="R87" s="35" t="n">
        <f aca="false">Inputs_Banks!$AJ6*K87</f>
        <v>2713.7</v>
      </c>
      <c r="S87" s="35" t="n">
        <f aca="false">p_liq_on*$CD$98*SUM($M$87:$M$110)*R87/MAX(0.000000001,SUM($R$87:$R$110))</f>
        <v>411.374582350396</v>
      </c>
      <c r="T87" s="35" t="n">
        <f aca="false">p_liq_on*(L87+M87+N87+O87+P87+Q87)</f>
        <v>866.896886910109</v>
      </c>
      <c r="U87" s="35" t="n">
        <f aca="false">g_usable*Inputs_Banks!$AG6+p_cb_on*Inputs_Banks!$AQ6+S87</f>
        <v>1468.9747823504</v>
      </c>
      <c r="V87" s="35" t="n">
        <f aca="false">MAX(0,T87-U87)</f>
        <v>0</v>
      </c>
      <c r="W87" s="44" t="n">
        <f aca="false">IF(V87&gt;0.9*Inputs_Banks!$BB6,1,0)</f>
        <v>0</v>
      </c>
      <c r="X87" s="43" t="n">
        <f aca="false">MAX(p_htm_forced,(1-p_cb_on)*MIN(1,T87/Inputs_Banks!$AG6)*g_theta_sell)</f>
        <v>0.22218736464953</v>
      </c>
      <c r="Y87" s="35" t="n">
        <f aca="false">MAX(0,Modules!$V6-B87/(Inputs_Banks!$I6+g_del_buf))</f>
        <v>1142.01714348342</v>
      </c>
      <c r="Z87" s="35" t="n">
        <f aca="false">MIN(g_del_cap*Inputs_Banks!$BB6,Y87)</f>
        <v>120.0675</v>
      </c>
      <c r="AA87" s="35" t="n">
        <f aca="false">MIN(Inputs_Banks!$BB6,V87+Z87)</f>
        <v>120.0675</v>
      </c>
      <c r="AB87" s="35" t="n">
        <f aca="false">$AA87*Holdings!Q6</f>
        <v>0</v>
      </c>
      <c r="AC87" s="35" t="n">
        <f aca="false">$AA87*Holdings!R6</f>
        <v>0</v>
      </c>
      <c r="AD87" s="35" t="n">
        <f aca="false">$AA87*Holdings!S6</f>
        <v>0</v>
      </c>
      <c r="AE87" s="35" t="n">
        <f aca="false">$AA87*Holdings!T6</f>
        <v>8.5</v>
      </c>
      <c r="AF87" s="35" t="n">
        <f aca="false">$AA87*Holdings!U6</f>
        <v>13.89</v>
      </c>
      <c r="AG87" s="35" t="n">
        <f aca="false">$AA87*Holdings!V6</f>
        <v>0</v>
      </c>
      <c r="AH87" s="35" t="n">
        <f aca="false">$AA87*Holdings!W6</f>
        <v>3.56</v>
      </c>
      <c r="AI87" s="35" t="n">
        <f aca="false">$AA87*Holdings!X6</f>
        <v>11.0075</v>
      </c>
      <c r="AJ87" s="35" t="n">
        <f aca="false">$AA87*Holdings!Y6</f>
        <v>8.495</v>
      </c>
      <c r="AK87" s="35" t="n">
        <f aca="false">$AA87*Holdings!Z6</f>
        <v>0</v>
      </c>
      <c r="AL87" s="35" t="n">
        <f aca="false">$AA87*Holdings!AA6</f>
        <v>66.7675</v>
      </c>
      <c r="AM87" s="35" t="n">
        <f aca="false">$AA87*Holdings!AB6</f>
        <v>0</v>
      </c>
      <c r="AN87" s="35" t="n">
        <f aca="false">$AA87*Holdings!AC6</f>
        <v>7.8475</v>
      </c>
      <c r="AO87" s="43" t="n">
        <f aca="false">MIN(1,$CD$97+0.5*G87)</f>
        <v>1</v>
      </c>
      <c r="AP87" s="35" t="n">
        <f aca="false">p_liq_on*Inputs_Banks!$AP6*AO87*p_mb_psi</f>
        <v>20.688</v>
      </c>
      <c r="AQ87" s="44" t="n">
        <f aca="false">MAX(F87,E87,W87*(1-p_cb_on))</f>
        <v>0</v>
      </c>
      <c r="AR87" s="35" t="n">
        <f aca="false">p_ib_on*p_lgd_ib*g_s_in*g_u_ib*SUMPRODUCT(Network!C$6:C$29,$AQ$87:$AQ$110)</f>
        <v>18.7554113051636</v>
      </c>
      <c r="AS87" s="35" t="n">
        <f aca="false">p_sw_M1*(SUMPRODUCT(BDC_EAD!C$106:C$127,$BF$87:$BF$108)+SUMPRODUCT(BDC_EAD!C$131:C$152,$BG$87:$BG$108)+(Inputs_Banks!$Y6+p_ccf_bl*Inputs_Banks!$Z6)*$CD$110+Modules!$E6)</f>
        <v>58.8832880051148</v>
      </c>
      <c r="AT87" s="35" t="n">
        <f aca="false">p_sw_M3*(Inputs_Banks!$U6+p_ccf_abf*Inputs_Banks!$V6)*$CD$111</f>
        <v>0</v>
      </c>
      <c r="AU87" s="35" t="n">
        <f aca="false">p_sw_M10*Inputs_Banks!$AC6*$CD$112</f>
        <v>0</v>
      </c>
      <c r="AV87" s="35" t="n">
        <f aca="false">p_sw_M8*(Modules!$M6+Modules!$N6*IF(p_liq_on&gt;0,X87,p_htm_forced))</f>
        <v>21.0161031237091</v>
      </c>
      <c r="AW87" s="35" t="n">
        <f aca="false">SUMPRODUCT(Holdings!$C6:$O6,Holdings!$C$32:$O$32,$AB$112:$AN$112)+Inputs_Banks!$P6*$AL$112</f>
        <v>27.990754998401</v>
      </c>
      <c r="AX87" s="35" t="n">
        <f aca="false">Modules!$T6+AS87+AT87+AU87+AV87+AW87+AR87</f>
        <v>167.342947321811</v>
      </c>
      <c r="AY87" s="35" t="n">
        <f aca="false">Modules!$U6-(1-p_tax)*AX87</f>
        <v>136.757052678189</v>
      </c>
      <c r="AZ87" s="39" t="n">
        <f aca="false">AY87/Modules!$V6</f>
        <v>0.0579926268046499</v>
      </c>
      <c r="BA87" s="48" t="s">
        <v>634</v>
      </c>
      <c r="BB87" s="43" t="n">
        <f aca="false">INDEX($BJ$87:$BJ$120,BDC_EAD!$B6)</f>
        <v>0.428174862214715</v>
      </c>
      <c r="BC87" s="43" t="n">
        <f aca="false">INDEX($BK$87:$BK$120,BDC_EAD!$B6)</f>
        <v>0.0650596052820627</v>
      </c>
      <c r="BD87" s="22" t="n">
        <f aca="false">INDEX(BDC!$Q$6:$Q$39,BDC_EAD!$B6)</f>
        <v>0.243786096256685</v>
      </c>
      <c r="BE87" s="43" t="n">
        <f aca="false">BB87*(1-$AK$112)-BC87-p_c_liq</f>
        <v>0.12043656893603</v>
      </c>
      <c r="BF87" s="43" t="n">
        <f aca="false">p_phi*MAX(0,p_a_spv-BE87)/p_a_spv+(1-p_phi)*MAX(0,p_a_spv-BB87)/p_a_spv</f>
        <v>0.740022532011761</v>
      </c>
      <c r="BG87" s="43" t="n">
        <f aca="false">IF(BD87&gt;0,p_phi*MAX(0,BD87-BE87)/BD87+(1-p_phi)*MAX(0,BD87-BB87)/BD87,0)</f>
        <v>0.404779531612922</v>
      </c>
      <c r="BI87" s="12" t="str">
        <f aca="false">BDC!$A$6</f>
        <v>BCRED</v>
      </c>
      <c r="BJ87" s="43" t="n">
        <f aca="false">1-((1-BDC!$D$6)*$CD$103+BDC!$D$6*$CD$104)-p_gap-$CD$93*(1-BDC!$M$6)</f>
        <v>0.394270722625258</v>
      </c>
      <c r="BK87" s="43" t="n">
        <f aca="false">(1-BDC!$D$6)*$CD$105+BDC!$D$6*$CD$106</f>
        <v>0.0594332970306441</v>
      </c>
      <c r="BL87" s="45" t="n">
        <f aca="false">BJ87/BDC!$K$6</f>
        <v>0.875088677046303</v>
      </c>
      <c r="BM87" s="35" t="n">
        <f aca="false">IF(BL87&lt;1.5,BDC!$C$6,0)</f>
        <v>77.65</v>
      </c>
      <c r="BN87" s="43" t="n">
        <f aca="false">MAX(0,1-BJ87*(1-CE_mig_hc)-p_bb_cush)*BDC!$Q$6</f>
        <v>0.162261545017265</v>
      </c>
      <c r="BO87" s="43" t="n">
        <f aca="false">MAX(0,BDC!$K$6-BJ87/1.5)</f>
        <v>0.187702302132612</v>
      </c>
      <c r="BP87" s="43" t="n">
        <f aca="false">MIN(MIN(1,BDC!$H$6*$CD$96),$CD$95)</f>
        <v>0.25</v>
      </c>
      <c r="BQ87" s="43" t="n">
        <f aca="false">BDC!$I$6*BDC!$J$6*BP87*(1-0.3)</f>
        <v>0.0961538461538461</v>
      </c>
      <c r="BR87" s="45" t="n">
        <f aca="false">BDC!$C$6*($CD$94*MAX(BN87,BO87)+BQ87)</f>
        <v>22.0414299144435</v>
      </c>
      <c r="BT87" s="10" t="s">
        <v>816</v>
      </c>
      <c r="BU87" s="43" t="n">
        <f aca="false">NORMSDIST((NORMSINV(CreditEngine!$D$6)-SQRT(g_rho)*$CD$91)/SQRT(1-g_rho))</f>
        <v>0.666274429098982</v>
      </c>
      <c r="BV87" s="43" t="n">
        <f aca="false">NORMSDIST((NORMSINV(MIN(0.999,CreditEngine!$D$6*p_m_sw))-SQRT(g_rho)*$CD$91)/SQRT(1-g_rho))</f>
        <v>0.838888284547613</v>
      </c>
      <c r="CC87" s="10" t="s">
        <v>973</v>
      </c>
      <c r="CD87" s="43" t="n">
        <f aca="false">$CD$73</f>
        <v>0.998189261533617</v>
      </c>
    </row>
    <row r="88" customFormat="false" ht="15" hidden="false" customHeight="true" outlineLevel="0" collapsed="false">
      <c r="A88" s="10" t="s">
        <v>499</v>
      </c>
      <c r="B88" s="35" t="n">
        <f aca="false">AY48</f>
        <v>57.744279228369</v>
      </c>
      <c r="C88" s="39" t="n">
        <f aca="false">AZ48</f>
        <v>0.0293146144039985</v>
      </c>
      <c r="D88" s="44" t="n">
        <f aca="false">IF(C88&lt;Inputs_Banks!$I7,1,0)</f>
        <v>1</v>
      </c>
      <c r="E88" s="44" t="n">
        <f aca="false">IF(C88&lt;0.045,1,0)</f>
        <v>1</v>
      </c>
      <c r="F88" s="44" t="n">
        <f aca="false">IF(B88&lt;0,1,0)</f>
        <v>0</v>
      </c>
      <c r="G88" s="44" t="n">
        <f aca="false">MIN(6,MIN(3,INT(MAX(0,Inputs_Banks!$BA7-C88)/p_notch_step))+D88+2*E88)</f>
        <v>6</v>
      </c>
      <c r="H88" s="39" t="n">
        <f aca="false">C88-Inputs_Banks!$I7</f>
        <v>-0.0706853855960015</v>
      </c>
      <c r="I88" s="44" t="n">
        <f aca="false">RANK(H88,$H$87:$H$110,1)</f>
        <v>9</v>
      </c>
      <c r="J88" s="44" t="n">
        <f aca="false">MAX(IF(I88&lt;=g_n_weak,1,0),E88)</f>
        <v>1</v>
      </c>
      <c r="K88" s="44" t="n">
        <f aca="false">IF(I88&gt;12,1,0)*(1-E88)</f>
        <v>0</v>
      </c>
      <c r="L88" s="35" t="n">
        <f aca="false">INDEX(Inputs_Banks!$AR7:$AX7,1,G88+1)</f>
        <v>6.81</v>
      </c>
      <c r="M88" s="35" t="n">
        <f aca="false">Inputs_Banks!$AI7*MIN(1,p_u_base+$CD$90*p_u_pan_all+J88*($CD$90*p_u_pan_weak+p_u_mda*D88)+p_u_notch*G88+p_u_fail*E88)</f>
        <v>845.718</v>
      </c>
      <c r="N88" s="35" t="n">
        <f aca="false">Inputs_Banks!$AK7*MIN(1,p_w_base+p_w_pan*$CD$90+p_w_notch*G88+0.5*D88+1*E88)</f>
        <v>59.979</v>
      </c>
      <c r="O88" s="35" t="n">
        <f aca="false">Inputs_Banks!$AO7*MIN(1,p_cp_base+p_cp_pan*$CD$90+p_cp_notch*G88)</f>
        <v>27.98</v>
      </c>
      <c r="P88" s="35" t="n">
        <f aca="false">Inputs_Banks!$AN7*(p_dh+p_dh_pan*$CD$90+MIN(1,0.5*$CD$97+0.25*G88))</f>
        <v>74.3236122327501</v>
      </c>
      <c r="Q88" s="35" t="n">
        <f aca="false">Modules!$Y7</f>
        <v>25.5386092</v>
      </c>
      <c r="R88" s="35" t="n">
        <f aca="false">Inputs_Banks!$AJ7*K88</f>
        <v>0</v>
      </c>
      <c r="S88" s="35" t="n">
        <f aca="false">p_liq_on*$CD$98*SUM($M$87:$M$110)*R88/MAX(0.000000001,SUM($R$87:$R$110))</f>
        <v>0</v>
      </c>
      <c r="T88" s="35" t="n">
        <f aca="false">p_liq_on*(L88+M88+N88+O88+P88+Q88)</f>
        <v>1040.34922143275</v>
      </c>
      <c r="U88" s="35" t="n">
        <f aca="false">g_usable*Inputs_Banks!$AG7+p_cb_on*Inputs_Banks!$AQ7+S88</f>
        <v>759.9</v>
      </c>
      <c r="V88" s="35" t="n">
        <f aca="false">MAX(0,T88-U88)</f>
        <v>280.44922143275</v>
      </c>
      <c r="W88" s="44" t="n">
        <f aca="false">IF(V88&gt;0.9*Inputs_Banks!$BB7,1,0)</f>
        <v>1</v>
      </c>
      <c r="X88" s="43" t="n">
        <f aca="false">MAX(p_htm_forced,(1-p_cb_on)*MIN(1,T88/Inputs_Banks!$AG7)*g_theta_sell)</f>
        <v>0.25</v>
      </c>
      <c r="Y88" s="35" t="n">
        <f aca="false">MAX(0,Modules!$V7-B88/(Inputs_Banks!$I7+g_del_buf))</f>
        <v>1419.86648353934</v>
      </c>
      <c r="Z88" s="35" t="n">
        <f aca="false">MIN(g_del_cap*Inputs_Banks!$BB7,Y88)</f>
        <v>52.7625</v>
      </c>
      <c r="AA88" s="35" t="n">
        <f aca="false">MIN(Inputs_Banks!$BB7,V88+Z88)</f>
        <v>211.05</v>
      </c>
      <c r="AB88" s="35" t="n">
        <f aca="false">$AA88*Holdings!Q7</f>
        <v>0</v>
      </c>
      <c r="AC88" s="35" t="n">
        <f aca="false">$AA88*Holdings!R7</f>
        <v>0</v>
      </c>
      <c r="AD88" s="35" t="n">
        <f aca="false">$AA88*Holdings!S7</f>
        <v>0</v>
      </c>
      <c r="AE88" s="35" t="n">
        <f aca="false">$AA88*Holdings!T7</f>
        <v>14.32</v>
      </c>
      <c r="AF88" s="35" t="n">
        <f aca="false">$AA88*Holdings!U7</f>
        <v>45.65</v>
      </c>
      <c r="AG88" s="35" t="n">
        <f aca="false">$AA88*Holdings!V7</f>
        <v>0</v>
      </c>
      <c r="AH88" s="35" t="n">
        <f aca="false">$AA88*Holdings!W7</f>
        <v>6.9</v>
      </c>
      <c r="AI88" s="35" t="n">
        <f aca="false">$AA88*Holdings!X7</f>
        <v>8.75</v>
      </c>
      <c r="AJ88" s="35" t="n">
        <f aca="false">$AA88*Holdings!Y7</f>
        <v>14.76</v>
      </c>
      <c r="AK88" s="35" t="n">
        <f aca="false">$AA88*Holdings!Z7</f>
        <v>0</v>
      </c>
      <c r="AL88" s="35" t="n">
        <f aca="false">$AA88*Holdings!AA7</f>
        <v>120.67</v>
      </c>
      <c r="AM88" s="35" t="n">
        <f aca="false">$AA88*Holdings!AB7</f>
        <v>0</v>
      </c>
      <c r="AN88" s="35" t="n">
        <f aca="false">$AA88*Holdings!AC7</f>
        <v>0</v>
      </c>
      <c r="AO88" s="43" t="n">
        <f aca="false">MIN(1,$CD$97+0.5*G88)</f>
        <v>1</v>
      </c>
      <c r="AP88" s="35" t="n">
        <f aca="false">p_liq_on*Inputs_Banks!$AP7*AO88*p_mb_psi</f>
        <v>4.722</v>
      </c>
      <c r="AQ88" s="44" t="n">
        <f aca="false">MAX(F88,E88,W88*(1-p_cb_on))</f>
        <v>1</v>
      </c>
      <c r="AR88" s="35" t="n">
        <f aca="false">p_ib_on*p_lgd_ib*g_s_in*g_u_ib*SUMPRODUCT(Network!D$6:D$29,$AQ$87:$AQ$110)</f>
        <v>9.82416957801496</v>
      </c>
      <c r="AS88" s="35" t="n">
        <f aca="false">p_sw_M1*(SUMPRODUCT(BDC_EAD!D$106:D$127,$BF$87:$BF$108)+SUMPRODUCT(BDC_EAD!D$131:D$152,$BG$87:$BG$108)+(Inputs_Banks!$Y7+p_ccf_bl*Inputs_Banks!$Z7)*$CD$110+Modules!$E7)</f>
        <v>27.9111227157586</v>
      </c>
      <c r="AT88" s="35" t="n">
        <f aca="false">p_sw_M3*(Inputs_Banks!$U7+p_ccf_abf*Inputs_Banks!$V7)*$CD$111</f>
        <v>0</v>
      </c>
      <c r="AU88" s="35" t="n">
        <f aca="false">p_sw_M10*Inputs_Banks!$AC7*$CD$112</f>
        <v>39.156499434932</v>
      </c>
      <c r="AV88" s="35" t="n">
        <f aca="false">p_sw_M8*(Modules!$M7+Modules!$N7*IF(p_liq_on&gt;0,X88,p_htm_forced))</f>
        <v>36.823985</v>
      </c>
      <c r="AW88" s="35" t="n">
        <f aca="false">SUMPRODUCT(Holdings!$C7:$O7,Holdings!$C$32:$O$32,$AB$112:$AN$112)+Inputs_Banks!$P7*$AL$112</f>
        <v>11.4775672079968</v>
      </c>
      <c r="AX88" s="35" t="n">
        <f aca="false">Modules!$T7+AS88+AT88+AU88+AV88+AW88+AR88</f>
        <v>145.313356961789</v>
      </c>
      <c r="AY88" s="35" t="n">
        <f aca="false">Modules!$U7-(1-p_tax)*AX88</f>
        <v>53.0866430382107</v>
      </c>
      <c r="AZ88" s="39" t="n">
        <f aca="false">AY88/Modules!$V7</f>
        <v>0.0269501064254917</v>
      </c>
      <c r="BA88" s="48" t="s">
        <v>632</v>
      </c>
      <c r="BB88" s="43" t="n">
        <f aca="false">INDEX($BJ$87:$BJ$120,BDC_EAD!$B7)</f>
        <v>0.493705250996006</v>
      </c>
      <c r="BC88" s="43" t="n">
        <f aca="false">INDEX($BK$87:$BK$120,BDC_EAD!$B7)</f>
        <v>0.0608491891733852</v>
      </c>
      <c r="BD88" s="22" t="n">
        <f aca="false">INDEX(BDC!$Q$6:$Q$39,BDC_EAD!$B7)</f>
        <v>0.193373831775701</v>
      </c>
      <c r="BE88" s="43" t="n">
        <f aca="false">BB88*(1-$AK$112)-BC88-p_c_liq</f>
        <v>0.160688698874418</v>
      </c>
      <c r="BF88" s="43" t="n">
        <f aca="false">p_phi*MAX(0,p_a_spv-BE88)/p_a_spv+(1-p_phi)*MAX(0,p_a_spv-BB88)/p_a_spv</f>
        <v>0.675297129573235</v>
      </c>
      <c r="BG88" s="43" t="n">
        <f aca="false">IF(BD88&gt;0,p_phi*MAX(0,BD88-BE88)/BD88+(1-p_phi)*MAX(0,BD88-BB88)/BD88,0)</f>
        <v>0.135220500524373</v>
      </c>
      <c r="BI88" s="12" t="str">
        <f aca="false">BDC!$A$7</f>
        <v>OCIC</v>
      </c>
      <c r="BJ88" s="43" t="n">
        <f aca="false">1-((1-BDC!$D$7)*$CD$103+BDC!$D$7*$CD$104)-p_gap-$CD$93*(1-BDC!$M$7)</f>
        <v>0.421663471167733</v>
      </c>
      <c r="BK88" s="43" t="n">
        <f aca="false">(1-BDC!$D$7)*$CD$105+BDC!$D$7*$CD$106</f>
        <v>0.063979056015234</v>
      </c>
      <c r="BL88" s="45" t="n">
        <f aca="false">BJ88/BDC!$K$7</f>
        <v>0.885029923000406</v>
      </c>
      <c r="BM88" s="35" t="n">
        <f aca="false">IF(BL88&lt;1.5,BDC!$C$7,0)</f>
        <v>35.69</v>
      </c>
      <c r="BN88" s="43" t="n">
        <f aca="false">MAX(0,1-BJ88*(1-CE_mig_hc)-p_bb_cush)*BDC!$Q$7</f>
        <v>0.166158381580711</v>
      </c>
      <c r="BO88" s="43" t="n">
        <f aca="false">MAX(0,BDC!$K$7-BJ88/1.5)</f>
        <v>0.195330809797428</v>
      </c>
      <c r="BP88" s="43" t="n">
        <f aca="false">MIN(MIN(1,BDC!$H$7*$CD$96),$CD$95)</f>
        <v>0.25</v>
      </c>
      <c r="BQ88" s="43" t="n">
        <f aca="false">BDC!$I$7*BDC!$J$7*BP88*(1-0.3)</f>
        <v>0.0916230366492146</v>
      </c>
      <c r="BR88" s="45" t="n">
        <f aca="false">BDC!$C$7*($CD$94*MAX(BN88,BO88)+BQ88)</f>
        <v>10.2413827796807</v>
      </c>
      <c r="BT88" s="10" t="s">
        <v>817</v>
      </c>
      <c r="BU88" s="43" t="n">
        <f aca="false">NORMSDIST((NORMSINV(CreditEngine!$D$7)-SQRT(g_rho)*$CD$91)/SQRT(1-g_rho))</f>
        <v>0.694145194913595</v>
      </c>
      <c r="BV88" s="43" t="n">
        <f aca="false">NORMSDIST((NORMSINV(MIN(0.999,CreditEngine!$D$7*p_m_sw))-SQRT(g_rho)*$CD$91)/SQRT(1-g_rho))</f>
        <v>0.863150017491553</v>
      </c>
      <c r="CC88" s="10" t="s">
        <v>974</v>
      </c>
      <c r="CD88" s="43" t="n">
        <f aca="false">$AK$72</f>
        <v>0.45</v>
      </c>
    </row>
    <row r="89" customFormat="false" ht="15" hidden="false" customHeight="true" outlineLevel="0" collapsed="false">
      <c r="A89" s="10" t="s">
        <v>501</v>
      </c>
      <c r="B89" s="35" t="n">
        <f aca="false">AY49</f>
        <v>58.079471873672</v>
      </c>
      <c r="C89" s="39" t="n">
        <f aca="false">AZ49</f>
        <v>0.0436539400697447</v>
      </c>
      <c r="D89" s="44" t="n">
        <f aca="false">IF(C89&lt;Inputs_Banks!$I8,1,0)</f>
        <v>1</v>
      </c>
      <c r="E89" s="44" t="n">
        <f aca="false">IF(C89&lt;0.045,1,0)</f>
        <v>1</v>
      </c>
      <c r="F89" s="44" t="n">
        <f aca="false">IF(B89&lt;0,1,0)</f>
        <v>0</v>
      </c>
      <c r="G89" s="44" t="n">
        <f aca="false">MIN(6,MIN(3,INT(MAX(0,Inputs_Banks!$BA8-C89)/p_notch_step))+D89+2*E89)</f>
        <v>6</v>
      </c>
      <c r="H89" s="39" t="n">
        <f aca="false">C89-Inputs_Banks!$I8</f>
        <v>-0.0723460599302553</v>
      </c>
      <c r="I89" s="44" t="n">
        <f aca="false">RANK(H89,$H$87:$H$110,1)</f>
        <v>8</v>
      </c>
      <c r="J89" s="44" t="n">
        <f aca="false">MAX(IF(I89&lt;=g_n_weak,1,0),E89)</f>
        <v>1</v>
      </c>
      <c r="K89" s="44" t="n">
        <f aca="false">IF(I89&gt;12,1,0)*(1-E89)</f>
        <v>0</v>
      </c>
      <c r="L89" s="35" t="n">
        <f aca="false">INDEX(Inputs_Banks!$AR8:$AX8,1,G89+1)</f>
        <v>1.5</v>
      </c>
      <c r="M89" s="35" t="n">
        <f aca="false">Inputs_Banks!$AI8*MIN(1,p_u_base+$CD$90*p_u_pan_all+J89*($CD$90*p_u_pan_weak+p_u_mda*D89)+p_u_notch*G89+p_u_fail*E89)</f>
        <v>695.13</v>
      </c>
      <c r="N89" s="35" t="n">
        <f aca="false">Inputs_Banks!$AK8*MIN(1,p_w_base+p_w_pan*$CD$90+p_w_notch*G89+0.5*D89+1*E89)</f>
        <v>60.978</v>
      </c>
      <c r="O89" s="35" t="n">
        <f aca="false">Inputs_Banks!$AO8*MIN(1,p_cp_base+p_cp_pan*$CD$90+p_cp_notch*G89)</f>
        <v>3.89</v>
      </c>
      <c r="P89" s="35" t="n">
        <f aca="false">Inputs_Banks!$AN8*(p_dh+p_dh_pan*$CD$90+MIN(1,0.5*$CD$97+0.25*G89))</f>
        <v>103.70988533276</v>
      </c>
      <c r="Q89" s="35" t="n">
        <f aca="false">Modules!$Y8</f>
        <v>24.8867432</v>
      </c>
      <c r="R89" s="35" t="n">
        <f aca="false">Inputs_Banks!$AJ8*K89</f>
        <v>0</v>
      </c>
      <c r="S89" s="35" t="n">
        <f aca="false">p_liq_on*$CD$98*SUM($M$87:$M$110)*R89/MAX(0.000000001,SUM($R$87:$R$110))</f>
        <v>0</v>
      </c>
      <c r="T89" s="35" t="n">
        <f aca="false">p_liq_on*(L89+M89+N89+O89+P89+Q89)</f>
        <v>890.09462853276</v>
      </c>
      <c r="U89" s="35" t="n">
        <f aca="false">g_usable*Inputs_Banks!$AG8+p_cb_on*Inputs_Banks!$AQ8+S89</f>
        <v>626.52</v>
      </c>
      <c r="V89" s="35" t="n">
        <f aca="false">MAX(0,T89-U89)</f>
        <v>263.57462853276</v>
      </c>
      <c r="W89" s="44" t="n">
        <f aca="false">IF(V89&gt;0.9*Inputs_Banks!$BB8,1,0)</f>
        <v>1</v>
      </c>
      <c r="X89" s="43" t="n">
        <f aca="false">MAX(p_htm_forced,(1-p_cb_on)*MIN(1,T89/Inputs_Banks!$AG8)*g_theta_sell)</f>
        <v>0.25</v>
      </c>
      <c r="Y89" s="35" t="n">
        <f aca="false">MAX(0,Modules!$V8-B89/(Inputs_Banks!$I8+g_del_buf))</f>
        <v>850.456364680397</v>
      </c>
      <c r="Z89" s="35" t="n">
        <f aca="false">MIN(g_del_cap*Inputs_Banks!$BB8,Y89)</f>
        <v>49.625</v>
      </c>
      <c r="AA89" s="35" t="n">
        <f aca="false">MIN(Inputs_Banks!$BB8,V89+Z89)</f>
        <v>198.5</v>
      </c>
      <c r="AB89" s="35" t="n">
        <f aca="false">$AA89*Holdings!Q8</f>
        <v>0</v>
      </c>
      <c r="AC89" s="35" t="n">
        <f aca="false">$AA89*Holdings!R8</f>
        <v>0</v>
      </c>
      <c r="AD89" s="35" t="n">
        <f aca="false">$AA89*Holdings!S8</f>
        <v>0</v>
      </c>
      <c r="AE89" s="35" t="n">
        <f aca="false">$AA89*Holdings!T8</f>
        <v>9.97</v>
      </c>
      <c r="AF89" s="35" t="n">
        <f aca="false">$AA89*Holdings!U8</f>
        <v>31.57</v>
      </c>
      <c r="AG89" s="35" t="n">
        <f aca="false">$AA89*Holdings!V8</f>
        <v>0</v>
      </c>
      <c r="AH89" s="35" t="n">
        <f aca="false">$AA89*Holdings!W8</f>
        <v>1.45</v>
      </c>
      <c r="AI89" s="35" t="n">
        <f aca="false">$AA89*Holdings!X8</f>
        <v>18.23</v>
      </c>
      <c r="AJ89" s="35" t="n">
        <f aca="false">$AA89*Holdings!Y8</f>
        <v>8.48</v>
      </c>
      <c r="AK89" s="35" t="n">
        <f aca="false">$AA89*Holdings!Z8</f>
        <v>0</v>
      </c>
      <c r="AL89" s="35" t="n">
        <f aca="false">$AA89*Holdings!AA8</f>
        <v>97.93</v>
      </c>
      <c r="AM89" s="35" t="n">
        <f aca="false">$AA89*Holdings!AB8</f>
        <v>0</v>
      </c>
      <c r="AN89" s="35" t="n">
        <f aca="false">$AA89*Holdings!AC8</f>
        <v>30.87</v>
      </c>
      <c r="AO89" s="43" t="n">
        <f aca="false">MIN(1,$CD$97+0.5*G89)</f>
        <v>1</v>
      </c>
      <c r="AP89" s="35" t="n">
        <f aca="false">p_liq_on*Inputs_Banks!$AP8*AO89*p_mb_psi</f>
        <v>10.488</v>
      </c>
      <c r="AQ89" s="44" t="n">
        <f aca="false">MAX(F89,E89,W89*(1-p_cb_on))</f>
        <v>1</v>
      </c>
      <c r="AR89" s="35" t="n">
        <f aca="false">p_ib_on*p_lgd_ib*g_s_in*g_u_ib*SUMPRODUCT(Network!E$6:E$29,$AQ$87:$AQ$110)</f>
        <v>8.3290801802124</v>
      </c>
      <c r="AS89" s="35" t="n">
        <f aca="false">p_sw_M1*(SUMPRODUCT(BDC_EAD!E$106:E$127,$BF$87:$BF$108)+SUMPRODUCT(BDC_EAD!E$131:E$152,$BG$87:$BG$108)+(Inputs_Banks!$Y8+p_ccf_bl*Inputs_Banks!$Z8)*$CD$110+Modules!$E8)</f>
        <v>52.4702922221031</v>
      </c>
      <c r="AT89" s="35" t="n">
        <f aca="false">p_sw_M3*(Inputs_Banks!$U8+p_ccf_abf*Inputs_Banks!$V8)*$CD$111</f>
        <v>3.2824246005951</v>
      </c>
      <c r="AU89" s="35" t="n">
        <f aca="false">p_sw_M10*Inputs_Banks!$AC8*$CD$112</f>
        <v>0</v>
      </c>
      <c r="AV89" s="35" t="n">
        <f aca="false">p_sw_M8*(Modules!$M8+Modules!$N8*IF(p_liq_on&gt;0,X89,p_htm_forced))</f>
        <v>12.27977</v>
      </c>
      <c r="AW89" s="35" t="n">
        <f aca="false">SUMPRODUCT(Holdings!$C8:$O8,Holdings!$C$32:$O$32,$AB$112:$AN$112)+Inputs_Banks!$P8*$AL$112</f>
        <v>10.4393066837293</v>
      </c>
      <c r="AX89" s="35" t="n">
        <f aca="false">Modules!$T8+AS89+AT89+AU89+AV89+AW89+AR89</f>
        <v>103.869533047288</v>
      </c>
      <c r="AY89" s="35" t="n">
        <f aca="false">Modules!$U8-(1-p_tax)*AX89</f>
        <v>53.5304669527118</v>
      </c>
      <c r="AZ89" s="39" t="n">
        <f aca="false">AY89/Modules!$V8</f>
        <v>0.0402347976121738</v>
      </c>
      <c r="BA89" s="48" t="s">
        <v>636</v>
      </c>
      <c r="BB89" s="43" t="n">
        <f aca="false">INDEX($BJ$87:$BJ$120,BDC_EAD!$B8)</f>
        <v>0.404374605284367</v>
      </c>
      <c r="BC89" s="43" t="n">
        <f aca="false">INDEX($BK$87:$BK$120,BDC_EAD!$B8)</f>
        <v>0.0611100114102059</v>
      </c>
      <c r="BD89" s="22" t="n">
        <f aca="false">INDEX(BDC!$Q$6:$Q$39,BDC_EAD!$B8)</f>
        <v>0.270100917431193</v>
      </c>
      <c r="BE89" s="43" t="n">
        <f aca="false">BB89*(1-$AK$112)-BC89-p_c_liq</f>
        <v>0.111296021496196</v>
      </c>
      <c r="BF89" s="43" t="n">
        <f aca="false">p_phi*MAX(0,p_a_spv-BE89)/p_a_spv+(1-p_phi)*MAX(0,p_a_spv-BB89)/p_a_spv</f>
        <v>0.757268945351671</v>
      </c>
      <c r="BG89" s="43" t="n">
        <f aca="false">IF(BD89&gt;0,p_phi*MAX(0,BD89-BE89)/BD89+(1-p_phi)*MAX(0,BD89-BB89)/BD89,0)</f>
        <v>0.470357220391009</v>
      </c>
      <c r="BI89" s="12" t="str">
        <f aca="false">BDC!$A$8</f>
        <v>ARCC</v>
      </c>
      <c r="BJ89" s="43" t="n">
        <f aca="false">1-((1-BDC!$D$8)*$CD$103+BDC!$D$8*$CD$104)-p_gap-$CD$93*(1-BDC!$M$8)</f>
        <v>0.493705250996006</v>
      </c>
      <c r="BK89" s="43" t="n">
        <f aca="false">(1-BDC!$D$8)*$CD$105+BDC!$D$8*$CD$106</f>
        <v>0.0608491891733852</v>
      </c>
      <c r="BL89" s="45" t="n">
        <f aca="false">BJ89/BDC!$K$8</f>
        <v>0.92678003257145</v>
      </c>
      <c r="BM89" s="35" t="n">
        <f aca="false">IF(BL89&lt;1.5,BDC!$C$8,0)</f>
        <v>29.35</v>
      </c>
      <c r="BN89" s="43" t="n">
        <f aca="false">MAX(0,1-BJ89*(1-CE_mig_hc)-p_bb_cush)*BDC!$Q$8</f>
        <v>0.104092949218272</v>
      </c>
      <c r="BO89" s="43" t="n">
        <f aca="false">MAX(0,BDC!$K$8-BJ89/1.5)</f>
        <v>0.203573446376494</v>
      </c>
      <c r="BP89" s="43" t="n">
        <f aca="false">MIN(MIN(1,BDC!$H$8*$CD$96),$CD$95)</f>
        <v>0</v>
      </c>
      <c r="BQ89" s="43" t="n">
        <f aca="false">BDC!$I$8*BDC!$J$8*BP89*(1-0.3)</f>
        <v>0</v>
      </c>
      <c r="BR89" s="45" t="n">
        <f aca="false">BDC!$C$8*($CD$94*MAX(BN89,BO89)+BQ89)</f>
        <v>5.97488065115011</v>
      </c>
      <c r="BT89" s="10" t="s">
        <v>818</v>
      </c>
      <c r="BU89" s="43" t="n">
        <f aca="false">NORMSDIST((NORMSINV(CreditEngine!$D$8)-SQRT(g_rho)*$CD$91)/SQRT(1-g_rho))</f>
        <v>0.778440947362696</v>
      </c>
      <c r="BV89" s="43" t="n">
        <f aca="false">NORMSDIST((NORMSINV(MIN(0.999,CreditEngine!$D$8*p_m_sw))-SQRT(g_rho)*$CD$91)/SQRT(1-g_rho))</f>
        <v>0.928422699706501</v>
      </c>
      <c r="CC89" s="10" t="s">
        <v>975</v>
      </c>
      <c r="CD89" s="45" t="n">
        <f aca="false">p_news0+g_w_cov*$CD$87+g_w_notch*SUMPRODUCT($G$87:$G$110,Inputs_Banks!$D$6:$D$29)/(3*SUM(Inputs_Banks!$D$6:$D$29))+g_w_mda*SUMPRODUCT($D$87:$D$110,Inputs_Banks!$D$6:$D$29)/SUM(Inputs_Banks!$D$6:$D$29)+g_w_def*MAX($BA$87:$BA$110)+g_w_fs*$CD$88/0.3</f>
        <v>4.0974238527616</v>
      </c>
    </row>
    <row r="90" customFormat="false" ht="15" hidden="false" customHeight="true" outlineLevel="0" collapsed="false">
      <c r="A90" s="10" t="s">
        <v>503</v>
      </c>
      <c r="B90" s="35" t="n">
        <f aca="false">AY50</f>
        <v>6.95824561676677</v>
      </c>
      <c r="C90" s="39" t="n">
        <f aca="false">AZ50</f>
        <v>0.00480879236865561</v>
      </c>
      <c r="D90" s="44" t="n">
        <f aca="false">IF(C90&lt;Inputs_Banks!$I9,1,0)</f>
        <v>1</v>
      </c>
      <c r="E90" s="44" t="n">
        <f aca="false">IF(C90&lt;0.045,1,0)</f>
        <v>1</v>
      </c>
      <c r="F90" s="44" t="n">
        <f aca="false">IF(B90&lt;0,1,0)</f>
        <v>0</v>
      </c>
      <c r="G90" s="44" t="n">
        <f aca="false">MIN(6,MIN(3,INT(MAX(0,Inputs_Banks!$BA9-C90)/p_notch_step))+D90+2*E90)</f>
        <v>6</v>
      </c>
      <c r="H90" s="39" t="n">
        <f aca="false">C90-Inputs_Banks!$I9</f>
        <v>-0.0801912076313444</v>
      </c>
      <c r="I90" s="44" t="n">
        <f aca="false">RANK(H90,$H$87:$H$110,1)</f>
        <v>6</v>
      </c>
      <c r="J90" s="44" t="n">
        <f aca="false">MAX(IF(I90&lt;=g_n_weak,1,0),E90)</f>
        <v>1</v>
      </c>
      <c r="K90" s="44" t="n">
        <f aca="false">IF(I90&gt;12,1,0)*(1-E90)</f>
        <v>0</v>
      </c>
      <c r="L90" s="35" t="n">
        <f aca="false">INDEX(Inputs_Banks!$AR9:$AX9,1,G90+1)</f>
        <v>4.1</v>
      </c>
      <c r="M90" s="35" t="n">
        <f aca="false">Inputs_Banks!$AI9*MIN(1,p_u_base+$CD$90*p_u_pan_all+J90*($CD$90*p_u_pan_weak+p_u_mda*D90)+p_u_notch*G90+p_u_fail*E90)</f>
        <v>739.028</v>
      </c>
      <c r="N90" s="35" t="n">
        <f aca="false">Inputs_Banks!$AK9*MIN(1,p_w_base+p_w_pan*$CD$90+p_w_notch*G90+0.5*D90+1*E90)</f>
        <v>25.168</v>
      </c>
      <c r="O90" s="35" t="n">
        <f aca="false">Inputs_Banks!$AO9*MIN(1,p_cp_base+p_cp_pan*$CD$90+p_cp_notch*G90)</f>
        <v>12.67</v>
      </c>
      <c r="P90" s="35" t="n">
        <f aca="false">Inputs_Banks!$AN9*(p_dh+p_dh_pan*$CD$90+MIN(1,0.5*$CD$97+0.25*G90))</f>
        <v>62.6368013541448</v>
      </c>
      <c r="Q90" s="35" t="n">
        <f aca="false">Modules!$Y9</f>
        <v>53.0660504</v>
      </c>
      <c r="R90" s="35" t="n">
        <f aca="false">Inputs_Banks!$AJ9*K90</f>
        <v>0</v>
      </c>
      <c r="S90" s="35" t="n">
        <f aca="false">p_liq_on*$CD$98*SUM($M$87:$M$110)*R90/MAX(0.000000001,SUM($R$87:$R$110))</f>
        <v>0</v>
      </c>
      <c r="T90" s="35" t="n">
        <f aca="false">p_liq_on*(L90+M90+N90+O90+P90+Q90)</f>
        <v>896.668851754145</v>
      </c>
      <c r="U90" s="35" t="n">
        <f aca="false">g_usable*Inputs_Banks!$AG9+p_cb_on*Inputs_Banks!$AQ9+S90</f>
        <v>570.088</v>
      </c>
      <c r="V90" s="35" t="n">
        <f aca="false">MAX(0,T90-U90)</f>
        <v>326.580851754145</v>
      </c>
      <c r="W90" s="44" t="n">
        <f aca="false">IF(V90&gt;0.9*Inputs_Banks!$BB9,1,0)</f>
        <v>1</v>
      </c>
      <c r="X90" s="43" t="n">
        <f aca="false">MAX(p_htm_forced,(1-p_cb_on)*MIN(1,T90/Inputs_Banks!$AG9)*g_theta_sell)</f>
        <v>0.25</v>
      </c>
      <c r="Y90" s="35" t="n">
        <f aca="false">MAX(0,Modules!$V9-B90/(Inputs_Banks!$I9+g_del_buf))</f>
        <v>1369.6701598137</v>
      </c>
      <c r="Z90" s="35" t="n">
        <f aca="false">MIN(g_del_cap*Inputs_Banks!$BB9,Y90)</f>
        <v>31.935</v>
      </c>
      <c r="AA90" s="35" t="n">
        <f aca="false">MIN(Inputs_Banks!$BB9,V90+Z90)</f>
        <v>127.74</v>
      </c>
      <c r="AB90" s="35" t="n">
        <f aca="false">$AA90*Holdings!Q9</f>
        <v>0</v>
      </c>
      <c r="AC90" s="35" t="n">
        <f aca="false">$AA90*Holdings!R9</f>
        <v>0</v>
      </c>
      <c r="AD90" s="35" t="n">
        <f aca="false">$AA90*Holdings!S9</f>
        <v>0</v>
      </c>
      <c r="AE90" s="35" t="n">
        <f aca="false">$AA90*Holdings!T9</f>
        <v>29.87</v>
      </c>
      <c r="AF90" s="35" t="n">
        <f aca="false">$AA90*Holdings!U9</f>
        <v>17.09</v>
      </c>
      <c r="AG90" s="35" t="n">
        <f aca="false">$AA90*Holdings!V9</f>
        <v>0</v>
      </c>
      <c r="AH90" s="35" t="n">
        <f aca="false">$AA90*Holdings!W9</f>
        <v>5.03</v>
      </c>
      <c r="AI90" s="35" t="n">
        <f aca="false">$AA90*Holdings!X9</f>
        <v>13.21</v>
      </c>
      <c r="AJ90" s="35" t="n">
        <f aca="false">$AA90*Holdings!Y9</f>
        <v>5.26</v>
      </c>
      <c r="AK90" s="35" t="n">
        <f aca="false">$AA90*Holdings!Z9</f>
        <v>0</v>
      </c>
      <c r="AL90" s="35" t="n">
        <f aca="false">$AA90*Holdings!AA9</f>
        <v>37.96</v>
      </c>
      <c r="AM90" s="35" t="n">
        <f aca="false">$AA90*Holdings!AB9</f>
        <v>0</v>
      </c>
      <c r="AN90" s="35" t="n">
        <f aca="false">$AA90*Holdings!AC9</f>
        <v>19.32</v>
      </c>
      <c r="AO90" s="43" t="n">
        <f aca="false">MIN(1,$CD$97+0.5*G90)</f>
        <v>1</v>
      </c>
      <c r="AP90" s="35" t="n">
        <f aca="false">p_liq_on*Inputs_Banks!$AP9*AO90*p_mb_psi</f>
        <v>10.32</v>
      </c>
      <c r="AQ90" s="44" t="n">
        <f aca="false">MAX(F90,E90,W90*(1-p_cb_on))</f>
        <v>1</v>
      </c>
      <c r="AR90" s="35" t="n">
        <f aca="false">p_ib_on*p_lgd_ib*g_s_in*g_u_ib*SUMPRODUCT(Network!F$6:F$29,$AQ$87:$AQ$110)</f>
        <v>8.47195325842872</v>
      </c>
      <c r="AS90" s="35" t="n">
        <f aca="false">p_sw_M1*(SUMPRODUCT(BDC_EAD!F$106:F$127,$BF$87:$BF$108)+SUMPRODUCT(BDC_EAD!F$131:F$152,$BG$87:$BG$108)+(Inputs_Banks!$Y9+p_ccf_bl*Inputs_Banks!$Z9)*$CD$110+Modules!$E9)</f>
        <v>79.5487236356887</v>
      </c>
      <c r="AT90" s="35" t="n">
        <f aca="false">p_sw_M3*(Inputs_Banks!$U9+p_ccf_abf*Inputs_Banks!$V9)*$CD$111</f>
        <v>0</v>
      </c>
      <c r="AU90" s="35" t="n">
        <f aca="false">p_sw_M10*Inputs_Banks!$AC9*$CD$112</f>
        <v>0</v>
      </c>
      <c r="AV90" s="35" t="n">
        <f aca="false">p_sw_M8*(Modules!$M9+Modules!$N9*IF(p_liq_on&gt;0,X90,p_htm_forced))</f>
        <v>17.338745</v>
      </c>
      <c r="AW90" s="35" t="n">
        <f aca="false">SUMPRODUCT(Holdings!$C9:$O9,Holdings!$C$32:$O$32,$AB$112:$AN$112)+Inputs_Banks!$P9*$AL$112</f>
        <v>8.69909283222242</v>
      </c>
      <c r="AX90" s="35" t="n">
        <f aca="false">Modules!$T9+AS90+AT90+AU90+AV90+AW90+AR90</f>
        <v>131.599095800657</v>
      </c>
      <c r="AY90" s="35" t="n">
        <f aca="false">Modules!$U9-(1-p_tax)*AX90</f>
        <v>3.00090419934335</v>
      </c>
      <c r="AZ90" s="39" t="n">
        <f aca="false">AY90/Modules!$V9</f>
        <v>0.00207390282086281</v>
      </c>
      <c r="BA90" s="48" t="s">
        <v>656</v>
      </c>
      <c r="BB90" s="43" t="n">
        <f aca="false">INDEX($BJ$87:$BJ$120,BDC_EAD!$B9)</f>
        <v>0.440484450675871</v>
      </c>
      <c r="BC90" s="43" t="n">
        <f aca="false">INDEX($BK$87:$BK$120,BDC_EAD!$B9)</f>
        <v>0.0655439894361584</v>
      </c>
      <c r="BD90" s="22" t="n">
        <f aca="false">INDEX(BDC!$Q$6:$Q$39,BDC_EAD!$B9)</f>
        <v>0.275784753363229</v>
      </c>
      <c r="BE90" s="43" t="n">
        <f aca="false">BB90*(1-$AK$112)-BC90-p_c_liq</f>
        <v>0.126722458435571</v>
      </c>
      <c r="BF90" s="43" t="n">
        <f aca="false">p_phi*MAX(0,p_a_spv-BE90)/p_a_spv+(1-p_phi)*MAX(0,p_a_spv-BB90)/p_a_spv</f>
        <v>0.729321633023385</v>
      </c>
      <c r="BG90" s="43" t="n">
        <f aca="false">IF(BD90&gt;0,p_phi*MAX(0,BD90-BE90)/BD90+(1-p_phi)*MAX(0,BD90-BB90)/BD90,0)</f>
        <v>0.432401844147873</v>
      </c>
      <c r="BI90" s="12" t="str">
        <f aca="false">BDC!$A$9</f>
        <v>ADS</v>
      </c>
      <c r="BJ90" s="43" t="n">
        <f aca="false">1-((1-BDC!$D$9)*$CD$103+BDC!$D$9*$CD$104)-p_gap-$CD$93*(1-BDC!$M$9)</f>
        <v>0.428174862214715</v>
      </c>
      <c r="BK90" s="43" t="n">
        <f aca="false">(1-BDC!$D$9)*$CD$105+BDC!$D$9*$CD$106</f>
        <v>0.0650596052820627</v>
      </c>
      <c r="BL90" s="45" t="n">
        <f aca="false">BJ90/BDC!$K$9</f>
        <v>0.920329876254616</v>
      </c>
      <c r="BM90" s="35" t="n">
        <f aca="false">IF(BL90&lt;1.5,BDC!$C$9,0)</f>
        <v>25.37</v>
      </c>
      <c r="BN90" s="43" t="n">
        <f aca="false">MAX(0,1-BJ90*(1-CE_mig_hc)-p_bb_cush)*BDC!$Q$9</f>
        <v>0.145198875281454</v>
      </c>
      <c r="BO90" s="43" t="n">
        <f aca="false">MAX(0,BDC!$K$9-BJ90/1.5)</f>
        <v>0.179790733568087</v>
      </c>
      <c r="BP90" s="43" t="n">
        <f aca="false">MIN(MIN(1,BDC!$H$9*$CD$96),$CD$95)</f>
        <v>0.25</v>
      </c>
      <c r="BQ90" s="43" t="n">
        <f aca="false">BDC!$I$9*BDC!$J$9*BP90*(1-0.3)</f>
        <v>0.0935828877005347</v>
      </c>
      <c r="BR90" s="45" t="n">
        <f aca="false">BDC!$C$9*($CD$94*MAX(BN90,BO90)+BQ90)</f>
        <v>6.93548877158493</v>
      </c>
      <c r="BT90" s="10" t="s">
        <v>819</v>
      </c>
      <c r="BU90" s="43" t="n">
        <f aca="false">NORMSDIST((NORMSINV(CreditEngine!$D$9)-SQRT(g_rho)*$CD$91)/SQRT(1-g_rho))</f>
        <v>0.94008092388034</v>
      </c>
      <c r="BV90" s="43" t="n">
        <f aca="false">NORMSDIST((NORMSINV(MIN(0.999,CreditEngine!$D$9*p_m_sw))-SQRT(g_rho)*$CD$91)/SQRT(1-g_rho))</f>
        <v>0.999738169883273</v>
      </c>
      <c r="CC90" s="7" t="s">
        <v>976</v>
      </c>
      <c r="CD90" s="49" t="n">
        <f aca="false">p_panic_on*(p_S0+(1-p_S0)*MAX(0,1/(1+EXP(-($CD$89-g_theta_news)/g_tau_news))-(1/(1+EXP(g_theta_news/g_tau_news))))/(1-(1/(1+EXP(g_theta_news/g_tau_news)))))</f>
        <v>1</v>
      </c>
    </row>
    <row r="91" customFormat="false" ht="15" hidden="false" customHeight="true" outlineLevel="0" collapsed="false">
      <c r="A91" s="10" t="s">
        <v>505</v>
      </c>
      <c r="B91" s="35" t="n">
        <f aca="false">AY51</f>
        <v>15.2349605793053</v>
      </c>
      <c r="C91" s="39" t="n">
        <f aca="false">AZ51</f>
        <v>0.0172661505273417</v>
      </c>
      <c r="D91" s="44" t="n">
        <f aca="false">IF(C91&lt;Inputs_Banks!$I10,1,0)</f>
        <v>1</v>
      </c>
      <c r="E91" s="44" t="n">
        <f aca="false">IF(C91&lt;0.045,1,0)</f>
        <v>1</v>
      </c>
      <c r="F91" s="44" t="n">
        <f aca="false">IF(B91&lt;0,1,0)</f>
        <v>0</v>
      </c>
      <c r="G91" s="44" t="n">
        <f aca="false">MIN(6,MIN(3,INT(MAX(0,Inputs_Banks!$BA10-C91)/p_notch_step))+D91+2*E91)</f>
        <v>6</v>
      </c>
      <c r="H91" s="39" t="n">
        <f aca="false">C91-Inputs_Banks!$I10</f>
        <v>-0.0967338494726583</v>
      </c>
      <c r="I91" s="44" t="n">
        <f aca="false">RANK(H91,$H$87:$H$110,1)</f>
        <v>4</v>
      </c>
      <c r="J91" s="44" t="n">
        <f aca="false">MAX(IF(I91&lt;=g_n_weak,1,0),E91)</f>
        <v>1</v>
      </c>
      <c r="K91" s="44" t="n">
        <f aca="false">IF(I91&gt;12,1,0)*(1-E91)</f>
        <v>0</v>
      </c>
      <c r="L91" s="35" t="n">
        <f aca="false">INDEX(Inputs_Banks!$AR10:$AX10,1,G91+1)</f>
        <v>6.6675</v>
      </c>
      <c r="M91" s="35" t="n">
        <f aca="false">Inputs_Banks!$AI10*MIN(1,p_u_base+$CD$90*p_u_pan_all+J91*($CD$90*p_u_pan_weak+p_u_mda*D91)+p_u_notch*G91+p_u_fail*E91)</f>
        <v>201.16</v>
      </c>
      <c r="N91" s="35" t="n">
        <f aca="false">Inputs_Banks!$AK10*MIN(1,p_w_base+p_w_pan*$CD$90+p_w_notch*G91+0.5*D91+1*E91)</f>
        <v>55.681</v>
      </c>
      <c r="O91" s="35" t="n">
        <f aca="false">Inputs_Banks!$AO10*MIN(1,p_cp_base+p_cp_pan*$CD$90+p_cp_notch*G91)</f>
        <v>1.51</v>
      </c>
      <c r="P91" s="35" t="n">
        <f aca="false">Inputs_Banks!$AN10*(p_dh+p_dh_pan*$CD$90+MIN(1,0.5*$CD$97+0.25*G91))</f>
        <v>172.798154371499</v>
      </c>
      <c r="Q91" s="35" t="n">
        <f aca="false">Modules!$Y10</f>
        <v>24.4757226</v>
      </c>
      <c r="R91" s="35" t="n">
        <f aca="false">Inputs_Banks!$AJ10*K91</f>
        <v>0</v>
      </c>
      <c r="S91" s="35" t="n">
        <f aca="false">p_liq_on*$CD$98*SUM($M$87:$M$110)*R91/MAX(0.000000001,SUM($R$87:$R$110))</f>
        <v>0</v>
      </c>
      <c r="T91" s="35" t="n">
        <f aca="false">p_liq_on*(L91+M91+N91+O91+P91+Q91)</f>
        <v>462.292376971499</v>
      </c>
      <c r="U91" s="35" t="n">
        <f aca="false">g_usable*Inputs_Banks!$AG10+p_cb_on*Inputs_Banks!$AQ10+S91</f>
        <v>575.89165</v>
      </c>
      <c r="V91" s="35" t="n">
        <f aca="false">MAX(0,T91-U91)</f>
        <v>0</v>
      </c>
      <c r="W91" s="44" t="n">
        <f aca="false">IF(V91&gt;0.9*Inputs_Banks!$BB10,1,0)</f>
        <v>0</v>
      </c>
      <c r="X91" s="43" t="n">
        <f aca="false">MAX(p_htm_forced,(1-p_cb_on)*MIN(1,T91/Inputs_Banks!$AG10)*g_theta_sell)</f>
        <v>0.25</v>
      </c>
      <c r="Y91" s="35" t="n">
        <f aca="false">MAX(0,Modules!$V10-B91/(Inputs_Banks!$I10+g_del_buf))</f>
        <v>754.335121182309</v>
      </c>
      <c r="Z91" s="35" t="n">
        <f aca="false">MIN(g_del_cap*Inputs_Banks!$BB10,Y91)</f>
        <v>91.7425</v>
      </c>
      <c r="AA91" s="35" t="n">
        <f aca="false">MIN(Inputs_Banks!$BB10,V91+Z91)</f>
        <v>91.7425</v>
      </c>
      <c r="AB91" s="35" t="n">
        <f aca="false">$AA91*Holdings!Q10</f>
        <v>0</v>
      </c>
      <c r="AC91" s="35" t="n">
        <f aca="false">$AA91*Holdings!R10</f>
        <v>0</v>
      </c>
      <c r="AD91" s="35" t="n">
        <f aca="false">$AA91*Holdings!S10</f>
        <v>0</v>
      </c>
      <c r="AE91" s="35" t="n">
        <f aca="false">$AA91*Holdings!T10</f>
        <v>0.2225</v>
      </c>
      <c r="AF91" s="35" t="n">
        <f aca="false">$AA91*Holdings!U10</f>
        <v>16.98</v>
      </c>
      <c r="AG91" s="35" t="n">
        <f aca="false">$AA91*Holdings!V10</f>
        <v>0</v>
      </c>
      <c r="AH91" s="35" t="n">
        <f aca="false">$AA91*Holdings!W10</f>
        <v>5.9525</v>
      </c>
      <c r="AI91" s="35" t="n">
        <f aca="false">$AA91*Holdings!X10</f>
        <v>0</v>
      </c>
      <c r="AJ91" s="35" t="n">
        <f aca="false">$AA91*Holdings!Y10</f>
        <v>5.7675</v>
      </c>
      <c r="AK91" s="35" t="n">
        <f aca="false">$AA91*Holdings!Z10</f>
        <v>0</v>
      </c>
      <c r="AL91" s="35" t="n">
        <f aca="false">$AA91*Holdings!AA10</f>
        <v>61.7925</v>
      </c>
      <c r="AM91" s="35" t="n">
        <f aca="false">$AA91*Holdings!AB10</f>
        <v>0</v>
      </c>
      <c r="AN91" s="35" t="n">
        <f aca="false">$AA91*Holdings!AC10</f>
        <v>1.0275</v>
      </c>
      <c r="AO91" s="43" t="n">
        <f aca="false">MIN(1,$CD$97+0.5*G91)</f>
        <v>1</v>
      </c>
      <c r="AP91" s="35" t="n">
        <f aca="false">p_liq_on*Inputs_Banks!$AP10*AO91*p_mb_psi</f>
        <v>1.422</v>
      </c>
      <c r="AQ91" s="44" t="n">
        <f aca="false">MAX(F91,E91,W91*(1-p_cb_on))</f>
        <v>1</v>
      </c>
      <c r="AR91" s="35" t="n">
        <f aca="false">p_ib_on*p_lgd_ib*g_s_in*g_u_ib*SUMPRODUCT(Network!G$6:G$29,$AQ$87:$AQ$110)</f>
        <v>11.7962428802982</v>
      </c>
      <c r="AS91" s="35" t="n">
        <f aca="false">p_sw_M1*(SUMPRODUCT(BDC_EAD!G$106:G$127,$BF$87:$BF$108)+SUMPRODUCT(BDC_EAD!G$131:G$152,$BG$87:$BG$108)+(Inputs_Banks!$Y10+p_ccf_bl*Inputs_Banks!$Z10)*$CD$110+Modules!$E10)</f>
        <v>31.3129915781768</v>
      </c>
      <c r="AT91" s="35" t="n">
        <f aca="false">p_sw_M3*(Inputs_Banks!$U10+p_ccf_abf*Inputs_Banks!$V10)*$CD$111</f>
        <v>0</v>
      </c>
      <c r="AU91" s="35" t="n">
        <f aca="false">p_sw_M10*Inputs_Banks!$AC10*$CD$112</f>
        <v>0</v>
      </c>
      <c r="AV91" s="35" t="n">
        <f aca="false">p_sw_M8*(Modules!$M10+Modules!$N10*IF(p_liq_on&gt;0,X91,p_htm_forced))</f>
        <v>5.01152</v>
      </c>
      <c r="AW91" s="35" t="n">
        <f aca="false">SUMPRODUCT(Holdings!$C10:$O10,Holdings!$C$32:$O$32,$AB$112:$AN$112)+Inputs_Banks!$P10*$AL$112</f>
        <v>19.0984516984342</v>
      </c>
      <c r="AX91" s="35" t="n">
        <f aca="false">Modules!$T10+AS91+AT91+AU91+AV91+AW91+AR91</f>
        <v>92.1213851345239</v>
      </c>
      <c r="AY91" s="35" t="n">
        <f aca="false">Modules!$U10-(1-p_tax)*AX91</f>
        <v>9.27861486547613</v>
      </c>
      <c r="AZ91" s="39" t="n">
        <f aca="false">AY91/Modules!$V10</f>
        <v>0.0105156793887712</v>
      </c>
      <c r="BA91" s="48" t="s">
        <v>629</v>
      </c>
      <c r="BB91" s="43" t="n">
        <f aca="false">INDEX($BJ$87:$BJ$120,BDC_EAD!$B10)</f>
        <v>0.394270722625258</v>
      </c>
      <c r="BC91" s="43" t="n">
        <f aca="false">INDEX($BK$87:$BK$120,BDC_EAD!$B10)</f>
        <v>0.0594332970306441</v>
      </c>
      <c r="BD91" s="22" t="n">
        <f aca="false">INDEX(BDC!$Q$6:$Q$39,BDC_EAD!$B10)</f>
        <v>0.259516483516484</v>
      </c>
      <c r="BE91" s="43" t="n">
        <f aca="false">BB91*(1-$AK$112)-BC91-p_c_liq</f>
        <v>0.107415600413248</v>
      </c>
      <c r="BF91" s="43" t="n">
        <f aca="false">p_phi*MAX(0,p_a_spv-BE91)/p_a_spv+(1-p_phi)*MAX(0,p_a_spv-BB91)/p_a_spv</f>
        <v>0.764590535920501</v>
      </c>
      <c r="BG91" s="43" t="n">
        <f aca="false">IF(BD91&gt;0,p_phi*MAX(0,BD91-BE91)/BD91+(1-p_phi)*MAX(0,BD91-BB91)/BD91,0)</f>
        <v>0.468874673522848</v>
      </c>
      <c r="BI91" s="12" t="str">
        <f aca="false">BDC!$A$10</f>
        <v>HLEND</v>
      </c>
      <c r="BJ91" s="43" t="n">
        <f aca="false">1-((1-BDC!$D$10)*$CD$103+BDC!$D$10*$CD$104)-p_gap-$CD$93*(1-BDC!$M$10)</f>
        <v>0.412682242137413</v>
      </c>
      <c r="BK91" s="43" t="n">
        <f aca="false">(1-BDC!$D$10)*$CD$105+BDC!$D$10*$CD$106</f>
        <v>0.0624886432334012</v>
      </c>
      <c r="BL91" s="45" t="n">
        <f aca="false">BJ91/BDC!$K$10</f>
        <v>0.825364484274826</v>
      </c>
      <c r="BM91" s="35" t="n">
        <f aca="false">IF(BL91&lt;1.5,BDC!$C$10,0)</f>
        <v>24.18</v>
      </c>
      <c r="BN91" s="43" t="n">
        <f aca="false">MAX(0,1-BJ91*(1-CE_mig_hc)-p_bb_cush)*BDC!$Q$10</f>
        <v>0.166906113401486</v>
      </c>
      <c r="BO91" s="43" t="n">
        <f aca="false">MAX(0,BDC!$K$10-BJ91/1.5)</f>
        <v>0.224878505241725</v>
      </c>
      <c r="BP91" s="43" t="n">
        <f aca="false">MIN(MIN(1,BDC!$H$10*$CD$96),$CD$95)</f>
        <v>0.25</v>
      </c>
      <c r="BQ91" s="43" t="n">
        <f aca="false">BDC!$I$10*BDC!$J$10*BP91*(1-0.3)</f>
        <v>0.0875</v>
      </c>
      <c r="BR91" s="45" t="n">
        <f aca="false">BDC!$C$10*($CD$94*MAX(BN91,BO91)+BQ91)</f>
        <v>7.5533122567449</v>
      </c>
      <c r="BT91" s="10" t="s">
        <v>820</v>
      </c>
      <c r="BU91" s="43" t="n">
        <f aca="false">NORMSDIST((NORMSINV(CreditEngine!$D$10)-SQRT(g_rho)*$CD$91)/SQRT(1-g_rho))</f>
        <v>0.94008092388034</v>
      </c>
      <c r="BV91" s="43" t="n">
        <f aca="false">NORMSDIST((NORMSINV(MIN(0.999,CreditEngine!$D$10*p_m_sw))-SQRT(g_rho)*$CD$91)/SQRT(1-g_rho))</f>
        <v>0.999738169883273</v>
      </c>
      <c r="CC91" s="10" t="s">
        <v>977</v>
      </c>
      <c r="CD91" s="45" t="n">
        <f aca="false">p_z-p_zc*$CD$90</f>
        <v>-3.25</v>
      </c>
    </row>
    <row r="92" customFormat="false" ht="15" hidden="false" customHeight="true" outlineLevel="0" collapsed="false">
      <c r="A92" s="10" t="s">
        <v>507</v>
      </c>
      <c r="B92" s="35" t="n">
        <f aca="false">AY52</f>
        <v>16.6972930802376</v>
      </c>
      <c r="C92" s="39" t="n">
        <f aca="false">AZ52</f>
        <v>0.0259490710905935</v>
      </c>
      <c r="D92" s="44" t="n">
        <f aca="false">IF(C92&lt;Inputs_Banks!$I11,1,0)</f>
        <v>1</v>
      </c>
      <c r="E92" s="44" t="n">
        <f aca="false">IF(C92&lt;0.045,1,0)</f>
        <v>1</v>
      </c>
      <c r="F92" s="44" t="n">
        <f aca="false">IF(B92&lt;0,1,0)</f>
        <v>0</v>
      </c>
      <c r="G92" s="44" t="n">
        <f aca="false">MIN(6,MIN(3,INT(MAX(0,Inputs_Banks!$BA11-C92)/p_notch_step))+D92+2*E92)</f>
        <v>6</v>
      </c>
      <c r="H92" s="39" t="n">
        <f aca="false">C92-Inputs_Banks!$I11</f>
        <v>-0.0920509289094065</v>
      </c>
      <c r="I92" s="44" t="n">
        <f aca="false">RANK(H92,$H$87:$H$110,1)</f>
        <v>5</v>
      </c>
      <c r="J92" s="44" t="n">
        <f aca="false">MAX(IF(I92&lt;=g_n_weak,1,0),E92)</f>
        <v>1</v>
      </c>
      <c r="K92" s="44" t="n">
        <f aca="false">IF(I92&gt;12,1,0)*(1-E92)</f>
        <v>0</v>
      </c>
      <c r="L92" s="35" t="n">
        <f aca="false">INDEX(Inputs_Banks!$AR11:$AX11,1,G92+1)</f>
        <v>3.28125</v>
      </c>
      <c r="M92" s="35" t="n">
        <f aca="false">Inputs_Banks!$AI11*MIN(1,p_u_base+$CD$90*p_u_pan_all+J92*($CD$90*p_u_pan_weak+p_u_mda*D92)+p_u_notch*G92+p_u_fail*E92)</f>
        <v>149.742</v>
      </c>
      <c r="N92" s="35" t="n">
        <f aca="false">Inputs_Banks!$AK11*MIN(1,p_w_base+p_w_pan*$CD$90+p_w_notch*G92+0.5*D92+1*E92)</f>
        <v>9.4</v>
      </c>
      <c r="O92" s="35" t="n">
        <f aca="false">Inputs_Banks!$AO11*MIN(1,p_cp_base+p_cp_pan*$CD$90+p_cp_notch*G92)</f>
        <v>0</v>
      </c>
      <c r="P92" s="35" t="n">
        <f aca="false">Inputs_Banks!$AN11*(p_dh+p_dh_pan*$CD$90+MIN(1,0.5*$CD$97+0.25*G92))</f>
        <v>89.5356182750795</v>
      </c>
      <c r="Q92" s="35" t="n">
        <f aca="false">Modules!$Y11</f>
        <v>18.2013845</v>
      </c>
      <c r="R92" s="35" t="n">
        <f aca="false">Inputs_Banks!$AJ11*K92</f>
        <v>0</v>
      </c>
      <c r="S92" s="35" t="n">
        <f aca="false">p_liq_on*$CD$98*SUM($M$87:$M$110)*R92/MAX(0.000000001,SUM($R$87:$R$110))</f>
        <v>0</v>
      </c>
      <c r="T92" s="35" t="n">
        <f aca="false">p_liq_on*(L92+M92+N92+O92+P92+Q92)</f>
        <v>270.16025277508</v>
      </c>
      <c r="U92" s="35" t="n">
        <f aca="false">g_usable*Inputs_Banks!$AG11+p_cb_on*Inputs_Banks!$AQ11+S92</f>
        <v>351.0815</v>
      </c>
      <c r="V92" s="35" t="n">
        <f aca="false">MAX(0,T92-U92)</f>
        <v>0</v>
      </c>
      <c r="W92" s="44" t="n">
        <f aca="false">IF(V92&gt;0.9*Inputs_Banks!$BB11,1,0)</f>
        <v>0</v>
      </c>
      <c r="X92" s="43" t="n">
        <f aca="false">MAX(p_htm_forced,(1-p_cb_on)*MIN(1,T92/Inputs_Banks!$AG11)*g_theta_sell)</f>
        <v>0.211614880058183</v>
      </c>
      <c r="Y92" s="35" t="n">
        <f aca="false">MAX(0,Modules!$V11-B92/(Inputs_Banks!$I11+g_del_buf))</f>
        <v>507.713649754166</v>
      </c>
      <c r="Z92" s="35" t="n">
        <f aca="false">MIN(g_del_cap*Inputs_Banks!$BB11,Y92)</f>
        <v>74.495</v>
      </c>
      <c r="AA92" s="35" t="n">
        <f aca="false">MIN(Inputs_Banks!$BB11,V92+Z92)</f>
        <v>74.495</v>
      </c>
      <c r="AB92" s="35" t="n">
        <f aca="false">$AA92*Holdings!Q11</f>
        <v>0</v>
      </c>
      <c r="AC92" s="35" t="n">
        <f aca="false">$AA92*Holdings!R11</f>
        <v>0</v>
      </c>
      <c r="AD92" s="35" t="n">
        <f aca="false">$AA92*Holdings!S11</f>
        <v>0</v>
      </c>
      <c r="AE92" s="35" t="n">
        <f aca="false">$AA92*Holdings!T11</f>
        <v>1.6275</v>
      </c>
      <c r="AF92" s="35" t="n">
        <f aca="false">$AA92*Holdings!U11</f>
        <v>11.67</v>
      </c>
      <c r="AG92" s="35" t="n">
        <f aca="false">$AA92*Holdings!V11</f>
        <v>0</v>
      </c>
      <c r="AH92" s="35" t="n">
        <f aca="false">$AA92*Holdings!W11</f>
        <v>6.04</v>
      </c>
      <c r="AI92" s="35" t="n">
        <f aca="false">$AA92*Holdings!X11</f>
        <v>0</v>
      </c>
      <c r="AJ92" s="35" t="n">
        <f aca="false">$AA92*Holdings!Y11</f>
        <v>1.3075</v>
      </c>
      <c r="AK92" s="35" t="n">
        <f aca="false">$AA92*Holdings!Z11</f>
        <v>0</v>
      </c>
      <c r="AL92" s="35" t="n">
        <f aca="false">$AA92*Holdings!AA11</f>
        <v>52.9975</v>
      </c>
      <c r="AM92" s="35" t="n">
        <f aca="false">$AA92*Holdings!AB11</f>
        <v>0</v>
      </c>
      <c r="AN92" s="35" t="n">
        <f aca="false">$AA92*Holdings!AC11</f>
        <v>0.8525</v>
      </c>
      <c r="AO92" s="43" t="n">
        <f aca="false">MIN(1,$CD$97+0.5*G92)</f>
        <v>1</v>
      </c>
      <c r="AP92" s="35" t="n">
        <f aca="false">p_liq_on*Inputs_Banks!$AP11*AO92*p_mb_psi</f>
        <v>0</v>
      </c>
      <c r="AQ92" s="44" t="n">
        <f aca="false">MAX(F92,E92,W92*(1-p_cb_on))</f>
        <v>1</v>
      </c>
      <c r="AR92" s="35" t="n">
        <f aca="false">p_ib_on*p_lgd_ib*g_s_in*g_u_ib*SUMPRODUCT(Network!H$6:H$29,$AQ$87:$AQ$110)</f>
        <v>8.85043725068811</v>
      </c>
      <c r="AS92" s="35" t="n">
        <f aca="false">p_sw_M1*(SUMPRODUCT(BDC_EAD!H$106:H$127,$BF$87:$BF$108)+SUMPRODUCT(BDC_EAD!H$131:H$152,$BG$87:$BG$108)+(Inputs_Banks!$Y11+p_ccf_bl*Inputs_Banks!$Z11)*$CD$110+Modules!$E11)</f>
        <v>24.1216345672086</v>
      </c>
      <c r="AT92" s="35" t="n">
        <f aca="false">p_sw_M3*(Inputs_Banks!$U11+p_ccf_abf*Inputs_Banks!$V11)*$CD$111</f>
        <v>0</v>
      </c>
      <c r="AU92" s="35" t="n">
        <f aca="false">p_sw_M10*Inputs_Banks!$AC11*$CD$112</f>
        <v>0</v>
      </c>
      <c r="AV92" s="35" t="n">
        <f aca="false">p_sw_M8*(Modules!$M11+Modules!$N11*IF(p_liq_on&gt;0,X92,p_htm_forced))</f>
        <v>4.83355467504518</v>
      </c>
      <c r="AW92" s="35" t="n">
        <f aca="false">SUMPRODUCT(Holdings!$C11:$O11,Holdings!$C$32:$O$32,$AB$112:$AN$112)+Inputs_Banks!$P11*$AL$112</f>
        <v>15.3298043072842</v>
      </c>
      <c r="AX92" s="35" t="n">
        <f aca="false">Modules!$T11+AS92+AT92+AU92+AV92+AW92+AR92</f>
        <v>76.5949372910787</v>
      </c>
      <c r="AY92" s="35" t="n">
        <f aca="false">Modules!$U11-(1-p_tax)*AX92</f>
        <v>12.2050627089213</v>
      </c>
      <c r="AZ92" s="39" t="n">
        <f aca="false">AY92/Modules!$V11</f>
        <v>0.0189677475490801</v>
      </c>
      <c r="BA92" s="48" t="s">
        <v>640</v>
      </c>
      <c r="BB92" s="43" t="n">
        <f aca="false">INDEX($BJ$87:$BJ$120,BDC_EAD!$B11)</f>
        <v>0.48930871061707</v>
      </c>
      <c r="BC92" s="43" t="n">
        <f aca="false">INDEX($BK$87:$BK$120,BDC_EAD!$B11)</f>
        <v>0.0620042590793056</v>
      </c>
      <c r="BD92" s="22" t="n">
        <f aca="false">INDEX(BDC!$Q$6:$Q$39,BDC_EAD!$B11)</f>
        <v>0.18126872246696</v>
      </c>
      <c r="BE92" s="43" t="n">
        <f aca="false">BB92*(1-$AK$112)-BC92-p_c_liq</f>
        <v>0.157115531760083</v>
      </c>
      <c r="BF92" s="43" t="n">
        <f aca="false">p_phi*MAX(0,p_a_spv-BE92)/p_a_spv+(1-p_phi)*MAX(0,p_a_spv-BB92)/p_a_spv</f>
        <v>0.680636903526457</v>
      </c>
      <c r="BG92" s="43" t="n">
        <f aca="false">IF(BD92&gt;0,p_phi*MAX(0,BD92-BE92)/BD92+(1-p_phi)*MAX(0,BD92-BB92)/BD92,0)</f>
        <v>0.106596175570355</v>
      </c>
      <c r="BI92" s="12" t="str">
        <f aca="false">BDC!$A$11</f>
        <v>ASIF</v>
      </c>
      <c r="BJ92" s="43" t="n">
        <f aca="false">1-((1-BDC!$D$11)*$CD$103+BDC!$D$11*$CD$104)-p_gap-$CD$93*(1-BDC!$M$11)</f>
        <v>0.404374605284367</v>
      </c>
      <c r="BK92" s="43" t="n">
        <f aca="false">(1-BDC!$D$11)*$CD$105+BDC!$D$11*$CD$106</f>
        <v>0.0611100114102059</v>
      </c>
      <c r="BL92" s="45" t="n">
        <f aca="false">BJ92/BDC!$K$11</f>
        <v>0.747064948745695</v>
      </c>
      <c r="BM92" s="35" t="n">
        <f aca="false">IF(BL92&lt;1.5,BDC!$C$11,0)</f>
        <v>21.84</v>
      </c>
      <c r="BN92" s="43" t="n">
        <f aca="false">MAX(0,1-BJ92*(1-CE_mig_hc)-p_bb_cush)*BDC!$Q$11</f>
        <v>0.166493090846723</v>
      </c>
      <c r="BO92" s="43" t="n">
        <f aca="false">MAX(0,BDC!$K$11-BJ92/1.5)</f>
        <v>0.271701333480147</v>
      </c>
      <c r="BP92" s="43" t="n">
        <f aca="false">MIN(MIN(1,BDC!$H$11*$CD$96),$CD$95)</f>
        <v>0.25</v>
      </c>
      <c r="BQ92" s="43" t="n">
        <f aca="false">BDC!$I$11*BDC!$J$11*BP92*(1-0.3)</f>
        <v>0.0802752293577982</v>
      </c>
      <c r="BR92" s="45" t="n">
        <f aca="false">BDC!$C$11*($CD$94*MAX(BN92,BO92)+BQ92)</f>
        <v>7.68716813238072</v>
      </c>
      <c r="CC92" s="10" t="s">
        <v>978</v>
      </c>
      <c r="CD92" s="35" t="n">
        <f aca="false">p_ds+p_ds_pan*$CD$90</f>
        <v>1100</v>
      </c>
    </row>
    <row r="93" customFormat="false" ht="15" hidden="false" customHeight="true" outlineLevel="0" collapsed="false">
      <c r="A93" s="10" t="s">
        <v>509</v>
      </c>
      <c r="B93" s="35" t="n">
        <f aca="false">AY53</f>
        <v>2.20826787561061</v>
      </c>
      <c r="C93" s="39" t="n">
        <f aca="false">AZ53</f>
        <v>0.00408285239100885</v>
      </c>
      <c r="D93" s="44" t="n">
        <f aca="false">IF(C93&lt;Inputs_Banks!$I12,1,0)</f>
        <v>1</v>
      </c>
      <c r="E93" s="44" t="n">
        <f aca="false">IF(C93&lt;0.045,1,0)</f>
        <v>1</v>
      </c>
      <c r="F93" s="44" t="n">
        <f aca="false">IF(B93&lt;0,1,0)</f>
        <v>0</v>
      </c>
      <c r="G93" s="44" t="n">
        <f aca="false">MIN(6,MIN(3,INT(MAX(0,Inputs_Banks!$BA12-C93)/p_notch_step))+D93+2*E93)</f>
        <v>6</v>
      </c>
      <c r="H93" s="39" t="n">
        <f aca="false">C93-Inputs_Banks!$I12</f>
        <v>-0.0659171476089912</v>
      </c>
      <c r="I93" s="44" t="n">
        <f aca="false">RANK(H93,$H$87:$H$110,1)</f>
        <v>10</v>
      </c>
      <c r="J93" s="44" t="n">
        <f aca="false">MAX(IF(I93&lt;=g_n_weak,1,0),E93)</f>
        <v>1</v>
      </c>
      <c r="K93" s="44" t="n">
        <f aca="false">IF(I93&gt;12,1,0)*(1-E93)</f>
        <v>0</v>
      </c>
      <c r="L93" s="35" t="n">
        <f aca="false">INDEX(Inputs_Banks!$AR12:$AX12,1,G93+1)</f>
        <v>2</v>
      </c>
      <c r="M93" s="35" t="n">
        <f aca="false">Inputs_Banks!$AI12*MIN(1,p_u_base+$CD$90*p_u_pan_all+J93*($CD$90*p_u_pan_weak+p_u_mda*D93)+p_u_notch*G93+p_u_fail*E93)</f>
        <v>192.606</v>
      </c>
      <c r="N93" s="35" t="n">
        <f aca="false">Inputs_Banks!$AK12*MIN(1,p_w_base+p_w_pan*$CD$90+p_w_notch*G93+0.5*D93+1*E93)</f>
        <v>2.767</v>
      </c>
      <c r="O93" s="35" t="n">
        <f aca="false">Inputs_Banks!$AO12*MIN(1,p_cp_base+p_cp_pan*$CD$90+p_cp_notch*G93)</f>
        <v>0</v>
      </c>
      <c r="P93" s="35" t="n">
        <f aca="false">Inputs_Banks!$AN12*(p_dh+p_dh_pan*$CD$90+MIN(1,0.5*$CD$97+0.25*G93))</f>
        <v>0</v>
      </c>
      <c r="Q93" s="35" t="n">
        <f aca="false">Modules!$Y12</f>
        <v>25.4204874</v>
      </c>
      <c r="R93" s="35" t="n">
        <f aca="false">Inputs_Banks!$AJ12*K93</f>
        <v>0</v>
      </c>
      <c r="S93" s="35" t="n">
        <f aca="false">p_liq_on*$CD$98*SUM($M$87:$M$110)*R93/MAX(0.000000001,SUM($R$87:$R$110))</f>
        <v>0</v>
      </c>
      <c r="T93" s="35" t="n">
        <f aca="false">p_liq_on*(L93+M93+N93+O93+P93+Q93)</f>
        <v>222.7934874</v>
      </c>
      <c r="U93" s="35" t="n">
        <f aca="false">g_usable*Inputs_Banks!$AG12+p_cb_on*Inputs_Banks!$AQ12+S93</f>
        <v>151.195</v>
      </c>
      <c r="V93" s="35" t="n">
        <f aca="false">MAX(0,T93-U93)</f>
        <v>71.5984874</v>
      </c>
      <c r="W93" s="44" t="n">
        <f aca="false">IF(V93&gt;0.9*Inputs_Banks!$BB12,1,0)</f>
        <v>1</v>
      </c>
      <c r="X93" s="43" t="n">
        <f aca="false">MAX(p_htm_forced,(1-p_cb_on)*MIN(1,T93/Inputs_Banks!$AG12)*g_theta_sell)</f>
        <v>0.25</v>
      </c>
      <c r="Y93" s="35" t="n">
        <f aca="false">MAX(0,Modules!$V12-B93/(Inputs_Banks!$I12+g_del_buf))</f>
        <v>511.420428325192</v>
      </c>
      <c r="Z93" s="35" t="n">
        <f aca="false">MIN(g_del_cap*Inputs_Banks!$BB12,Y93)</f>
        <v>2.2875</v>
      </c>
      <c r="AA93" s="35" t="n">
        <f aca="false">MIN(Inputs_Banks!$BB12,V93+Z93)</f>
        <v>9.15</v>
      </c>
      <c r="AB93" s="35" t="n">
        <f aca="false">$AA93*Holdings!Q12</f>
        <v>0</v>
      </c>
      <c r="AC93" s="35" t="n">
        <f aca="false">$AA93*Holdings!R12</f>
        <v>0</v>
      </c>
      <c r="AD93" s="35" t="n">
        <f aca="false">$AA93*Holdings!S12</f>
        <v>0</v>
      </c>
      <c r="AE93" s="35" t="n">
        <f aca="false">$AA93*Holdings!T12</f>
        <v>2.37</v>
      </c>
      <c r="AF93" s="35" t="n">
        <f aca="false">$AA93*Holdings!U12</f>
        <v>2.02</v>
      </c>
      <c r="AG93" s="35" t="n">
        <f aca="false">$AA93*Holdings!V12</f>
        <v>0</v>
      </c>
      <c r="AH93" s="35" t="n">
        <f aca="false">$AA93*Holdings!W12</f>
        <v>0.02</v>
      </c>
      <c r="AI93" s="35" t="n">
        <f aca="false">$AA93*Holdings!X12</f>
        <v>0.06</v>
      </c>
      <c r="AJ93" s="35" t="n">
        <f aca="false">$AA93*Holdings!Y12</f>
        <v>4.68</v>
      </c>
      <c r="AK93" s="35" t="n">
        <f aca="false">$AA93*Holdings!Z12</f>
        <v>0</v>
      </c>
      <c r="AL93" s="35" t="n">
        <f aca="false">$AA93*Holdings!AA12</f>
        <v>0</v>
      </c>
      <c r="AM93" s="35" t="n">
        <f aca="false">$AA93*Holdings!AB12</f>
        <v>0</v>
      </c>
      <c r="AN93" s="35" t="n">
        <f aca="false">$AA93*Holdings!AC12</f>
        <v>0</v>
      </c>
      <c r="AO93" s="43" t="n">
        <f aca="false">MIN(1,$CD$97+0.5*G93)</f>
        <v>1</v>
      </c>
      <c r="AP93" s="35" t="n">
        <f aca="false">p_liq_on*Inputs_Banks!$AP12*AO93*p_mb_psi</f>
        <v>0</v>
      </c>
      <c r="AQ93" s="44" t="n">
        <f aca="false">MAX(F93,E93,W93*(1-p_cb_on))</f>
        <v>1</v>
      </c>
      <c r="AR93" s="35" t="n">
        <f aca="false">p_ib_on*p_lgd_ib*g_s_in*g_u_ib*SUMPRODUCT(Network!I$6:I$29,$AQ$87:$AQ$110)</f>
        <v>0.553400080853143</v>
      </c>
      <c r="AS93" s="35" t="n">
        <f aca="false">p_sw_M1*(SUMPRODUCT(BDC_EAD!I$106:I$127,$BF$87:$BF$108)+SUMPRODUCT(BDC_EAD!I$131:I$152,$BG$87:$BG$108)+(Inputs_Banks!$Y12+p_ccf_bl*Inputs_Banks!$Z12)*$CD$110+Modules!$E12)</f>
        <v>37.3288498355516</v>
      </c>
      <c r="AT93" s="35" t="n">
        <f aca="false">p_sw_M3*(Inputs_Banks!$U12+p_ccf_abf*Inputs_Banks!$V12)*$CD$111</f>
        <v>0</v>
      </c>
      <c r="AU93" s="35" t="n">
        <f aca="false">p_sw_M10*Inputs_Banks!$AC12*$CD$112</f>
        <v>0</v>
      </c>
      <c r="AV93" s="35" t="n">
        <f aca="false">p_sw_M8*(Modules!$M12+Modules!$N12*IF(p_liq_on&gt;0,X93,p_htm_forced))</f>
        <v>2.868215</v>
      </c>
      <c r="AW93" s="35" t="n">
        <f aca="false">SUMPRODUCT(Holdings!$C12:$O12,Holdings!$C$32:$O$32,$AB$112:$AN$112)+Inputs_Banks!$P12*$AL$112</f>
        <v>0.917839985949254</v>
      </c>
      <c r="AX93" s="35" t="n">
        <f aca="false">Modules!$T12+AS93+AT93+AU93+AV93+AW93+AR93</f>
        <v>47.1519017034361</v>
      </c>
      <c r="AY93" s="35" t="n">
        <f aca="false">Modules!$U12-(1-p_tax)*AX93</f>
        <v>1.94809829656394</v>
      </c>
      <c r="AZ93" s="39" t="n">
        <f aca="false">AY93/Modules!$V12</f>
        <v>0.00360182651565632</v>
      </c>
      <c r="BA93" s="48" t="s">
        <v>657</v>
      </c>
      <c r="BB93" s="43" t="n">
        <f aca="false">INDEX($BJ$87:$BJ$120,BDC_EAD!$B12)</f>
        <v>0.378165749019815</v>
      </c>
      <c r="BC93" s="43" t="n">
        <f aca="false">INDEX($BK$87:$BK$120,BDC_EAD!$B12)</f>
        <v>0.0643143988911463</v>
      </c>
      <c r="BD93" s="22" t="n">
        <f aca="false">INDEX(BDC!$Q$6:$Q$39,BDC_EAD!$B12)</f>
        <v>0.295054794520548</v>
      </c>
      <c r="BE93" s="43" t="n">
        <f aca="false">BB93*(1-$AK$112)-BC93-p_c_liq</f>
        <v>0.0936767630697516</v>
      </c>
      <c r="BF93" s="43" t="n">
        <f aca="false">p_phi*MAX(0,p_a_spv-BE93)/p_a_spv+(1-p_phi)*MAX(0,p_a_spv-BB93)/p_a_spv</f>
        <v>0.784893485343194</v>
      </c>
      <c r="BG93" s="43" t="n">
        <f aca="false">IF(BD93&gt;0,p_phi*MAX(0,BD93-BE93)/BD93+(1-p_phi)*MAX(0,BD93-BB93)/BD93,0)</f>
        <v>0.546008497921283</v>
      </c>
      <c r="BI93" s="12" t="str">
        <f aca="false">BDC!$A$12</f>
        <v>GS PCC</v>
      </c>
      <c r="BJ93" s="43" t="n">
        <f aca="false">1-((1-BDC!$D$12)*$CD$103+BDC!$D$12*$CD$104)-p_gap-$CD$93*(1-BDC!$M$12)</f>
        <v>0.398087744963144</v>
      </c>
      <c r="BK93" s="43" t="n">
        <f aca="false">(1-BDC!$D$12)*$CD$105+BDC!$D$12*$CD$106</f>
        <v>0.060066722462923</v>
      </c>
      <c r="BL93" s="45" t="n">
        <f aca="false">BJ93/BDC!$K$12</f>
        <v>0.812762479299751</v>
      </c>
      <c r="BM93" s="35" t="n">
        <f aca="false">IF(BL93&lt;1.5,BDC!$C$12,0)</f>
        <v>18.19</v>
      </c>
      <c r="BN93" s="43" t="n">
        <f aca="false">MAX(0,1-BJ93*(1-CE_mig_hc)-p_bb_cush)*BDC!$Q$12</f>
        <v>0.171189689900712</v>
      </c>
      <c r="BO93" s="43" t="n">
        <f aca="false">MAX(0,BDC!$K$12-BJ93/1.5)</f>
        <v>0.224404088391918</v>
      </c>
      <c r="BP93" s="43" t="n">
        <f aca="false">MIN(MIN(1,BDC!$H$12*$CD$96),$CD$95)</f>
        <v>0.0609</v>
      </c>
      <c r="BQ93" s="43" t="n">
        <f aca="false">BDC!$I$12*BDC!$J$12*BP93*(1-0.3)</f>
        <v>0.02175</v>
      </c>
      <c r="BR93" s="45" t="n">
        <f aca="false">BDC!$C$12*($CD$94*MAX(BN93,BO93)+BQ93)</f>
        <v>4.47754286784899</v>
      </c>
      <c r="CC93" s="10" t="s">
        <v>979</v>
      </c>
      <c r="CD93" s="43" t="n">
        <f aca="false">p_w_mkt+(1-p_w_mkt)*$CD$90</f>
        <v>1</v>
      </c>
    </row>
    <row r="94" customFormat="false" ht="15" hidden="false" customHeight="true" outlineLevel="0" collapsed="false">
      <c r="A94" s="10" t="s">
        <v>510</v>
      </c>
      <c r="B94" s="35" t="n">
        <f aca="false">AY54</f>
        <v>28.2332201016436</v>
      </c>
      <c r="C94" s="39" t="n">
        <f aca="false">AZ54</f>
        <v>0.0514401229131933</v>
      </c>
      <c r="D94" s="44" t="n">
        <f aca="false">IF(C94&lt;Inputs_Banks!$I13,1,0)</f>
        <v>1</v>
      </c>
      <c r="E94" s="44" t="n">
        <f aca="false">IF(C94&lt;0.045,1,0)</f>
        <v>0</v>
      </c>
      <c r="F94" s="44" t="n">
        <f aca="false">IF(B94&lt;0,1,0)</f>
        <v>0</v>
      </c>
      <c r="G94" s="44" t="n">
        <f aca="false">MIN(6,MIN(3,INT(MAX(0,Inputs_Banks!$BA13-C94)/p_notch_step))+D94+2*E94)</f>
        <v>3</v>
      </c>
      <c r="H94" s="39" t="n">
        <f aca="false">C94-Inputs_Banks!$I13</f>
        <v>-0.0195598770868067</v>
      </c>
      <c r="I94" s="44" t="n">
        <f aca="false">RANK(H94,$H$87:$H$110,1)</f>
        <v>21</v>
      </c>
      <c r="J94" s="44" t="n">
        <f aca="false">MAX(IF(I94&lt;=g_n_weak,1,0),E94)</f>
        <v>0</v>
      </c>
      <c r="K94" s="44" t="n">
        <f aca="false">IF(I94&gt;12,1,0)*(1-E94)</f>
        <v>1</v>
      </c>
      <c r="L94" s="35" t="n">
        <f aca="false">INDEX(Inputs_Banks!$AR13:$AX13,1,G94+1)</f>
        <v>0.225</v>
      </c>
      <c r="M94" s="35" t="n">
        <f aca="false">Inputs_Banks!$AI13*MIN(1,p_u_base+$CD$90*p_u_pan_all+J94*($CD$90*p_u_pan_weak+p_u_mda*D94)+p_u_notch*G94+p_u_fail*E94)</f>
        <v>76.383</v>
      </c>
      <c r="N94" s="35" t="n">
        <f aca="false">Inputs_Banks!$AK13*MIN(1,p_w_base+p_w_pan*$CD$90+p_w_notch*G94+0.5*D94+1*E94)</f>
        <v>37.337</v>
      </c>
      <c r="O94" s="35" t="n">
        <f aca="false">Inputs_Banks!$AO13*MIN(1,p_cp_base+p_cp_pan*$CD$90+p_cp_notch*G94)</f>
        <v>0</v>
      </c>
      <c r="P94" s="35" t="n">
        <f aca="false">Inputs_Banks!$AN13*(p_dh+p_dh_pan*$CD$90+MIN(1,0.5*$CD$97+0.25*G94))</f>
        <v>1.197105</v>
      </c>
      <c r="Q94" s="35" t="n">
        <f aca="false">Modules!$Y13</f>
        <v>12.7415604</v>
      </c>
      <c r="R94" s="35" t="n">
        <f aca="false">Inputs_Banks!$AJ13*K94</f>
        <v>532.066</v>
      </c>
      <c r="S94" s="35" t="n">
        <f aca="false">p_liq_on*$CD$98*SUM($M$87:$M$110)*R94/MAX(0.000000001,SUM($R$87:$R$110))</f>
        <v>80.6568259324339</v>
      </c>
      <c r="T94" s="35" t="n">
        <f aca="false">p_liq_on*(L94+M94+N94+O94+P94+Q94)</f>
        <v>127.8836654</v>
      </c>
      <c r="U94" s="35" t="n">
        <f aca="false">g_usable*Inputs_Banks!$AG13+p_cb_on*Inputs_Banks!$AQ13+S94</f>
        <v>269.592725932434</v>
      </c>
      <c r="V94" s="35" t="n">
        <f aca="false">MAX(0,T94-U94)</f>
        <v>0</v>
      </c>
      <c r="W94" s="44" t="n">
        <f aca="false">IF(V94&gt;0.9*Inputs_Banks!$BB13,1,0)</f>
        <v>0</v>
      </c>
      <c r="X94" s="43" t="n">
        <f aca="false">MAX(p_htm_forced,(1-p_cb_on)*MIN(1,T94/Inputs_Banks!$AG13)*g_theta_sell)</f>
        <v>0.25</v>
      </c>
      <c r="Y94" s="35" t="n">
        <f aca="false">MAX(0,Modules!$V13-B94/(Inputs_Banks!$I13+g_del_buf))</f>
        <v>177.366261820479</v>
      </c>
      <c r="Z94" s="35" t="n">
        <f aca="false">MIN(g_del_cap*Inputs_Banks!$BB13,Y94)</f>
        <v>3.2525</v>
      </c>
      <c r="AA94" s="35" t="n">
        <f aca="false">MIN(Inputs_Banks!$BB13,V94+Z94)</f>
        <v>3.2525</v>
      </c>
      <c r="AB94" s="35" t="n">
        <f aca="false">$AA94*Holdings!Q13</f>
        <v>0</v>
      </c>
      <c r="AC94" s="35" t="n">
        <f aca="false">$AA94*Holdings!R13</f>
        <v>0</v>
      </c>
      <c r="AD94" s="35" t="n">
        <f aca="false">$AA94*Holdings!S13</f>
        <v>0</v>
      </c>
      <c r="AE94" s="35" t="n">
        <f aca="false">$AA94*Holdings!T13</f>
        <v>1.845</v>
      </c>
      <c r="AF94" s="35" t="n">
        <f aca="false">$AA94*Holdings!U13</f>
        <v>0</v>
      </c>
      <c r="AG94" s="35" t="n">
        <f aca="false">$AA94*Holdings!V13</f>
        <v>0</v>
      </c>
      <c r="AH94" s="35" t="n">
        <f aca="false">$AA94*Holdings!W13</f>
        <v>0.0225</v>
      </c>
      <c r="AI94" s="35" t="n">
        <f aca="false">$AA94*Holdings!X13</f>
        <v>1.095</v>
      </c>
      <c r="AJ94" s="35" t="n">
        <f aca="false">$AA94*Holdings!Y13</f>
        <v>0.29</v>
      </c>
      <c r="AK94" s="35" t="n">
        <f aca="false">$AA94*Holdings!Z13</f>
        <v>0</v>
      </c>
      <c r="AL94" s="35" t="n">
        <f aca="false">$AA94*Holdings!AA13</f>
        <v>0</v>
      </c>
      <c r="AM94" s="35" t="n">
        <f aca="false">$AA94*Holdings!AB13</f>
        <v>0</v>
      </c>
      <c r="AN94" s="35" t="n">
        <f aca="false">$AA94*Holdings!AC13</f>
        <v>0</v>
      </c>
      <c r="AO94" s="43" t="n">
        <f aca="false">MIN(1,$CD$97+0.5*G94)</f>
        <v>1</v>
      </c>
      <c r="AP94" s="35" t="n">
        <f aca="false">p_liq_on*Inputs_Banks!$AP13*AO94*p_mb_psi</f>
        <v>0.636</v>
      </c>
      <c r="AQ94" s="44" t="n">
        <f aca="false">MAX(F94,E94,W94*(1-p_cb_on))</f>
        <v>0</v>
      </c>
      <c r="AR94" s="35" t="n">
        <f aca="false">p_ib_on*p_lgd_ib*g_s_in*g_u_ib*SUMPRODUCT(Network!J$6:J$29,$AQ$87:$AQ$110)</f>
        <v>0.644762362033408</v>
      </c>
      <c r="AS94" s="35" t="n">
        <f aca="false">p_sw_M1*(SUMPRODUCT(BDC_EAD!J$106:J$127,$BF$87:$BF$108)+SUMPRODUCT(BDC_EAD!J$131:J$152,$BG$87:$BG$108)+(Inputs_Banks!$Y13+p_ccf_bl*Inputs_Banks!$Z13)*$CD$110+Modules!$E13)</f>
        <v>14.5195684657137</v>
      </c>
      <c r="AT94" s="35" t="n">
        <f aca="false">p_sw_M3*(Inputs_Banks!$U13+p_ccf_abf*Inputs_Banks!$V13)*$CD$111</f>
        <v>0</v>
      </c>
      <c r="AU94" s="35" t="n">
        <f aca="false">p_sw_M10*Inputs_Banks!$AC13*$CD$112</f>
        <v>0</v>
      </c>
      <c r="AV94" s="35" t="n">
        <f aca="false">p_sw_M8*(Modules!$M13+Modules!$N13*IF(p_liq_on&gt;0,X94,p_htm_forced))</f>
        <v>5.14480625</v>
      </c>
      <c r="AW94" s="35" t="n">
        <f aca="false">SUMPRODUCT(Holdings!$C13:$O13,Holdings!$C$32:$O$32,$AB$112:$AN$112)+Inputs_Banks!$P13*$AL$112</f>
        <v>1.48151506912185</v>
      </c>
      <c r="AX94" s="35" t="n">
        <f aca="false">Modules!$T13+AS94+AT94+AU94+AV94+AW94+AR94</f>
        <v>27.061055175598</v>
      </c>
      <c r="AY94" s="35" t="n">
        <f aca="false">Modules!$U13-(1-p_tax)*AX94</f>
        <v>27.938944824402</v>
      </c>
      <c r="AZ94" s="39" t="n">
        <f aca="false">AY94/Modules!$V13</f>
        <v>0.0509039617393305</v>
      </c>
      <c r="BA94" s="48" t="s">
        <v>641</v>
      </c>
      <c r="BB94" s="43" t="n">
        <f aca="false">INDEX($BJ$87:$BJ$120,BDC_EAD!$B13)</f>
        <v>0.329896338848212</v>
      </c>
      <c r="BC94" s="43" t="n">
        <f aca="false">INDEX($BK$87:$BK$120,BDC_EAD!$B13)</f>
        <v>0.0624513829138554</v>
      </c>
      <c r="BD94" s="22" t="n">
        <f aca="false">INDEX(BDC!$Q$6:$Q$39,BDC_EAD!$B13)</f>
        <v>0.167256637168142</v>
      </c>
      <c r="BE94" s="43" t="n">
        <f aca="false">BB94*(1-$AK$112)-BC94-p_c_liq</f>
        <v>0.068991603452661</v>
      </c>
      <c r="BF94" s="43" t="n">
        <f aca="false">p_phi*MAX(0,p_a_spv-BE94)/p_a_spv+(1-p_phi)*MAX(0,p_a_spv-BB94)/p_a_spv</f>
        <v>0.826896356383184</v>
      </c>
      <c r="BG94" s="43" t="n">
        <f aca="false">IF(BD94&gt;0,p_phi*MAX(0,BD94-BE94)/BD94+(1-p_phi)*MAX(0,BD94-BB94)/BD94,0)</f>
        <v>0.470008415231717</v>
      </c>
      <c r="BI94" s="12" t="str">
        <f aca="false">BDC!$A$13</f>
        <v>OBDC</v>
      </c>
      <c r="BJ94" s="43" t="n">
        <f aca="false">1-((1-BDC!$D$13)*$CD$103+BDC!$D$13*$CD$104)-p_gap-$CD$93*(1-BDC!$M$13)</f>
        <v>0.393709594067855</v>
      </c>
      <c r="BK94" s="43" t="n">
        <f aca="false">(1-BDC!$D$13)*$CD$105+BDC!$D$13*$CD$106</f>
        <v>0.0647242624061503</v>
      </c>
      <c r="BL94" s="45" t="n">
        <f aca="false">BJ94/BDC!$K$13</f>
        <v>0.745236017342725</v>
      </c>
      <c r="BM94" s="35" t="n">
        <f aca="false">IF(BL94&lt;1.5,BDC!$C$13,0)</f>
        <v>14.96</v>
      </c>
      <c r="BN94" s="43" t="n">
        <f aca="false">MAX(0,1-BJ94*(1-CE_mig_hc)-p_bb_cush)*BDC!$Q$13</f>
        <v>0.111074092527053</v>
      </c>
      <c r="BO94" s="43" t="n">
        <f aca="false">MAX(0,BDC!$K$13-BJ94/1.5)</f>
        <v>0.26582882408055</v>
      </c>
      <c r="BP94" s="43" t="n">
        <f aca="false">MIN(MIN(1,BDC!$H$13*$CD$96),$CD$95)</f>
        <v>0</v>
      </c>
      <c r="BQ94" s="43" t="n">
        <f aca="false">BDC!$I$13*BDC!$J$13*BP94*(1-0.3)</f>
        <v>0</v>
      </c>
      <c r="BR94" s="45" t="n">
        <f aca="false">BDC!$C$13*($CD$94*MAX(BN94,BO94)+BQ94)</f>
        <v>3.97679920824502</v>
      </c>
      <c r="CC94" s="10" t="s">
        <v>980</v>
      </c>
      <c r="CD94" s="43" t="n">
        <f aca="false">p_theta_lev+(1-p_theta_lev)*$CD$90</f>
        <v>1</v>
      </c>
    </row>
    <row r="95" customFormat="false" ht="15" hidden="false" customHeight="true" outlineLevel="0" collapsed="false">
      <c r="A95" s="10" t="s">
        <v>512</v>
      </c>
      <c r="B95" s="35" t="n">
        <f aca="false">AY55</f>
        <v>7.55908381891089</v>
      </c>
      <c r="C95" s="39" t="n">
        <f aca="false">AZ55</f>
        <v>0.016209244289432</v>
      </c>
      <c r="D95" s="44" t="n">
        <f aca="false">IF(C95&lt;Inputs_Banks!$I14,1,0)</f>
        <v>1</v>
      </c>
      <c r="E95" s="44" t="n">
        <f aca="false">IF(C95&lt;0.045,1,0)</f>
        <v>1</v>
      </c>
      <c r="F95" s="44" t="n">
        <f aca="false">IF(B95&lt;0,1,0)</f>
        <v>0</v>
      </c>
      <c r="G95" s="44" t="n">
        <f aca="false">MIN(6,MIN(3,INT(MAX(0,Inputs_Banks!$BA14-C95)/p_notch_step))+D95+2*E95)</f>
        <v>6</v>
      </c>
      <c r="H95" s="39" t="n">
        <f aca="false">C95-Inputs_Banks!$I14</f>
        <v>-0.053790755710568</v>
      </c>
      <c r="I95" s="44" t="n">
        <f aca="false">RANK(H95,$H$87:$H$110,1)</f>
        <v>12</v>
      </c>
      <c r="J95" s="44" t="n">
        <f aca="false">MAX(IF(I95&lt;=g_n_weak,1,0),E95)</f>
        <v>1</v>
      </c>
      <c r="K95" s="44" t="n">
        <f aca="false">IF(I95&gt;12,1,0)*(1-E95)</f>
        <v>0</v>
      </c>
      <c r="L95" s="35" t="n">
        <f aca="false">INDEX(Inputs_Banks!$AR14:$AX14,1,G95+1)</f>
        <v>0.5568</v>
      </c>
      <c r="M95" s="35" t="n">
        <f aca="false">Inputs_Banks!$AI14*MIN(1,p_u_base+$CD$90*p_u_pan_all+J95*($CD$90*p_u_pan_weak+p_u_mda*D95)+p_u_notch*G95+p_u_fail*E95)</f>
        <v>177.002</v>
      </c>
      <c r="N95" s="35" t="n">
        <f aca="false">Inputs_Banks!$AK14*MIN(1,p_w_base+p_w_pan*$CD$90+p_w_notch*G95+0.5*D95+1*E95)</f>
        <v>3.414</v>
      </c>
      <c r="O95" s="35" t="n">
        <f aca="false">Inputs_Banks!$AO14*MIN(1,p_cp_base+p_cp_pan*$CD$90+p_cp_notch*G95)</f>
        <v>5.98</v>
      </c>
      <c r="P95" s="35" t="n">
        <f aca="false">Inputs_Banks!$AN14*(p_dh+p_dh_pan*$CD$90+MIN(1,0.5*$CD$97+0.25*G95))</f>
        <v>0.8013915</v>
      </c>
      <c r="Q95" s="35" t="n">
        <f aca="false">Modules!$Y14</f>
        <v>19.9439417</v>
      </c>
      <c r="R95" s="35" t="n">
        <f aca="false">Inputs_Banks!$AJ14*K95</f>
        <v>0</v>
      </c>
      <c r="S95" s="35" t="n">
        <f aca="false">p_liq_on*$CD$98*SUM($M$87:$M$110)*R95/MAX(0.000000001,SUM($R$87:$R$110))</f>
        <v>0</v>
      </c>
      <c r="T95" s="35" t="n">
        <f aca="false">p_liq_on*(L95+M95+N95+O95+P95+Q95)</f>
        <v>207.6981332</v>
      </c>
      <c r="U95" s="35" t="n">
        <f aca="false">g_usable*Inputs_Banks!$AG14+p_cb_on*Inputs_Banks!$AQ14+S95</f>
        <v>133.1275</v>
      </c>
      <c r="V95" s="35" t="n">
        <f aca="false">MAX(0,T95-U95)</f>
        <v>74.5706332</v>
      </c>
      <c r="W95" s="44" t="n">
        <f aca="false">IF(V95&gt;0.9*Inputs_Banks!$BB14,1,0)</f>
        <v>1</v>
      </c>
      <c r="X95" s="43" t="n">
        <f aca="false">MAX(p_htm_forced,(1-p_cb_on)*MIN(1,T95/Inputs_Banks!$AG14)*g_theta_sell)</f>
        <v>0.25</v>
      </c>
      <c r="Y95" s="35" t="n">
        <f aca="false">MAX(0,Modules!$V14-B95/(Inputs_Banks!$I14+g_del_buf))</f>
        <v>365.556215747855</v>
      </c>
      <c r="Z95" s="35" t="n">
        <f aca="false">MIN(g_del_cap*Inputs_Banks!$BB14,Y95)</f>
        <v>1.1025</v>
      </c>
      <c r="AA95" s="35" t="n">
        <f aca="false">MIN(Inputs_Banks!$BB14,V95+Z95)</f>
        <v>4.41</v>
      </c>
      <c r="AB95" s="35" t="n">
        <f aca="false">$AA95*Holdings!Q14</f>
        <v>0</v>
      </c>
      <c r="AC95" s="35" t="n">
        <f aca="false">$AA95*Holdings!R14</f>
        <v>0</v>
      </c>
      <c r="AD95" s="35" t="n">
        <f aca="false">$AA95*Holdings!S14</f>
        <v>0</v>
      </c>
      <c r="AE95" s="35" t="n">
        <f aca="false">$AA95*Holdings!T14</f>
        <v>0.34</v>
      </c>
      <c r="AF95" s="35" t="n">
        <f aca="false">$AA95*Holdings!U14</f>
        <v>0</v>
      </c>
      <c r="AG95" s="35" t="n">
        <f aca="false">$AA95*Holdings!V14</f>
        <v>0</v>
      </c>
      <c r="AH95" s="35" t="n">
        <f aca="false">$AA95*Holdings!W14</f>
        <v>0.17</v>
      </c>
      <c r="AI95" s="35" t="n">
        <f aca="false">$AA95*Holdings!X14</f>
        <v>0</v>
      </c>
      <c r="AJ95" s="35" t="n">
        <f aca="false">$AA95*Holdings!Y14</f>
        <v>1.28</v>
      </c>
      <c r="AK95" s="35" t="n">
        <f aca="false">$AA95*Holdings!Z14</f>
        <v>0</v>
      </c>
      <c r="AL95" s="35" t="n">
        <f aca="false">$AA95*Holdings!AA14</f>
        <v>0</v>
      </c>
      <c r="AM95" s="35" t="n">
        <f aca="false">$AA95*Holdings!AB14</f>
        <v>0</v>
      </c>
      <c r="AN95" s="35" t="n">
        <f aca="false">$AA95*Holdings!AC14</f>
        <v>2.62</v>
      </c>
      <c r="AO95" s="43" t="n">
        <f aca="false">MIN(1,$CD$97+0.5*G95)</f>
        <v>1</v>
      </c>
      <c r="AP95" s="35" t="n">
        <f aca="false">p_liq_on*Inputs_Banks!$AP14*AO95*p_mb_psi</f>
        <v>0.03</v>
      </c>
      <c r="AQ95" s="44" t="n">
        <f aca="false">MAX(F95,E95,W95*(1-p_cb_on))</f>
        <v>1</v>
      </c>
      <c r="AR95" s="35" t="n">
        <f aca="false">p_ib_on*p_lgd_ib*g_s_in*g_u_ib*SUMPRODUCT(Network!K$6:K$29,$AQ$87:$AQ$110)</f>
        <v>0.4977941331784</v>
      </c>
      <c r="AS95" s="35" t="n">
        <f aca="false">p_sw_M1*(SUMPRODUCT(BDC_EAD!K$106:K$127,$BF$87:$BF$108)+SUMPRODUCT(BDC_EAD!K$131:K$152,$BG$87:$BG$108)+(Inputs_Banks!$Y14+p_ccf_bl*Inputs_Banks!$Z14)*$CD$110+Modules!$E14)</f>
        <v>29.6250912216605</v>
      </c>
      <c r="AT95" s="35" t="n">
        <f aca="false">p_sw_M3*(Inputs_Banks!$U14+p_ccf_abf*Inputs_Banks!$V14)*$CD$111</f>
        <v>0</v>
      </c>
      <c r="AU95" s="35" t="n">
        <f aca="false">p_sw_M10*Inputs_Banks!$AC14*$CD$112</f>
        <v>0</v>
      </c>
      <c r="AV95" s="35" t="n">
        <f aca="false">p_sw_M8*(Modules!$M14+Modules!$N14*IF(p_liq_on&gt;0,X95,p_htm_forced))</f>
        <v>4.33808375</v>
      </c>
      <c r="AW95" s="35" t="n">
        <f aca="false">SUMPRODUCT(Holdings!$C14:$O14,Holdings!$C$32:$O$32,$AB$112:$AN$112)+Inputs_Banks!$P14*$AL$112</f>
        <v>0.41912800194433</v>
      </c>
      <c r="AX95" s="35" t="n">
        <f aca="false">Modules!$T14+AS95+AT95+AU95+AV95+AW95+AR95</f>
        <v>38.9647721067832</v>
      </c>
      <c r="AY95" s="35" t="n">
        <f aca="false">Modules!$U14-(1-p_tax)*AX95</f>
        <v>7.3352278932168</v>
      </c>
      <c r="AZ95" s="39" t="n">
        <f aca="false">AY95/Modules!$V14</f>
        <v>0.0157292211183521</v>
      </c>
      <c r="BA95" s="48" t="s">
        <v>644</v>
      </c>
      <c r="BB95" s="43" t="n">
        <f aca="false">INDEX($BJ$87:$BJ$120,BDC_EAD!$B14)</f>
        <v>0.440432081141748</v>
      </c>
      <c r="BC95" s="43" t="n">
        <f aca="false">INDEX($BK$87:$BK$120,BDC_EAD!$B14)</f>
        <v>0.0593587763915524</v>
      </c>
      <c r="BD95" s="22" t="n">
        <f aca="false">INDEX(BDC!$Q$6:$Q$39,BDC_EAD!$B14)</f>
        <v>0.198013452914798</v>
      </c>
      <c r="BE95" s="43" t="n">
        <f aca="false">BB95*(1-$AK$112)-BC95-p_c_liq</f>
        <v>0.132878868236409</v>
      </c>
      <c r="BF95" s="43" t="n">
        <f aca="false">p_phi*MAX(0,p_a_spv-BE95)/p_a_spv+(1-p_phi)*MAX(0,p_a_spv-BB95)/p_a_spv</f>
        <v>0.722300698832176</v>
      </c>
      <c r="BG95" s="43" t="n">
        <f aca="false">IF(BD95&gt;0,p_phi*MAX(0,BD95-BE95)/BD95+(1-p_phi)*MAX(0,BD95-BB95)/BD95,0)</f>
        <v>0.26315215949056</v>
      </c>
      <c r="BI95" s="12" t="str">
        <f aca="false">BDC!$A$14</f>
        <v>OTF</v>
      </c>
      <c r="BJ95" s="43" t="n">
        <f aca="false">1-((1-BDC!$D$14)*$CD$103+BDC!$D$14*$CD$104)-p_gap-$CD$93*(1-BDC!$M$14)</f>
        <v>0.261914595446638</v>
      </c>
      <c r="BK95" s="43" t="n">
        <f aca="false">(1-BDC!$D$14)*$CD$105+BDC!$D$14*$CD$106</f>
        <v>0.0568250746624368</v>
      </c>
      <c r="BL95" s="45" t="n">
        <f aca="false">BJ95/BDC!$K$14</f>
        <v>0.537614169600993</v>
      </c>
      <c r="BM95" s="35" t="n">
        <f aca="false">IF(BL95&lt;1.5,BDC!$C$14,0)</f>
        <v>14.68</v>
      </c>
      <c r="BN95" s="43" t="n">
        <f aca="false">MAX(0,1-BJ95*(1-CE_mig_hc)-p_bb_cush)*BDC!$Q$14</f>
        <v>0.230311529202363</v>
      </c>
      <c r="BO95" s="43" t="n">
        <f aca="false">MAX(0,BDC!$K$14-BJ95/1.5)</f>
        <v>0.312569756881729</v>
      </c>
      <c r="BP95" s="43" t="n">
        <f aca="false">MIN(MIN(1,BDC!$H$14*$CD$96),$CD$95)</f>
        <v>0</v>
      </c>
      <c r="BQ95" s="43" t="n">
        <f aca="false">BDC!$I$14*BDC!$J$14*BP95*(1-0.3)</f>
        <v>0</v>
      </c>
      <c r="BR95" s="45" t="n">
        <f aca="false">BDC!$C$14*($CD$94*MAX(BN95,BO95)+BQ95)</f>
        <v>4.58852403102378</v>
      </c>
      <c r="CC95" s="10" t="s">
        <v>981</v>
      </c>
      <c r="CD95" s="43" t="n">
        <f aca="false">p_red_rate+p_red_pan*$CD$90</f>
        <v>0.25</v>
      </c>
    </row>
    <row r="96" customFormat="false" ht="15" hidden="false" customHeight="true" outlineLevel="0" collapsed="false">
      <c r="A96" s="10" t="s">
        <v>514</v>
      </c>
      <c r="B96" s="35" t="n">
        <f aca="false">AY56</f>
        <v>-15.6893418424019</v>
      </c>
      <c r="C96" s="39" t="n">
        <f aca="false">AZ56</f>
        <v>-0.103322676903231</v>
      </c>
      <c r="D96" s="44" t="n">
        <f aca="false">IF(C96&lt;Inputs_Banks!$I15,1,0)</f>
        <v>1</v>
      </c>
      <c r="E96" s="44" t="n">
        <f aca="false">IF(C96&lt;0.045,1,0)</f>
        <v>1</v>
      </c>
      <c r="F96" s="44" t="n">
        <f aca="false">IF(B96&lt;0,1,0)</f>
        <v>1</v>
      </c>
      <c r="G96" s="44" t="n">
        <f aca="false">MIN(6,MIN(3,INT(MAX(0,Inputs_Banks!$BA15-C96)/p_notch_step))+D96+2*E96)</f>
        <v>6</v>
      </c>
      <c r="H96" s="39" t="n">
        <f aca="false">C96-Inputs_Banks!$I15</f>
        <v>-0.183322676903231</v>
      </c>
      <c r="I96" s="44" t="n">
        <f aca="false">RANK(H96,$H$87:$H$110,1)</f>
        <v>1</v>
      </c>
      <c r="J96" s="44" t="n">
        <f aca="false">MAX(IF(I96&lt;=g_n_weak,1,0),E96)</f>
        <v>1</v>
      </c>
      <c r="K96" s="44" t="n">
        <f aca="false">IF(I96&gt;12,1,0)*(1-E96)</f>
        <v>0</v>
      </c>
      <c r="L96" s="35" t="n">
        <f aca="false">INDEX(Inputs_Banks!$AR15:$AX15,1,G96+1)</f>
        <v>1.65</v>
      </c>
      <c r="M96" s="35" t="n">
        <f aca="false">Inputs_Banks!$AI15*MIN(1,p_u_base+$CD$90*p_u_pan_all+J96*($CD$90*p_u_pan_weak+p_u_mda*D96)+p_u_notch*G96+p_u_fail*E96)</f>
        <v>232.74682</v>
      </c>
      <c r="N96" s="35" t="n">
        <f aca="false">Inputs_Banks!$AK15*MIN(1,p_w_base+p_w_pan*$CD$90+p_w_notch*G96+0.5*D96+1*E96)</f>
        <v>4.372</v>
      </c>
      <c r="O96" s="35" t="n">
        <f aca="false">Inputs_Banks!$AO15*MIN(1,p_cp_base+p_cp_pan*$CD$90+p_cp_notch*G96)</f>
        <v>0</v>
      </c>
      <c r="P96" s="35" t="n">
        <f aca="false">Inputs_Banks!$AN15*(p_dh+p_dh_pan*$CD$90+MIN(1,0.5*$CD$97+0.25*G96))</f>
        <v>0.076848062953995</v>
      </c>
      <c r="Q96" s="35" t="n">
        <f aca="false">Modules!$Y15</f>
        <v>9.3479398</v>
      </c>
      <c r="R96" s="35" t="n">
        <f aca="false">Inputs_Banks!$AJ15*K96</f>
        <v>0</v>
      </c>
      <c r="S96" s="35" t="n">
        <f aca="false">p_liq_on*$CD$98*SUM($M$87:$M$110)*R96/MAX(0.000000001,SUM($R$87:$R$110))</f>
        <v>0</v>
      </c>
      <c r="T96" s="35" t="n">
        <f aca="false">p_liq_on*(L96+M96+N96+O96+P96+Q96)</f>
        <v>248.193607862954</v>
      </c>
      <c r="U96" s="35" t="n">
        <f aca="false">g_usable*Inputs_Banks!$AG15+p_cb_on*Inputs_Banks!$AQ15+S96</f>
        <v>131.22555</v>
      </c>
      <c r="V96" s="35" t="n">
        <f aca="false">MAX(0,T96-U96)</f>
        <v>116.968057862954</v>
      </c>
      <c r="W96" s="44" t="n">
        <f aca="false">IF(V96&gt;0.9*Inputs_Banks!$BB15,1,0)</f>
        <v>1</v>
      </c>
      <c r="X96" s="43" t="n">
        <f aca="false">MAX(p_htm_forced,(1-p_cb_on)*MIN(1,T96/Inputs_Banks!$AG15)*g_theta_sell)</f>
        <v>0.25</v>
      </c>
      <c r="Y96" s="35" t="n">
        <f aca="false">MAX(0,Modules!$V15-B96/(Inputs_Banks!$I15+g_del_buf))</f>
        <v>336.428492263551</v>
      </c>
      <c r="Z96" s="35" t="n">
        <f aca="false">MIN(g_del_cap*Inputs_Banks!$BB15,Y96)</f>
        <v>4.0175</v>
      </c>
      <c r="AA96" s="35" t="n">
        <f aca="false">MIN(Inputs_Banks!$BB15,V96+Z96)</f>
        <v>16.07</v>
      </c>
      <c r="AB96" s="35" t="n">
        <f aca="false">$AA96*Holdings!Q15</f>
        <v>0</v>
      </c>
      <c r="AC96" s="35" t="n">
        <f aca="false">$AA96*Holdings!R15</f>
        <v>0</v>
      </c>
      <c r="AD96" s="35" t="n">
        <f aca="false">$AA96*Holdings!S15</f>
        <v>0</v>
      </c>
      <c r="AE96" s="35" t="n">
        <f aca="false">$AA96*Holdings!T15</f>
        <v>0.03</v>
      </c>
      <c r="AF96" s="35" t="n">
        <f aca="false">$AA96*Holdings!U15</f>
        <v>0.12</v>
      </c>
      <c r="AG96" s="35" t="n">
        <f aca="false">$AA96*Holdings!V15</f>
        <v>0</v>
      </c>
      <c r="AH96" s="35" t="n">
        <f aca="false">$AA96*Holdings!W15</f>
        <v>0</v>
      </c>
      <c r="AI96" s="35" t="n">
        <f aca="false">$AA96*Holdings!X15</f>
        <v>4.01</v>
      </c>
      <c r="AJ96" s="35" t="n">
        <f aca="false">$AA96*Holdings!Y15</f>
        <v>11.79</v>
      </c>
      <c r="AK96" s="35" t="n">
        <f aca="false">$AA96*Holdings!Z15</f>
        <v>0</v>
      </c>
      <c r="AL96" s="35" t="n">
        <f aca="false">$AA96*Holdings!AA15</f>
        <v>0</v>
      </c>
      <c r="AM96" s="35" t="n">
        <f aca="false">$AA96*Holdings!AB15</f>
        <v>0</v>
      </c>
      <c r="AN96" s="35" t="n">
        <f aca="false">$AA96*Holdings!AC15</f>
        <v>0.12</v>
      </c>
      <c r="AO96" s="43" t="n">
        <f aca="false">MIN(1,$CD$97+0.5*G96)</f>
        <v>1</v>
      </c>
      <c r="AP96" s="35" t="n">
        <f aca="false">p_liq_on*Inputs_Banks!$AP15*AO96*p_mb_psi</f>
        <v>0</v>
      </c>
      <c r="AQ96" s="44" t="n">
        <f aca="false">MAX(F96,E96,W96*(1-p_cb_on))</f>
        <v>1</v>
      </c>
      <c r="AR96" s="35" t="n">
        <f aca="false">p_ib_on*p_lgd_ib*g_s_in*g_u_ib*SUMPRODUCT(Network!L$6:L$29,$AQ$87:$AQ$110)</f>
        <v>2.98883625010824</v>
      </c>
      <c r="AS96" s="35" t="n">
        <f aca="false">p_sw_M1*(SUMPRODUCT(BDC_EAD!L$106:L$127,$BF$87:$BF$108)+SUMPRODUCT(BDC_EAD!L$131:L$152,$BG$87:$BG$108)+(Inputs_Banks!$Y15+p_ccf_bl*Inputs_Banks!$Z15)*$CD$110+Modules!$E15)</f>
        <v>21.1544650700422</v>
      </c>
      <c r="AT96" s="35" t="n">
        <f aca="false">p_sw_M3*(Inputs_Banks!$U15+p_ccf_abf*Inputs_Banks!$V15)*$CD$111</f>
        <v>0</v>
      </c>
      <c r="AU96" s="35" t="n">
        <f aca="false">p_sw_M10*Inputs_Banks!$AC15*$CD$112</f>
        <v>0</v>
      </c>
      <c r="AV96" s="35" t="n">
        <f aca="false">p_sw_M8*(Modules!$M15+Modules!$N15*IF(p_liq_on&gt;0,X96,p_htm_forced))</f>
        <v>3.383275</v>
      </c>
      <c r="AW96" s="35" t="n">
        <f aca="false">SUMPRODUCT(Holdings!$C15:$O15,Holdings!$C$32:$O$32,$AB$112:$AN$112)+Inputs_Banks!$P15*$AL$112</f>
        <v>2.55458359378958</v>
      </c>
      <c r="AX96" s="35" t="n">
        <f aca="false">Modules!$T15+AS96+AT96+AU96+AV96+AW96+AR96</f>
        <v>32.54502991394</v>
      </c>
      <c r="AY96" s="35" t="n">
        <f aca="false">Modules!$U15-(1-p_tax)*AX96</f>
        <v>-17.14502991394</v>
      </c>
      <c r="AZ96" s="39" t="n">
        <f aca="false">AY96/Modules!$V15</f>
        <v>-0.112909158592408</v>
      </c>
      <c r="BA96" s="48" t="s">
        <v>654</v>
      </c>
      <c r="BB96" s="43" t="n">
        <f aca="false">INDEX($BJ$87:$BJ$120,BDC_EAD!$B15)</f>
        <v>0.402673902876419</v>
      </c>
      <c r="BC96" s="43" t="n">
        <f aca="false">INDEX($BK$87:$BK$120,BDC_EAD!$B15)</f>
        <v>0.0617434368424848</v>
      </c>
      <c r="BD96" s="22" t="n">
        <f aca="false">INDEX(BDC!$Q$6:$Q$39,BDC_EAD!$B15)</f>
        <v>0.211491525423729</v>
      </c>
      <c r="BE96" s="43" t="n">
        <f aca="false">BB96*(1-$AK$112)-BC96-p_c_liq</f>
        <v>0.109727209739546</v>
      </c>
      <c r="BF96" s="43" t="n">
        <f aca="false">p_phi*MAX(0,p_a_spv-BE96)/p_a_spv+(1-p_phi)*MAX(0,p_a_spv-BB96)/p_a_spv</f>
        <v>0.759547788047257</v>
      </c>
      <c r="BG96" s="43" t="n">
        <f aca="false">IF(BD96&gt;0,p_phi*MAX(0,BD96-BE96)/BD96+(1-p_phi)*MAX(0,BD96-BB96)/BD96,0)</f>
        <v>0.384939549630826</v>
      </c>
      <c r="BI96" s="12" t="str">
        <f aca="false">BDC!$A$15</f>
        <v>BXSL</v>
      </c>
      <c r="BJ96" s="43" t="n">
        <f aca="false">1-((1-BDC!$D$15)*$CD$103+BDC!$D$15*$CD$104)-p_gap-$CD$93*(1-BDC!$M$15)</f>
        <v>0.48930871061707</v>
      </c>
      <c r="BK96" s="43" t="n">
        <f aca="false">(1-BDC!$D$15)*$CD$105+BDC!$D$15*$CD$106</f>
        <v>0.0620042590793056</v>
      </c>
      <c r="BL96" s="45" t="n">
        <f aca="false">BJ96/BDC!$K$15</f>
        <v>0.874591159921849</v>
      </c>
      <c r="BM96" s="35" t="n">
        <f aca="false">IF(BL96&lt;1.5,BDC!$C$15,0)</f>
        <v>13.36</v>
      </c>
      <c r="BN96" s="43" t="n">
        <f aca="false">MAX(0,1-BJ96*(1-CE_mig_hc)-p_bb_cush)*BDC!$Q$15</f>
        <v>0.0982736463037332</v>
      </c>
      <c r="BO96" s="43" t="n">
        <f aca="false">MAX(0,BDC!$K$15-BJ96/1.5)</f>
        <v>0.23326555856072</v>
      </c>
      <c r="BP96" s="43" t="n">
        <f aca="false">MIN(MIN(1,BDC!$H$15*$CD$96),$CD$95)</f>
        <v>0</v>
      </c>
      <c r="BQ96" s="43" t="n">
        <f aca="false">BDC!$I$15*BDC!$J$15*BP96*(1-0.3)</f>
        <v>0</v>
      </c>
      <c r="BR96" s="45" t="n">
        <f aca="false">BDC!$C$15*($CD$94*MAX(BN96,BO96)+BQ96)</f>
        <v>3.11642786237122</v>
      </c>
      <c r="CC96" s="10" t="s">
        <v>982</v>
      </c>
      <c r="CD96" s="45" t="n">
        <f aca="false">1+p_req_pan*$CD$90</f>
        <v>3</v>
      </c>
    </row>
    <row r="97" customFormat="false" ht="15" hidden="false" customHeight="true" outlineLevel="0" collapsed="false">
      <c r="A97" s="10" t="s">
        <v>516</v>
      </c>
      <c r="B97" s="35" t="n">
        <f aca="false">AY57</f>
        <v>8.48657519078773</v>
      </c>
      <c r="C97" s="39" t="n">
        <f aca="false">AZ57</f>
        <v>0.0409694472965074</v>
      </c>
      <c r="D97" s="44" t="n">
        <f aca="false">IF(C97&lt;Inputs_Banks!$I16,1,0)</f>
        <v>1</v>
      </c>
      <c r="E97" s="44" t="n">
        <f aca="false">IF(C97&lt;0.045,1,0)</f>
        <v>1</v>
      </c>
      <c r="F97" s="44" t="n">
        <f aca="false">IF(B97&lt;0,1,0)</f>
        <v>0</v>
      </c>
      <c r="G97" s="44" t="n">
        <f aca="false">MIN(6,MIN(3,INT(MAX(0,Inputs_Banks!$BA16-C97)/p_notch_step))+D97+2*E97)</f>
        <v>5</v>
      </c>
      <c r="H97" s="39" t="n">
        <f aca="false">C97-Inputs_Banks!$I16</f>
        <v>-0.0440305527034926</v>
      </c>
      <c r="I97" s="44" t="n">
        <f aca="false">RANK(H97,$H$87:$H$110,1)</f>
        <v>17</v>
      </c>
      <c r="J97" s="44" t="n">
        <f aca="false">MAX(IF(I97&lt;=g_n_weak,1,0),E97)</f>
        <v>1</v>
      </c>
      <c r="K97" s="44" t="n">
        <f aca="false">IF(I97&gt;12,1,0)*(1-E97)</f>
        <v>0</v>
      </c>
      <c r="L97" s="35" t="n">
        <f aca="false">INDEX(Inputs_Banks!$AR16:$AX16,1,G97+1)</f>
        <v>0.099</v>
      </c>
      <c r="M97" s="35" t="n">
        <f aca="false">Inputs_Banks!$AI16*MIN(1,p_u_base+$CD$90*p_u_pan_all+J97*($CD$90*p_u_pan_weak+p_u_mda*D97)+p_u_notch*G97+p_u_fail*E97)</f>
        <v>228.6387</v>
      </c>
      <c r="N97" s="35" t="n">
        <f aca="false">Inputs_Banks!$AK16*MIN(1,p_w_base+p_w_pan*$CD$90+p_w_notch*G97+0.5*D97+1*E97)</f>
        <v>5.217</v>
      </c>
      <c r="O97" s="35" t="n">
        <f aca="false">Inputs_Banks!$AO16*MIN(1,p_cp_base+p_cp_pan*$CD$90+p_cp_notch*G97)</f>
        <v>0</v>
      </c>
      <c r="P97" s="35" t="n">
        <f aca="false">Inputs_Banks!$AN16*(p_dh+p_dh_pan*$CD$90+MIN(1,0.5*$CD$97+0.25*G97))</f>
        <v>5.66399469476295</v>
      </c>
      <c r="Q97" s="35" t="n">
        <f aca="false">Modules!$Y16</f>
        <v>2.4536497</v>
      </c>
      <c r="R97" s="35" t="n">
        <f aca="false">Inputs_Banks!$AJ16*K97</f>
        <v>0</v>
      </c>
      <c r="S97" s="35" t="n">
        <f aca="false">p_liq_on*$CD$98*SUM($M$87:$M$110)*R97/MAX(0.000000001,SUM($R$87:$R$110))</f>
        <v>0</v>
      </c>
      <c r="T97" s="35" t="n">
        <f aca="false">p_liq_on*(L97+M97+N97+O97+P97+Q97)</f>
        <v>242.072344394763</v>
      </c>
      <c r="U97" s="35" t="n">
        <f aca="false">g_usable*Inputs_Banks!$AG16+p_cb_on*Inputs_Banks!$AQ16+S97</f>
        <v>166.7</v>
      </c>
      <c r="V97" s="35" t="n">
        <f aca="false">MAX(0,T97-U97)</f>
        <v>75.3723443947629</v>
      </c>
      <c r="W97" s="44" t="n">
        <f aca="false">IF(V97&gt;0.9*Inputs_Banks!$BB16,1,0)</f>
        <v>1</v>
      </c>
      <c r="X97" s="43" t="n">
        <f aca="false">MAX(p_htm_forced,(1-p_cb_on)*MIN(1,T97/Inputs_Banks!$AG16)*g_theta_sell)</f>
        <v>0.25</v>
      </c>
      <c r="Y97" s="35" t="n">
        <f aca="false">MAX(0,Modules!$V16-B97/(Inputs_Banks!$I16+g_del_buf))</f>
        <v>112.848720102359</v>
      </c>
      <c r="Z97" s="35" t="n">
        <f aca="false">MIN(g_del_cap*Inputs_Banks!$BB16,Y97)</f>
        <v>6.73</v>
      </c>
      <c r="AA97" s="35" t="n">
        <f aca="false">MIN(Inputs_Banks!$BB16,V97+Z97)</f>
        <v>26.92</v>
      </c>
      <c r="AB97" s="35" t="n">
        <f aca="false">$AA97*Holdings!Q16</f>
        <v>0</v>
      </c>
      <c r="AC97" s="35" t="n">
        <f aca="false">$AA97*Holdings!R16</f>
        <v>0</v>
      </c>
      <c r="AD97" s="35" t="n">
        <f aca="false">$AA97*Holdings!S16</f>
        <v>0</v>
      </c>
      <c r="AE97" s="35" t="n">
        <f aca="false">$AA97*Holdings!T16</f>
        <v>0.01</v>
      </c>
      <c r="AF97" s="35" t="n">
        <f aca="false">$AA97*Holdings!U16</f>
        <v>8.57</v>
      </c>
      <c r="AG97" s="35" t="n">
        <f aca="false">$AA97*Holdings!V16</f>
        <v>0</v>
      </c>
      <c r="AH97" s="35" t="n">
        <f aca="false">$AA97*Holdings!W16</f>
        <v>0</v>
      </c>
      <c r="AI97" s="35" t="n">
        <f aca="false">$AA97*Holdings!X16</f>
        <v>8.85</v>
      </c>
      <c r="AJ97" s="35" t="n">
        <f aca="false">$AA97*Holdings!Y16</f>
        <v>3.8</v>
      </c>
      <c r="AK97" s="35" t="n">
        <f aca="false">$AA97*Holdings!Z16</f>
        <v>0</v>
      </c>
      <c r="AL97" s="35" t="n">
        <f aca="false">$AA97*Holdings!AA16</f>
        <v>0</v>
      </c>
      <c r="AM97" s="35" t="n">
        <f aca="false">$AA97*Holdings!AB16</f>
        <v>0</v>
      </c>
      <c r="AN97" s="35" t="n">
        <f aca="false">$AA97*Holdings!AC16</f>
        <v>5.69</v>
      </c>
      <c r="AO97" s="43" t="n">
        <f aca="false">MIN(1,$CD$97+0.5*G97)</f>
        <v>1</v>
      </c>
      <c r="AP97" s="35" t="n">
        <f aca="false">p_liq_on*Inputs_Banks!$AP16*AO97*p_mb_psi</f>
        <v>0.42</v>
      </c>
      <c r="AQ97" s="44" t="n">
        <f aca="false">MAX(F97,E97,W97*(1-p_cb_on))</f>
        <v>1</v>
      </c>
      <c r="AR97" s="35" t="n">
        <f aca="false">p_ib_on*p_lgd_ib*g_s_in*g_u_ib*SUMPRODUCT(Network!M$6:M$29,$AQ$87:$AQ$110)</f>
        <v>2.72751307306586</v>
      </c>
      <c r="AS97" s="35" t="n">
        <f aca="false">p_sw_M1*(SUMPRODUCT(BDC_EAD!M$106:M$127,$BF$87:$BF$108)+SUMPRODUCT(BDC_EAD!M$131:M$152,$BG$87:$BG$108)+(Inputs_Banks!$Y16+p_ccf_bl*Inputs_Banks!$Z16)*$CD$110+Modules!$E16)</f>
        <v>0.407121874997196</v>
      </c>
      <c r="AT97" s="35" t="n">
        <f aca="false">p_sw_M3*(Inputs_Banks!$U16+p_ccf_abf*Inputs_Banks!$V16)*$CD$111</f>
        <v>0</v>
      </c>
      <c r="AU97" s="35" t="n">
        <f aca="false">p_sw_M10*Inputs_Banks!$AC16*$CD$112</f>
        <v>0</v>
      </c>
      <c r="AV97" s="35" t="n">
        <f aca="false">p_sw_M8*(Modules!$M16+Modules!$N16*IF(p_liq_on&gt;0,X97,p_htm_forced))</f>
        <v>4.143335</v>
      </c>
      <c r="AW97" s="35" t="n">
        <f aca="false">SUMPRODUCT(Holdings!$C16:$O16,Holdings!$C$32:$O$32,$AB$112:$AN$112)+Inputs_Banks!$P16*$AL$112</f>
        <v>3.32048302075058</v>
      </c>
      <c r="AX97" s="35" t="n">
        <f aca="false">Modules!$T16+AS97+AT97+AU97+AV97+AW97+AR97</f>
        <v>14.0669824688136</v>
      </c>
      <c r="AY97" s="35" t="n">
        <f aca="false">Modules!$U16-(1-p_tax)*AX97</f>
        <v>6.93301753118636</v>
      </c>
      <c r="AZ97" s="39" t="n">
        <f aca="false">AY97/Modules!$V16</f>
        <v>0.0334695551461126</v>
      </c>
      <c r="BA97" s="48" t="s">
        <v>635</v>
      </c>
      <c r="BB97" s="43" t="n">
        <f aca="false">INDEX($BJ$87:$BJ$120,BDC_EAD!$B16)</f>
        <v>0.412682242137413</v>
      </c>
      <c r="BC97" s="43" t="n">
        <f aca="false">INDEX($BK$87:$BK$120,BDC_EAD!$B16)</f>
        <v>0.0624886432334012</v>
      </c>
      <c r="BD97" s="22" t="n">
        <f aca="false">INDEX(BDC!$Q$6:$Q$39,BDC_EAD!$B16)</f>
        <v>0.274</v>
      </c>
      <c r="BE97" s="43" t="n">
        <f aca="false">BB97*(1-$AK$112)-BC97-p_c_liq</f>
        <v>0.114486589942176</v>
      </c>
      <c r="BF97" s="43" t="n">
        <f aca="false">p_phi*MAX(0,p_a_spv-BE97)/p_a_spv+(1-p_phi)*MAX(0,p_a_spv-BB97)/p_a_spv</f>
        <v>0.751248970883967</v>
      </c>
      <c r="BG97" s="43" t="n">
        <f aca="false">IF(BD97&gt;0,p_phi*MAX(0,BD97-BE97)/BD97+(1-p_phi)*MAX(0,BD97-BB97)/BD97,0)</f>
        <v>0.465732584110435</v>
      </c>
      <c r="BI97" s="12" t="str">
        <f aca="false">BDC!$A$16</f>
        <v>FSK</v>
      </c>
      <c r="BJ97" s="43" t="n">
        <f aca="false">1-((1-BDC!$D$16)*$CD$103+BDC!$D$16*$CD$104)-p_gap-$CD$93*(1-BDC!$M$16)</f>
        <v>0.329896338848212</v>
      </c>
      <c r="BK97" s="43" t="n">
        <f aca="false">(1-BDC!$D$16)*$CD$105+BDC!$D$16*$CD$106</f>
        <v>0.0624513829138554</v>
      </c>
      <c r="BL97" s="45" t="n">
        <f aca="false">BJ97/BDC!$K$16</f>
        <v>0.591718829997586</v>
      </c>
      <c r="BM97" s="35" t="n">
        <f aca="false">IF(BL97&lt;1.5,BDC!$C$16,0)</f>
        <v>11.42</v>
      </c>
      <c r="BN97" s="43" t="n">
        <f aca="false">MAX(0,1-BJ97*(1-CE_mig_hc)-p_bb_cush)*BDC!$Q$16</f>
        <v>0.113991293243687</v>
      </c>
      <c r="BO97" s="43" t="n">
        <f aca="false">MAX(0,BDC!$K$16-BJ97/1.5)</f>
        <v>0.337591231328331</v>
      </c>
      <c r="BP97" s="43" t="n">
        <f aca="false">MIN(MIN(1,BDC!$H$16*$CD$96),$CD$95)</f>
        <v>0</v>
      </c>
      <c r="BQ97" s="43" t="n">
        <f aca="false">BDC!$I$16*BDC!$J$16*BP97*(1-0.3)</f>
        <v>0</v>
      </c>
      <c r="BR97" s="45" t="n">
        <f aca="false">BDC!$C$16*($CD$94*MAX(BN97,BO97)+BQ97)</f>
        <v>3.85529186176954</v>
      </c>
      <c r="CC97" s="10" t="s">
        <v>983</v>
      </c>
      <c r="CD97" s="43" t="n">
        <f aca="false">p_pull_base+p_pull_pan*$CD$90</f>
        <v>1.25</v>
      </c>
    </row>
    <row r="98" customFormat="false" ht="15" hidden="false" customHeight="true" outlineLevel="0" collapsed="false">
      <c r="A98" s="10" t="s">
        <v>518</v>
      </c>
      <c r="B98" s="35" t="n">
        <f aca="false">AY58</f>
        <v>11.949126842164</v>
      </c>
      <c r="C98" s="39" t="n">
        <f aca="false">AZ58</f>
        <v>0.0599350289021506</v>
      </c>
      <c r="D98" s="44" t="n">
        <f aca="false">IF(C98&lt;Inputs_Banks!$I17,1,0)</f>
        <v>1</v>
      </c>
      <c r="E98" s="44" t="n">
        <f aca="false">IF(C98&lt;0.045,1,0)</f>
        <v>0</v>
      </c>
      <c r="F98" s="44" t="n">
        <f aca="false">IF(B98&lt;0,1,0)</f>
        <v>0</v>
      </c>
      <c r="G98" s="44" t="n">
        <f aca="false">MIN(6,MIN(3,INT(MAX(0,Inputs_Banks!$BA17-C98)/p_notch_step))+D98+2*E98)</f>
        <v>2</v>
      </c>
      <c r="H98" s="39" t="n">
        <f aca="false">C98-Inputs_Banks!$I17</f>
        <v>-0.0100649710978495</v>
      </c>
      <c r="I98" s="44" t="n">
        <f aca="false">RANK(H98,$H$87:$H$110,1)</f>
        <v>23</v>
      </c>
      <c r="J98" s="44" t="n">
        <f aca="false">MAX(IF(I98&lt;=g_n_weak,1,0),E98)</f>
        <v>0</v>
      </c>
      <c r="K98" s="44" t="n">
        <f aca="false">IF(I98&gt;12,1,0)*(1-E98)</f>
        <v>1</v>
      </c>
      <c r="L98" s="35" t="n">
        <f aca="false">INDEX(Inputs_Banks!$AR17:$AX17,1,G98+1)</f>
        <v>0.11828</v>
      </c>
      <c r="M98" s="35" t="n">
        <f aca="false">Inputs_Banks!$AI17*MIN(1,p_u_base+$CD$90*p_u_pan_all+J98*($CD$90*p_u_pan_weak+p_u_mda*D98)+p_u_notch*G98+p_u_fail*E98)</f>
        <v>14.9638</v>
      </c>
      <c r="N98" s="35" t="n">
        <f aca="false">Inputs_Banks!$AK17*MIN(1,p_w_base+p_w_pan*$CD$90+p_w_notch*G98+0.5*D98+1*E98)</f>
        <v>0</v>
      </c>
      <c r="O98" s="35" t="n">
        <f aca="false">Inputs_Banks!$AO17*MIN(1,p_cp_base+p_cp_pan*$CD$90+p_cp_notch*G98)</f>
        <v>0</v>
      </c>
      <c r="P98" s="35" t="n">
        <f aca="false">Inputs_Banks!$AN17*(p_dh+p_dh_pan*$CD$90+MIN(1,0.5*$CD$97+0.25*G98))</f>
        <v>0.020748</v>
      </c>
      <c r="Q98" s="35" t="n">
        <f aca="false">Modules!$Y17</f>
        <v>9.4376065</v>
      </c>
      <c r="R98" s="35" t="n">
        <f aca="false">Inputs_Banks!$AJ17*K98</f>
        <v>173.427</v>
      </c>
      <c r="S98" s="35" t="n">
        <f aca="false">p_liq_on*$CD$98*SUM($M$87:$M$110)*R98/MAX(0.000000001,SUM($R$87:$R$110))</f>
        <v>26.2901056466382</v>
      </c>
      <c r="T98" s="35" t="n">
        <f aca="false">p_liq_on*(L98+M98+N98+O98+P98+Q98)</f>
        <v>24.5404345</v>
      </c>
      <c r="U98" s="35" t="n">
        <f aca="false">g_usable*Inputs_Banks!$AG17+p_cb_on*Inputs_Banks!$AQ17+S98</f>
        <v>91.8191056466382</v>
      </c>
      <c r="V98" s="35" t="n">
        <f aca="false">MAX(0,T98-U98)</f>
        <v>0</v>
      </c>
      <c r="W98" s="44" t="n">
        <f aca="false">IF(V98&gt;0.9*Inputs_Banks!$BB17,1,0)</f>
        <v>0</v>
      </c>
      <c r="X98" s="43" t="n">
        <f aca="false">MAX(p_htm_forced,(1-p_cb_on)*MIN(1,T98/Inputs_Banks!$AG17)*g_theta_sell)</f>
        <v>0.103738732245519</v>
      </c>
      <c r="Y98" s="35" t="n">
        <f aca="false">MAX(0,Modules!$V17-B98/(Inputs_Banks!$I17+g_del_buf))</f>
        <v>40.0463087711473</v>
      </c>
      <c r="Z98" s="35" t="n">
        <f aca="false">MIN(g_del_cap*Inputs_Banks!$BB17,Y98)</f>
        <v>0.04</v>
      </c>
      <c r="AA98" s="35" t="n">
        <f aca="false">MIN(Inputs_Banks!$BB17,V98+Z98)</f>
        <v>0.04</v>
      </c>
      <c r="AB98" s="35" t="n">
        <f aca="false">$AA98*Holdings!Q17</f>
        <v>0</v>
      </c>
      <c r="AC98" s="35" t="n">
        <f aca="false">$AA98*Holdings!R17</f>
        <v>0</v>
      </c>
      <c r="AD98" s="35" t="n">
        <f aca="false">$AA98*Holdings!S17</f>
        <v>0</v>
      </c>
      <c r="AE98" s="35" t="n">
        <f aca="false">$AA98*Holdings!T17</f>
        <v>0.0025</v>
      </c>
      <c r="AF98" s="35" t="n">
        <f aca="false">$AA98*Holdings!U17</f>
        <v>0.0325</v>
      </c>
      <c r="AG98" s="35" t="n">
        <f aca="false">$AA98*Holdings!V17</f>
        <v>0</v>
      </c>
      <c r="AH98" s="35" t="n">
        <f aca="false">$AA98*Holdings!W17</f>
        <v>0</v>
      </c>
      <c r="AI98" s="35" t="n">
        <f aca="false">$AA98*Holdings!X17</f>
        <v>0</v>
      </c>
      <c r="AJ98" s="35" t="n">
        <f aca="false">$AA98*Holdings!Y17</f>
        <v>0.005</v>
      </c>
      <c r="AK98" s="35" t="n">
        <f aca="false">$AA98*Holdings!Z17</f>
        <v>0</v>
      </c>
      <c r="AL98" s="35" t="n">
        <f aca="false">$AA98*Holdings!AA17</f>
        <v>0</v>
      </c>
      <c r="AM98" s="35" t="n">
        <f aca="false">$AA98*Holdings!AB17</f>
        <v>0</v>
      </c>
      <c r="AN98" s="35" t="n">
        <f aca="false">$AA98*Holdings!AC17</f>
        <v>0</v>
      </c>
      <c r="AO98" s="43" t="n">
        <f aca="false">MIN(1,$CD$97+0.5*G98)</f>
        <v>1</v>
      </c>
      <c r="AP98" s="35" t="n">
        <f aca="false">p_liq_on*Inputs_Banks!$AP17*AO98*p_mb_psi</f>
        <v>0</v>
      </c>
      <c r="AQ98" s="44" t="n">
        <f aca="false">MAX(F98,E98,W98*(1-p_cb_on))</f>
        <v>0</v>
      </c>
      <c r="AR98" s="35" t="n">
        <f aca="false">p_ib_on*p_lgd_ib*g_s_in*g_u_ib*SUMPRODUCT(Network!N$6:N$29,$AQ$87:$AQ$110)</f>
        <v>0.21536570652345</v>
      </c>
      <c r="AS98" s="35" t="n">
        <f aca="false">p_sw_M1*(SUMPRODUCT(BDC_EAD!N$106:N$127,$BF$87:$BF$108)+SUMPRODUCT(BDC_EAD!N$131:N$152,$BG$87:$BG$108)+(Inputs_Banks!$Y17+p_ccf_bl*Inputs_Banks!$Z17)*$CD$110+Modules!$E17)</f>
        <v>2.93860692950688</v>
      </c>
      <c r="AT98" s="35" t="n">
        <f aca="false">p_sw_M3*(Inputs_Banks!$U17+p_ccf_abf*Inputs_Banks!$V17)*$CD$111</f>
        <v>0</v>
      </c>
      <c r="AU98" s="35" t="n">
        <f aca="false">p_sw_M10*Inputs_Banks!$AC17*$CD$112</f>
        <v>0</v>
      </c>
      <c r="AV98" s="35" t="n">
        <f aca="false">p_sw_M8*(Modules!$M17+Modules!$N17*IF(p_liq_on&gt;0,X98,p_htm_forced))</f>
        <v>0.326326261781778</v>
      </c>
      <c r="AW98" s="35" t="n">
        <f aca="false">SUMPRODUCT(Holdings!$C17:$O17,Holdings!$C$32:$O$32,$AB$112:$AN$112)+Inputs_Banks!$P17*$AL$112</f>
        <v>0.0407895074274526</v>
      </c>
      <c r="AX98" s="35" t="n">
        <f aca="false">Modules!$T17+AS98+AT98+AU98+AV98+AW98+AR98</f>
        <v>8.02338840523956</v>
      </c>
      <c r="AY98" s="35" t="n">
        <f aca="false">Modules!$U17-(1-p_tax)*AX98</f>
        <v>11.8616115947604</v>
      </c>
      <c r="AZ98" s="39" t="n">
        <f aca="false">AY98/Modules!$V17</f>
        <v>0.0594960655409115</v>
      </c>
      <c r="BA98" s="48" t="s">
        <v>651</v>
      </c>
      <c r="BB98" s="43" t="n">
        <f aca="false">INDEX($BJ$87:$BJ$120,BDC_EAD!$B17)</f>
        <v>0.49422228775433</v>
      </c>
      <c r="BC98" s="43" t="n">
        <f aca="false">INDEX($BK$87:$BK$120,BDC_EAD!$B17)</f>
        <v>0.0568250746624368</v>
      </c>
      <c r="BD98" s="22" t="n">
        <f aca="false">INDEX(BDC!$Q$6:$Q$39,BDC_EAD!$B17)</f>
        <v>0.253694581280788</v>
      </c>
      <c r="BE98" s="43" t="n">
        <f aca="false">BB98*(1-$AK$112)-BC98-p_c_liq</f>
        <v>0.164997183602445</v>
      </c>
      <c r="BF98" s="43" t="n">
        <f aca="false">p_phi*MAX(0,p_a_spv-BE98)/p_a_spv+(1-p_phi)*MAX(0,p_a_spv-BB98)/p_a_spv</f>
        <v>0.670225422238826</v>
      </c>
      <c r="BG98" s="43" t="n">
        <f aca="false">IF(BD98&gt;0,p_phi*MAX(0,BD98-BE98)/BD98+(1-p_phi)*MAX(0,BD98-BB98)/BD98,0)</f>
        <v>0.279698201610932</v>
      </c>
      <c r="BI98" s="12" t="str">
        <f aca="false">BDC!$A$17</f>
        <v>GCRED</v>
      </c>
      <c r="BJ98" s="43" t="n">
        <f aca="false">1-((1-BDC!$D$17)*$CD$103+BDC!$D$17*$CD$104)-p_gap-$CD$93*(1-BDC!$M$17)</f>
        <v>0.405048197461641</v>
      </c>
      <c r="BK98" s="43" t="n">
        <f aca="false">(1-BDC!$D$17)*$CD$105+BDC!$D$17*$CD$106</f>
        <v>0.0612217923688434</v>
      </c>
      <c r="BL98" s="45" t="n">
        <f aca="false">BJ98/BDC!$K$17</f>
        <v>0.757264021341329</v>
      </c>
      <c r="BM98" s="35" t="n">
        <f aca="false">IF(BL98&lt;1.5,BDC!$C$17,0)</f>
        <v>9.62</v>
      </c>
      <c r="BN98" s="43" t="n">
        <f aca="false">MAX(0,1-BJ98*(1-CE_mig_hc)-p_bb_cush)*BDC!$Q$17</f>
        <v>0.180836754320013</v>
      </c>
      <c r="BO98" s="43" t="n">
        <f aca="false">MAX(0,BDC!$K$17-BJ98/1.5)</f>
        <v>0.264851589289138</v>
      </c>
      <c r="BP98" s="43" t="n">
        <f aca="false">MIN(MIN(1,BDC!$H$17*$CD$96),$CD$95)</f>
        <v>0.15</v>
      </c>
      <c r="BQ98" s="43" t="n">
        <f aca="false">BDC!$I$17*BDC!$J$17*BP98*(1-0.3)</f>
        <v>0.0488372093023256</v>
      </c>
      <c r="BR98" s="45" t="n">
        <f aca="false">BDC!$C$17*($CD$94*MAX(BN98,BO98)+BQ98)</f>
        <v>3.01768624244988</v>
      </c>
      <c r="CC98" s="10" t="s">
        <v>984</v>
      </c>
      <c r="CD98" s="43" t="n">
        <f aca="false">p_recyc*(1-p_rec_pan*$CD$90)</f>
        <v>0.225</v>
      </c>
    </row>
    <row r="99" customFormat="false" ht="15" hidden="false" customHeight="true" outlineLevel="0" collapsed="false">
      <c r="A99" s="10" t="s">
        <v>520</v>
      </c>
      <c r="B99" s="35" t="n">
        <f aca="false">AY59</f>
        <v>7.6819345607911</v>
      </c>
      <c r="C99" s="39" t="n">
        <f aca="false">AZ59</f>
        <v>0.0401178926740151</v>
      </c>
      <c r="D99" s="44" t="n">
        <f aca="false">IF(C99&lt;Inputs_Banks!$I18,1,0)</f>
        <v>1</v>
      </c>
      <c r="E99" s="44" t="n">
        <f aca="false">IF(C99&lt;0.045,1,0)</f>
        <v>1</v>
      </c>
      <c r="F99" s="44" t="n">
        <f aca="false">IF(B99&lt;0,1,0)</f>
        <v>0</v>
      </c>
      <c r="G99" s="44" t="n">
        <f aca="false">MIN(6,MIN(3,INT(MAX(0,Inputs_Banks!$BA18-C99)/p_notch_step))+D99+2*E99)</f>
        <v>5</v>
      </c>
      <c r="H99" s="39" t="n">
        <f aca="false">C99-Inputs_Banks!$I18</f>
        <v>-0.0498821073259849</v>
      </c>
      <c r="I99" s="44" t="n">
        <f aca="false">RANK(H99,$H$87:$H$110,1)</f>
        <v>15</v>
      </c>
      <c r="J99" s="44" t="n">
        <f aca="false">MAX(IF(I99&lt;=g_n_weak,1,0),E99)</f>
        <v>1</v>
      </c>
      <c r="K99" s="44" t="n">
        <f aca="false">IF(I99&gt;12,1,0)*(1-E99)</f>
        <v>0</v>
      </c>
      <c r="L99" s="35" t="n">
        <f aca="false">INDEX(Inputs_Banks!$AR18:$AX18,1,G99+1)</f>
        <v>0.2565</v>
      </c>
      <c r="M99" s="35" t="n">
        <f aca="false">Inputs_Banks!$AI18*MIN(1,p_u_base+$CD$90*p_u_pan_all+J99*($CD$90*p_u_pan_weak+p_u_mda*D99)+p_u_notch*G99+p_u_fail*E99)</f>
        <v>80.6553</v>
      </c>
      <c r="N99" s="35" t="n">
        <f aca="false">Inputs_Banks!$AK18*MIN(1,p_w_base+p_w_pan*$CD$90+p_w_notch*G99+0.5*D99+1*E99)</f>
        <v>1.159</v>
      </c>
      <c r="O99" s="35" t="n">
        <f aca="false">Inputs_Banks!$AO18*MIN(1,p_cp_base+p_cp_pan*$CD$90+p_cp_notch*G99)</f>
        <v>0</v>
      </c>
      <c r="P99" s="35" t="n">
        <f aca="false">Inputs_Banks!$AN18*(p_dh+p_dh_pan*$CD$90+MIN(1,0.5*$CD$97+0.25*G99))</f>
        <v>0</v>
      </c>
      <c r="Q99" s="35" t="n">
        <f aca="false">Modules!$Y18</f>
        <v>9.1258367</v>
      </c>
      <c r="R99" s="35" t="n">
        <f aca="false">Inputs_Banks!$AJ18*K99</f>
        <v>0</v>
      </c>
      <c r="S99" s="35" t="n">
        <f aca="false">p_liq_on*$CD$98*SUM($M$87:$M$110)*R99/MAX(0.000000001,SUM($R$87:$R$110))</f>
        <v>0</v>
      </c>
      <c r="T99" s="35" t="n">
        <f aca="false">p_liq_on*(L99+M99+N99+O99+P99+Q99)</f>
        <v>91.1966367</v>
      </c>
      <c r="U99" s="35" t="n">
        <f aca="false">g_usable*Inputs_Banks!$AG18+p_cb_on*Inputs_Banks!$AQ18+S99</f>
        <v>82.755</v>
      </c>
      <c r="V99" s="35" t="n">
        <f aca="false">MAX(0,T99-U99)</f>
        <v>8.4416367</v>
      </c>
      <c r="W99" s="44" t="n">
        <f aca="false">IF(V99&gt;0.9*Inputs_Banks!$BB18,1,0)</f>
        <v>1</v>
      </c>
      <c r="X99" s="43" t="n">
        <f aca="false">MAX(p_htm_forced,(1-p_cb_on)*MIN(1,T99/Inputs_Banks!$AG18)*g_theta_sell)</f>
        <v>0.25</v>
      </c>
      <c r="Y99" s="35" t="n">
        <f aca="false">MAX(0,Modules!$V18-B99/(Inputs_Banks!$I18+g_del_buf))</f>
        <v>110.621530939041</v>
      </c>
      <c r="Z99" s="35" t="n">
        <f aca="false">MIN(g_del_cap*Inputs_Banks!$BB18,Y99)</f>
        <v>0.1825</v>
      </c>
      <c r="AA99" s="35" t="n">
        <f aca="false">MIN(Inputs_Banks!$BB18,V99+Z99)</f>
        <v>0.73</v>
      </c>
      <c r="AB99" s="35" t="n">
        <f aca="false">$AA99*Holdings!Q18</f>
        <v>0</v>
      </c>
      <c r="AC99" s="35" t="n">
        <f aca="false">$AA99*Holdings!R18</f>
        <v>0</v>
      </c>
      <c r="AD99" s="35" t="n">
        <f aca="false">$AA99*Holdings!S18</f>
        <v>0</v>
      </c>
      <c r="AE99" s="35" t="n">
        <f aca="false">$AA99*Holdings!T18</f>
        <v>0</v>
      </c>
      <c r="AF99" s="35" t="n">
        <f aca="false">$AA99*Holdings!U18</f>
        <v>0</v>
      </c>
      <c r="AG99" s="35" t="n">
        <f aca="false">$AA99*Holdings!V18</f>
        <v>0</v>
      </c>
      <c r="AH99" s="35" t="n">
        <f aca="false">$AA99*Holdings!W18</f>
        <v>0.15</v>
      </c>
      <c r="AI99" s="35" t="n">
        <f aca="false">$AA99*Holdings!X18</f>
        <v>0.04</v>
      </c>
      <c r="AJ99" s="35" t="n">
        <f aca="false">$AA99*Holdings!Y18</f>
        <v>0.54</v>
      </c>
      <c r="AK99" s="35" t="n">
        <f aca="false">$AA99*Holdings!Z18</f>
        <v>0</v>
      </c>
      <c r="AL99" s="35" t="n">
        <f aca="false">$AA99*Holdings!AA18</f>
        <v>0</v>
      </c>
      <c r="AM99" s="35" t="n">
        <f aca="false">$AA99*Holdings!AB18</f>
        <v>0</v>
      </c>
      <c r="AN99" s="35" t="n">
        <f aca="false">$AA99*Holdings!AC18</f>
        <v>0</v>
      </c>
      <c r="AO99" s="43" t="n">
        <f aca="false">MIN(1,$CD$97+0.5*G99)</f>
        <v>1</v>
      </c>
      <c r="AP99" s="35" t="n">
        <f aca="false">p_liq_on*Inputs_Banks!$AP18*AO99*p_mb_psi</f>
        <v>0</v>
      </c>
      <c r="AQ99" s="44" t="n">
        <f aca="false">MAX(F99,E99,W99*(1-p_cb_on))</f>
        <v>1</v>
      </c>
      <c r="AR99" s="35" t="n">
        <f aca="false">p_ib_on*p_lgd_ib*g_s_in*g_u_ib*SUMPRODUCT(Network!O$6:O$29,$AQ$87:$AQ$110)</f>
        <v>0.211388228855768</v>
      </c>
      <c r="AS99" s="35" t="n">
        <f aca="false">p_sw_M1*(SUMPRODUCT(BDC_EAD!O$106:O$127,$BF$87:$BF$108)+SUMPRODUCT(BDC_EAD!O$131:O$152,$BG$87:$BG$108)+(Inputs_Banks!$Y18+p_ccf_bl*Inputs_Banks!$Z18)*$CD$110+Modules!$E18)</f>
        <v>7.14534260130844</v>
      </c>
      <c r="AT99" s="35" t="n">
        <f aca="false">p_sw_M3*(Inputs_Banks!$U18+p_ccf_abf*Inputs_Banks!$V18)*$CD$111</f>
        <v>0</v>
      </c>
      <c r="AU99" s="35" t="n">
        <f aca="false">p_sw_M10*Inputs_Banks!$AC18*$CD$112</f>
        <v>0</v>
      </c>
      <c r="AV99" s="35" t="n">
        <f aca="false">p_sw_M8*(Modules!$M18+Modules!$N18*IF(p_liq_on&gt;0,X99,p_htm_forced))</f>
        <v>0.93737</v>
      </c>
      <c r="AW99" s="35" t="n">
        <f aca="false">SUMPRODUCT(Holdings!$C18:$O18,Holdings!$C$32:$O$32,$AB$112:$AN$112)+Inputs_Banks!$P18*$AL$112</f>
        <v>0.18056032311418</v>
      </c>
      <c r="AX99" s="35" t="n">
        <f aca="false">Modules!$T18+AS99+AT99+AU99+AV99+AW99+AR99</f>
        <v>11.1119611532784</v>
      </c>
      <c r="AY99" s="35" t="n">
        <f aca="false">Modules!$U18-(1-p_tax)*AX99</f>
        <v>7.58803884672162</v>
      </c>
      <c r="AZ99" s="39" t="n">
        <f aca="false">AY99/Modules!$V18</f>
        <v>0.0396275346594056</v>
      </c>
      <c r="BA99" s="48" t="s">
        <v>648</v>
      </c>
      <c r="BB99" s="43" t="n">
        <f aca="false">INDEX($BJ$87:$BJ$120,BDC_EAD!$B18)</f>
        <v>0.556417298789294</v>
      </c>
      <c r="BC99" s="43" t="n">
        <f aca="false">INDEX($BK$87:$BK$120,BDC_EAD!$B18)</f>
        <v>0.0671461831766286</v>
      </c>
      <c r="BD99" s="22" t="n">
        <f aca="false">INDEX(BDC!$Q$6:$Q$39,BDC_EAD!$B18)</f>
        <v>0.103555555555556</v>
      </c>
      <c r="BE99" s="43" t="n">
        <f aca="false">BB99*(1-$AK$112)-BC99-p_c_liq</f>
        <v>0.188883331157483</v>
      </c>
      <c r="BF99" s="43" t="n">
        <f aca="false">p_phi*MAX(0,p_a_spv-BE99)/p_a_spv+(1-p_phi)*MAX(0,p_a_spv-BB99)/p_a_spv</f>
        <v>0.625156964737364</v>
      </c>
      <c r="BG99" s="43" t="n">
        <f aca="false">IF(BD99&gt;0,p_phi*MAX(0,BD99-BE99)/BD99+(1-p_phi)*MAX(0,BD99-BB99)/BD99,0)</f>
        <v>0</v>
      </c>
      <c r="BI99" s="12" t="str">
        <f aca="false">BDC!$A$18</f>
        <v>SSLP</v>
      </c>
      <c r="BJ99" s="43" t="n">
        <f aca="false">1-((1-BDC!$D$18)*$CD$103+BDC!$D$18*$CD$104)-p_gap-$CD$93*(1-BDC!$M$18)</f>
        <v>0.432216415278359</v>
      </c>
      <c r="BK99" s="43" t="n">
        <f aca="false">(1-BDC!$D$18)*$CD$105+BDC!$D$18*$CD$106</f>
        <v>0.0657302910338875</v>
      </c>
      <c r="BL99" s="45" t="n">
        <f aca="false">BJ99/BDC!$K$18</f>
        <v>0.90717950899084</v>
      </c>
      <c r="BM99" s="35" t="n">
        <f aca="false">IF(BL99&lt;1.5,BDC!$C$18,0)</f>
        <v>8.65</v>
      </c>
      <c r="BN99" s="43" t="n">
        <f aca="false">MAX(0,1-BJ99*(1-CE_mig_hc)-p_bb_cush)*BDC!$Q$18</f>
        <v>0.139067200512426</v>
      </c>
      <c r="BO99" s="43" t="n">
        <f aca="false">MAX(0,BDC!$K$18-BJ99/1.5)</f>
        <v>0.188295513723677</v>
      </c>
      <c r="BP99" s="43" t="n">
        <f aca="false">MIN(MIN(1,BDC!$H$18*$CD$96),$CD$95)</f>
        <v>0</v>
      </c>
      <c r="BQ99" s="43" t="n">
        <f aca="false">BDC!$I$18*BDC!$J$18*BP99*(1-0.3)</f>
        <v>0</v>
      </c>
      <c r="BR99" s="45" t="n">
        <f aca="false">BDC!$C$18*($CD$94*MAX(BN99,BO99)+BQ99)</f>
        <v>1.62875619370981</v>
      </c>
      <c r="CC99" s="10" t="s">
        <v>985</v>
      </c>
      <c r="CD99" s="45" t="n">
        <f aca="false">p_dealer_mult*(1+p_dm_pan*$CD$90)</f>
        <v>10</v>
      </c>
    </row>
    <row r="100" customFormat="false" ht="15" hidden="false" customHeight="true" outlineLevel="0" collapsed="false">
      <c r="A100" s="10" t="s">
        <v>522</v>
      </c>
      <c r="B100" s="35" t="n">
        <f aca="false">AY60</f>
        <v>-6.61894147357073</v>
      </c>
      <c r="C100" s="39" t="n">
        <f aca="false">AZ60</f>
        <v>-0.0126706584780991</v>
      </c>
      <c r="D100" s="44" t="n">
        <f aca="false">IF(C100&lt;Inputs_Banks!$I19,1,0)</f>
        <v>1</v>
      </c>
      <c r="E100" s="44" t="n">
        <f aca="false">IF(C100&lt;0.045,1,0)</f>
        <v>1</v>
      </c>
      <c r="F100" s="44" t="n">
        <f aca="false">IF(B100&lt;0,1,0)</f>
        <v>1</v>
      </c>
      <c r="G100" s="44" t="n">
        <f aca="false">MIN(6,MIN(3,INT(MAX(0,Inputs_Banks!$BA19-C100)/p_notch_step))+D100+2*E100)</f>
        <v>6</v>
      </c>
      <c r="H100" s="39" t="n">
        <f aca="false">C100-Inputs_Banks!$I19</f>
        <v>-0.134670658478099</v>
      </c>
      <c r="I100" s="44" t="n">
        <f aca="false">RANK(H100,$H$87:$H$110,1)</f>
        <v>2</v>
      </c>
      <c r="J100" s="44" t="n">
        <f aca="false">MAX(IF(I100&lt;=g_n_weak,1,0),E100)</f>
        <v>1</v>
      </c>
      <c r="K100" s="44" t="n">
        <f aca="false">IF(I100&gt;12,1,0)*(1-E100)</f>
        <v>0</v>
      </c>
      <c r="L100" s="35" t="n">
        <f aca="false">INDEX(Inputs_Banks!$AR19:$AX19,1,G100+1)</f>
        <v>14.916375</v>
      </c>
      <c r="M100" s="35" t="n">
        <f aca="false">Inputs_Banks!$AI19*MIN(1,p_u_base+$CD$90*p_u_pan_all+J100*($CD$90*p_u_pan_weak+p_u_mda*D100)+p_u_notch*G100+p_u_fail*E100)</f>
        <v>333.3485112849</v>
      </c>
      <c r="N100" s="35" t="n">
        <f aca="false">Inputs_Banks!$AK19*MIN(1,p_w_base+p_w_pan*$CD$90+p_w_notch*G100+0.5*D100+1*E100)</f>
        <v>103.81797</v>
      </c>
      <c r="O100" s="35" t="n">
        <f aca="false">Inputs_Banks!$AO19*MIN(1,p_cp_base+p_cp_pan*$CD$90+p_cp_notch*G100)</f>
        <v>30.26</v>
      </c>
      <c r="P100" s="35" t="n">
        <f aca="false">Inputs_Banks!$AN19*(p_dh+p_dh_pan*$CD$90+MIN(1,0.5*$CD$97+0.25*G100))</f>
        <v>159.617894592383</v>
      </c>
      <c r="Q100" s="35" t="n">
        <f aca="false">Modules!$Y19</f>
        <v>26.8418486</v>
      </c>
      <c r="R100" s="35" t="n">
        <f aca="false">Inputs_Banks!$AJ19*K100</f>
        <v>0</v>
      </c>
      <c r="S100" s="35" t="n">
        <f aca="false">p_liq_on*$CD$98*SUM($M$87:$M$110)*R100/MAX(0.000000001,SUM($R$87:$R$110))</f>
        <v>0</v>
      </c>
      <c r="T100" s="35" t="n">
        <f aca="false">p_liq_on*(L100+M100+N100+O100+P100+Q100)</f>
        <v>668.802599477283</v>
      </c>
      <c r="U100" s="35" t="n">
        <f aca="false">g_usable*Inputs_Banks!$AG19+p_cb_on*Inputs_Banks!$AQ19+S100</f>
        <v>591.841983</v>
      </c>
      <c r="V100" s="35" t="n">
        <f aca="false">MAX(0,T100-U100)</f>
        <v>76.9606164772832</v>
      </c>
      <c r="W100" s="44" t="n">
        <f aca="false">IF(V100&gt;0.9*Inputs_Banks!$BB19,1,0)</f>
        <v>0</v>
      </c>
      <c r="X100" s="43" t="n">
        <f aca="false">MAX(p_htm_forced,(1-p_cb_on)*MIN(1,T100/Inputs_Banks!$AG19)*g_theta_sell)</f>
        <v>0.25</v>
      </c>
      <c r="Y100" s="35" t="n">
        <f aca="false">MAX(0,Modules!$V19-B100/(Inputs_Banks!$I19+g_del_buf))</f>
        <v>574.501034998195</v>
      </c>
      <c r="Z100" s="35" t="n">
        <f aca="false">MIN(g_del_cap*Inputs_Banks!$BB19,Y100)</f>
        <v>55.795</v>
      </c>
      <c r="AA100" s="35" t="n">
        <f aca="false">MIN(Inputs_Banks!$BB19,V100+Z100)</f>
        <v>132.755616477283</v>
      </c>
      <c r="AB100" s="35" t="n">
        <f aca="false">$AA100*Holdings!Q19</f>
        <v>0</v>
      </c>
      <c r="AC100" s="35" t="n">
        <f aca="false">$AA100*Holdings!R19</f>
        <v>0</v>
      </c>
      <c r="AD100" s="35" t="n">
        <f aca="false">$AA100*Holdings!S19</f>
        <v>0</v>
      </c>
      <c r="AE100" s="35" t="n">
        <f aca="false">$AA100*Holdings!T19</f>
        <v>0</v>
      </c>
      <c r="AF100" s="35" t="n">
        <f aca="false">$AA100*Holdings!U19</f>
        <v>35.9935583521839</v>
      </c>
      <c r="AG100" s="35" t="n">
        <f aca="false">$AA100*Holdings!V19</f>
        <v>0</v>
      </c>
      <c r="AH100" s="35" t="n">
        <f aca="false">$AA100*Holdings!W19</f>
        <v>9.66014522623479</v>
      </c>
      <c r="AI100" s="35" t="n">
        <f aca="false">$AA100*Holdings!X19</f>
        <v>0</v>
      </c>
      <c r="AJ100" s="35" t="n">
        <f aca="false">$AA100*Holdings!Y19</f>
        <v>21.2832509972094</v>
      </c>
      <c r="AK100" s="35" t="n">
        <f aca="false">$AA100*Holdings!Z19</f>
        <v>0</v>
      </c>
      <c r="AL100" s="35" t="n">
        <f aca="false">$AA100*Holdings!AA19</f>
        <v>65.6521076736166</v>
      </c>
      <c r="AM100" s="35" t="n">
        <f aca="false">$AA100*Holdings!AB19</f>
        <v>0</v>
      </c>
      <c r="AN100" s="35" t="n">
        <f aca="false">$AA100*Holdings!AC19</f>
        <v>0.166554228038531</v>
      </c>
      <c r="AO100" s="43" t="n">
        <f aca="false">MIN(1,$CD$97+0.5*G100)</f>
        <v>1</v>
      </c>
      <c r="AP100" s="35" t="n">
        <f aca="false">p_liq_on*Inputs_Banks!$AP19*AO100*p_mb_psi</f>
        <v>1.692</v>
      </c>
      <c r="AQ100" s="44" t="n">
        <f aca="false">MAX(F100,E100,W100*(1-p_cb_on))</f>
        <v>1</v>
      </c>
      <c r="AR100" s="35" t="n">
        <f aca="false">p_ib_on*p_lgd_ib*g_s_in*g_u_ib*SUMPRODUCT(Network!P$6:P$29,$AQ$87:$AQ$110)</f>
        <v>7.22507743441053</v>
      </c>
      <c r="AS100" s="35" t="n">
        <f aca="false">p_sw_M1*(SUMPRODUCT(BDC_EAD!P$106:P$127,$BF$87:$BF$108)+SUMPRODUCT(BDC_EAD!P$131:P$152,$BG$87:$BG$108)+(Inputs_Banks!$Y19+p_ccf_bl*Inputs_Banks!$Z19)*$CD$110+Modules!$E19)</f>
        <v>20.643374291426</v>
      </c>
      <c r="AT100" s="35" t="n">
        <f aca="false">p_sw_M3*(Inputs_Banks!$U19+p_ccf_abf*Inputs_Banks!$V19)*$CD$111</f>
        <v>14.3395683697332</v>
      </c>
      <c r="AU100" s="35" t="n">
        <f aca="false">p_sw_M10*Inputs_Banks!$AC19*$CD$112</f>
        <v>0</v>
      </c>
      <c r="AV100" s="35" t="n">
        <f aca="false">p_sw_M8*(Modules!$M19+Modules!$N19*IF(p_liq_on&gt;0,X100,p_htm_forced))</f>
        <v>2.742</v>
      </c>
      <c r="AW100" s="35" t="n">
        <f aca="false">SUMPRODUCT(Holdings!$C19:$O19,Holdings!$C$32:$O$32,$AB$112:$AN$112)+Inputs_Banks!$P19*$AL$112</f>
        <v>16.082128119204</v>
      </c>
      <c r="AX100" s="35" t="n">
        <f aca="false">Modules!$T19+AS100+AT100+AU100+AV100+AW100+AR100</f>
        <v>80.2600929610457</v>
      </c>
      <c r="AY100" s="35" t="n">
        <f aca="false">Modules!$U19-(1-p_tax)*AX100</f>
        <v>-11.0481129610457</v>
      </c>
      <c r="AZ100" s="39" t="n">
        <f aca="false">AY100/Modules!$V19</f>
        <v>-0.0211494340470956</v>
      </c>
      <c r="BA100" s="48" t="s">
        <v>652</v>
      </c>
      <c r="BB100" s="43" t="n">
        <f aca="false">INDEX($BJ$87:$BJ$120,BDC_EAD!$B19)</f>
        <v>0.363449670124075</v>
      </c>
      <c r="BC100" s="43" t="n">
        <f aca="false">INDEX($BK$87:$BK$120,BDC_EAD!$B19)</f>
        <v>0.0611472717297517</v>
      </c>
      <c r="BD100" s="22" t="n">
        <f aca="false">INDEX(BDC!$Q$6:$Q$39,BDC_EAD!$B19)</f>
        <v>0.238909090909091</v>
      </c>
      <c r="BE100" s="43" t="n">
        <f aca="false">BB100*(1-$AK$112)-BC100-p_c_liq</f>
        <v>0.0887500468384897</v>
      </c>
      <c r="BF100" s="43" t="n">
        <f aca="false">p_phi*MAX(0,p_a_spv-BE100)/p_a_spv+(1-p_phi)*MAX(0,p_a_spv-BB100)/p_a_spv</f>
        <v>0.794728612149133</v>
      </c>
      <c r="BG100" s="43" t="n">
        <f aca="false">IF(BD100&gt;0,p_phi*MAX(0,BD100-BE100)/BD100+(1-p_phi)*MAX(0,BD100-BB100)/BD100,0)</f>
        <v>0.502815672686945</v>
      </c>
      <c r="BI100" s="12" t="str">
        <f aca="false">BDC!$A$19</f>
        <v>GBDC</v>
      </c>
      <c r="BJ100" s="43" t="n">
        <f aca="false">1-((1-BDC!$D$19)*$CD$103+BDC!$D$19*$CD$104)-p_gap-$CD$93*(1-BDC!$M$19)</f>
        <v>0.440432081141748</v>
      </c>
      <c r="BK100" s="43" t="n">
        <f aca="false">(1-BDC!$D$19)*$CD$105+BDC!$D$19*$CD$106</f>
        <v>0.0593587763915524</v>
      </c>
      <c r="BL100" s="45" t="n">
        <f aca="false">BJ100/BDC!$K$19</f>
        <v>0.798506943858616</v>
      </c>
      <c r="BM100" s="35" t="n">
        <f aca="false">IF(BL100&lt;1.5,BDC!$C$19,0)</f>
        <v>8.2</v>
      </c>
      <c r="BN100" s="43" t="n">
        <f aca="false">MAX(0,1-BJ100*(1-CE_mig_hc)-p_bb_cush)*BDC!$Q$19</f>
        <v>0.115814435932283</v>
      </c>
      <c r="BO100" s="43" t="n">
        <f aca="false">MAX(0,BDC!$K$19-BJ100/1.5)</f>
        <v>0.257948119298626</v>
      </c>
      <c r="BP100" s="43" t="n">
        <f aca="false">MIN(MIN(1,BDC!$H$19*$CD$96),$CD$95)</f>
        <v>0</v>
      </c>
      <c r="BQ100" s="43" t="n">
        <f aca="false">BDC!$I$19*BDC!$J$19*BP100*(1-0.3)</f>
        <v>0</v>
      </c>
      <c r="BR100" s="45" t="n">
        <f aca="false">BDC!$C$19*($CD$94*MAX(BN100,BO100)+BQ100)</f>
        <v>2.11517457824873</v>
      </c>
      <c r="CC100" s="10" t="s">
        <v>871</v>
      </c>
      <c r="CD100" s="35" t="n">
        <f aca="false">MIN(1,p_ins_run+p_ins_pan*$CD$90)*(g_fabr+g_fabn_6m)</f>
        <v>47.3</v>
      </c>
    </row>
    <row r="101" customFormat="false" ht="15" hidden="false" customHeight="true" outlineLevel="0" collapsed="false">
      <c r="A101" s="10" t="s">
        <v>525</v>
      </c>
      <c r="B101" s="35" t="n">
        <f aca="false">AY61</f>
        <v>79.0239818760108</v>
      </c>
      <c r="C101" s="39" t="n">
        <f aca="false">AZ61</f>
        <v>0.0807263389109652</v>
      </c>
      <c r="D101" s="44" t="n">
        <f aca="false">IF(C101&lt;Inputs_Banks!$I20,1,0)</f>
        <v>1</v>
      </c>
      <c r="E101" s="44" t="n">
        <f aca="false">IF(C101&lt;0.045,1,0)</f>
        <v>0</v>
      </c>
      <c r="F101" s="44" t="n">
        <f aca="false">IF(B101&lt;0,1,0)</f>
        <v>0</v>
      </c>
      <c r="G101" s="44" t="n">
        <f aca="false">MIN(6,MIN(3,INT(MAX(0,Inputs_Banks!$BA20-C101)/p_notch_step))+D101+2*E101)</f>
        <v>3</v>
      </c>
      <c r="H101" s="39" t="n">
        <f aca="false">C101-Inputs_Banks!$I20</f>
        <v>-0.0312736610890348</v>
      </c>
      <c r="I101" s="44" t="n">
        <f aca="false">RANK(H101,$H$87:$H$110,1)</f>
        <v>18</v>
      </c>
      <c r="J101" s="44" t="n">
        <f aca="false">MAX(IF(I101&lt;=g_n_weak,1,0),E101)</f>
        <v>0</v>
      </c>
      <c r="K101" s="44" t="n">
        <f aca="false">IF(I101&gt;12,1,0)*(1-E101)</f>
        <v>1</v>
      </c>
      <c r="L101" s="35" t="n">
        <f aca="false">INDEX(Inputs_Banks!$AR20:$AX20,1,G101+1)</f>
        <v>0.18</v>
      </c>
      <c r="M101" s="35" t="n">
        <f aca="false">Inputs_Banks!$AI20*MIN(1,p_u_base+$CD$90*p_u_pan_all+J101*($CD$90*p_u_pan_weak+p_u_mda*D101)+p_u_notch*G101+p_u_fail*E101)</f>
        <v>256.5027</v>
      </c>
      <c r="N101" s="35" t="n">
        <f aca="false">Inputs_Banks!$AK20*MIN(1,p_w_base+p_w_pan*$CD$90+p_w_notch*G101+0.5*D101+1*E101)</f>
        <v>0</v>
      </c>
      <c r="O101" s="35" t="n">
        <f aca="false">Inputs_Banks!$AO20*MIN(1,p_cp_base+p_cp_pan*$CD$90+p_cp_notch*G101)</f>
        <v>0</v>
      </c>
      <c r="P101" s="35" t="n">
        <f aca="false">Inputs_Banks!$AN20*(p_dh+p_dh_pan*$CD$90+MIN(1,0.5*$CD$97+0.25*G101))</f>
        <v>143.147499934354</v>
      </c>
      <c r="Q101" s="35" t="n">
        <f aca="false">Modules!$Y20</f>
        <v>5.4922829</v>
      </c>
      <c r="R101" s="35" t="n">
        <f aca="false">Inputs_Banks!$AJ20*K101</f>
        <v>1919.104</v>
      </c>
      <c r="S101" s="35" t="n">
        <f aca="false">p_liq_on*$CD$98*SUM($M$87:$M$110)*R101/MAX(0.000000001,SUM($R$87:$R$110))</f>
        <v>290.920369417023</v>
      </c>
      <c r="T101" s="35" t="n">
        <f aca="false">p_liq_on*(L101+M101+N101+O101+P101+Q101)</f>
        <v>405.322482834355</v>
      </c>
      <c r="U101" s="35" t="n">
        <f aca="false">g_usable*Inputs_Banks!$AG20+p_cb_on*Inputs_Banks!$AQ20+S101</f>
        <v>1075.95626941702</v>
      </c>
      <c r="V101" s="35" t="n">
        <f aca="false">MAX(0,T101-U101)</f>
        <v>0</v>
      </c>
      <c r="W101" s="44" t="n">
        <f aca="false">IF(V101&gt;0.9*Inputs_Banks!$BB20,1,0)</f>
        <v>0</v>
      </c>
      <c r="X101" s="43" t="n">
        <f aca="false">MAX(p_htm_forced,(1-p_cb_on)*MIN(1,T101/Inputs_Banks!$AG20)*g_theta_sell)</f>
        <v>0.14198545923753</v>
      </c>
      <c r="Y101" s="35" t="n">
        <f aca="false">MAX(0,Modules!$V20-B101/(Inputs_Banks!$I20+g_del_buf))</f>
        <v>303.493351487087</v>
      </c>
      <c r="Z101" s="35" t="n">
        <f aca="false">MIN(g_del_cap*Inputs_Banks!$BB20,Y101)</f>
        <v>81.9675</v>
      </c>
      <c r="AA101" s="35" t="n">
        <f aca="false">MIN(Inputs_Banks!$BB20,V101+Z101)</f>
        <v>81.9675</v>
      </c>
      <c r="AB101" s="35" t="n">
        <f aca="false">$AA101*Holdings!Q20</f>
        <v>0</v>
      </c>
      <c r="AC101" s="35" t="n">
        <f aca="false">$AA101*Holdings!R20</f>
        <v>0</v>
      </c>
      <c r="AD101" s="35" t="n">
        <f aca="false">$AA101*Holdings!S20</f>
        <v>0</v>
      </c>
      <c r="AE101" s="35" t="n">
        <f aca="false">$AA101*Holdings!T20</f>
        <v>0</v>
      </c>
      <c r="AF101" s="35" t="n">
        <f aca="false">$AA101*Holdings!U20</f>
        <v>0</v>
      </c>
      <c r="AG101" s="35" t="n">
        <f aca="false">$AA101*Holdings!V20</f>
        <v>0</v>
      </c>
      <c r="AH101" s="35" t="n">
        <f aca="false">$AA101*Holdings!W20</f>
        <v>0</v>
      </c>
      <c r="AI101" s="35" t="n">
        <f aca="false">$AA101*Holdings!X20</f>
        <v>0.0525</v>
      </c>
      <c r="AJ101" s="35" t="n">
        <f aca="false">$AA101*Holdings!Y20</f>
        <v>0.02</v>
      </c>
      <c r="AK101" s="35" t="n">
        <f aca="false">$AA101*Holdings!Z20</f>
        <v>0</v>
      </c>
      <c r="AL101" s="35" t="n">
        <f aca="false">$AA101*Holdings!AA20</f>
        <v>44.0775</v>
      </c>
      <c r="AM101" s="35" t="n">
        <f aca="false">$AA101*Holdings!AB20</f>
        <v>0</v>
      </c>
      <c r="AN101" s="35" t="n">
        <f aca="false">$AA101*Holdings!AC20</f>
        <v>37.8175</v>
      </c>
      <c r="AO101" s="43" t="n">
        <f aca="false">MIN(1,$CD$97+0.5*G101)</f>
        <v>1</v>
      </c>
      <c r="AP101" s="35" t="n">
        <f aca="false">p_liq_on*Inputs_Banks!$AP20*AO101*p_mb_psi</f>
        <v>1.272</v>
      </c>
      <c r="AQ101" s="44" t="n">
        <f aca="false">MAX(F101,E101,W101*(1-p_cb_on))</f>
        <v>0</v>
      </c>
      <c r="AR101" s="35" t="n">
        <f aca="false">p_ib_on*p_lgd_ib*g_s_in*g_u_ib*SUMPRODUCT(Network!Q$6:Q$29,$AQ$87:$AQ$110)</f>
        <v>10.8845927122174</v>
      </c>
      <c r="AS101" s="35" t="n">
        <f aca="false">p_sw_M1*(SUMPRODUCT(BDC_EAD!Q$106:Q$127,$BF$87:$BF$108)+SUMPRODUCT(BDC_EAD!Q$131:Q$152,$BG$87:$BG$108)+(Inputs_Banks!$Y20+p_ccf_bl*Inputs_Banks!$Z20)*$CD$110+Modules!$E20)</f>
        <v>16.3815151661489</v>
      </c>
      <c r="AT101" s="35" t="n">
        <f aca="false">p_sw_M3*(Inputs_Banks!$U20+p_ccf_abf*Inputs_Banks!$V20)*$CD$111</f>
        <v>6.71968055027487</v>
      </c>
      <c r="AU101" s="35" t="n">
        <f aca="false">p_sw_M10*Inputs_Banks!$AC20*$CD$112</f>
        <v>0</v>
      </c>
      <c r="AV101" s="35" t="n">
        <f aca="false">p_sw_M8*(Modules!$M20+Modules!$N20*IF(p_liq_on&gt;0,X101,p_htm_forced))</f>
        <v>4.87915345185631</v>
      </c>
      <c r="AW101" s="35" t="n">
        <f aca="false">SUMPRODUCT(Holdings!$C20:$O20,Holdings!$C$32:$O$32,$AB$112:$AN$112)+Inputs_Banks!$P20*$AL$112</f>
        <v>6.49948178004504</v>
      </c>
      <c r="AX101" s="35" t="n">
        <f aca="false">Modules!$T20+AS101+AT101+AU101+AV101+AW101+AR101</f>
        <v>53.7658053403115</v>
      </c>
      <c r="AY101" s="35" t="n">
        <f aca="false">Modules!$U20-(1-p_tax)*AX101</f>
        <v>73.9341946596885</v>
      </c>
      <c r="AZ101" s="39" t="n">
        <f aca="false">AY101/Modules!$V20</f>
        <v>0.0755269060545672</v>
      </c>
      <c r="BA101" s="48" t="s">
        <v>647</v>
      </c>
      <c r="BB101" s="43" t="n">
        <f aca="false">INDEX($BJ$87:$BJ$120,BDC_EAD!$B20)</f>
        <v>0.401231175123755</v>
      </c>
      <c r="BC101" s="43" t="n">
        <f aca="false">INDEX($BK$87:$BK$120,BDC_EAD!$B20)</f>
        <v>0.0605883669365645</v>
      </c>
      <c r="BD101" s="22" t="n">
        <f aca="false">INDEX(BDC!$Q$6:$Q$39,BDC_EAD!$B20)</f>
        <v>0.244897959183673</v>
      </c>
      <c r="BE101" s="43" t="n">
        <f aca="false">BB101*(1-$AK$112)-BC101-p_c_liq</f>
        <v>0.110088779381501</v>
      </c>
      <c r="BF101" s="43" t="n">
        <f aca="false">p_phi*MAX(0,p_a_spv-BE101)/p_a_spv+(1-p_phi)*MAX(0,p_a_spv-BB101)/p_a_spv</f>
        <v>0.75954677352864</v>
      </c>
      <c r="BG101" s="43" t="n">
        <f aca="false">IF(BD101&gt;0,p_phi*MAX(0,BD101-BE101)/BD101+(1-p_phi)*MAX(0,BD101-BB101)/BD101,0)</f>
        <v>0.44037665402043</v>
      </c>
      <c r="BI101" s="12" t="str">
        <f aca="false">BDC!$A$20</f>
        <v>OSCF</v>
      </c>
      <c r="BJ101" s="43" t="n">
        <f aca="false">1-((1-BDC!$D$20)*$CD$103+BDC!$D$20*$CD$104)-p_gap-$CD$93*(1-BDC!$M$20)</f>
        <v>0.413355834314687</v>
      </c>
      <c r="BK101" s="43" t="n">
        <f aca="false">(1-BDC!$D$20)*$CD$105+BDC!$D$20*$CD$106</f>
        <v>0.0626004241920387</v>
      </c>
      <c r="BL101" s="45" t="n">
        <f aca="false">BJ101/BDC!$K$20</f>
        <v>1.09098834958467</v>
      </c>
      <c r="BM101" s="35" t="n">
        <f aca="false">IF(BL101&lt;1.5,BDC!$C$20,0)</f>
        <v>6.8</v>
      </c>
      <c r="BN101" s="43" t="n">
        <f aca="false">MAX(0,1-BJ101*(1-CE_mig_hc)-p_bb_cush)*BDC!$Q$20</f>
        <v>0.129350577017109</v>
      </c>
      <c r="BO101" s="43" t="n">
        <f aca="false">MAX(0,BDC!$K$20-BJ101/1.5)</f>
        <v>0.103311431367848</v>
      </c>
      <c r="BP101" s="43" t="n">
        <f aca="false">MIN(MIN(1,BDC!$H$20*$CD$96),$CD$95)</f>
        <v>0.114</v>
      </c>
      <c r="BQ101" s="43" t="n">
        <f aca="false">BDC!$I$20*BDC!$J$20*BP101*(1-0.3)</f>
        <v>0.0495652173913043</v>
      </c>
      <c r="BR101" s="45" t="n">
        <f aca="false">BDC!$C$20*($CD$94*MAX(BN101,BO101)+BQ101)</f>
        <v>1.21662740197721</v>
      </c>
      <c r="CC101" s="10" t="s">
        <v>986</v>
      </c>
      <c r="CD101" s="43" t="n">
        <f aca="false">SUMPRODUCT(CreditEngine!$B$6:$B$10,$BU$87:$BU$91)</f>
        <v>0.790768304625863</v>
      </c>
    </row>
    <row r="102" customFormat="false" ht="15" hidden="false" customHeight="true" outlineLevel="0" collapsed="false">
      <c r="A102" s="10" t="s">
        <v>527</v>
      </c>
      <c r="B102" s="35" t="n">
        <f aca="false">AY62</f>
        <v>-6.73030892310052</v>
      </c>
      <c r="C102" s="39" t="n">
        <f aca="false">AZ62</f>
        <v>-0.0148647144155453</v>
      </c>
      <c r="D102" s="44" t="n">
        <f aca="false">IF(C102&lt;Inputs_Banks!$I21,1,0)</f>
        <v>1</v>
      </c>
      <c r="E102" s="44" t="n">
        <f aca="false">IF(C102&lt;0.045,1,0)</f>
        <v>1</v>
      </c>
      <c r="F102" s="44" t="n">
        <f aca="false">IF(B102&lt;0,1,0)</f>
        <v>1</v>
      </c>
      <c r="G102" s="44" t="n">
        <f aca="false">MIN(6,MIN(3,INT(MAX(0,Inputs_Banks!$BA21-C102)/p_notch_step))+D102+2*E102)</f>
        <v>6</v>
      </c>
      <c r="H102" s="39" t="n">
        <f aca="false">C102-Inputs_Banks!$I21</f>
        <v>-0.126864714415545</v>
      </c>
      <c r="I102" s="44" t="n">
        <f aca="false">RANK(H102,$H$87:$H$110,1)</f>
        <v>3</v>
      </c>
      <c r="J102" s="44" t="n">
        <f aca="false">MAX(IF(I102&lt;=g_n_weak,1,0),E102)</f>
        <v>1</v>
      </c>
      <c r="K102" s="44" t="n">
        <f aca="false">IF(I102&gt;12,1,0)*(1-E102)</f>
        <v>0</v>
      </c>
      <c r="L102" s="35" t="n">
        <f aca="false">INDEX(Inputs_Banks!$AR21:$AX21,1,G102+1)</f>
        <v>0.9076515</v>
      </c>
      <c r="M102" s="35" t="n">
        <f aca="false">Inputs_Banks!$AI21*MIN(1,p_u_base+$CD$90*p_u_pan_all+J102*($CD$90*p_u_pan_weak+p_u_mda*D102)+p_u_notch*G102+p_u_fail*E102)</f>
        <v>279.352366202</v>
      </c>
      <c r="N102" s="35" t="n">
        <f aca="false">Inputs_Banks!$AK21*MIN(1,p_w_base+p_w_pan*$CD$90+p_w_notch*G102+0.5*D102+1*E102)</f>
        <v>28.371245</v>
      </c>
      <c r="O102" s="35" t="n">
        <f aca="false">Inputs_Banks!$AO21*MIN(1,p_cp_base+p_cp_pan*$CD$90+p_cp_notch*G102)</f>
        <v>5.15</v>
      </c>
      <c r="P102" s="35" t="n">
        <f aca="false">Inputs_Banks!$AN21*(p_dh+p_dh_pan*$CD$90+MIN(1,0.5*$CD$97+0.25*G102))</f>
        <v>44.8565902707607</v>
      </c>
      <c r="Q102" s="35" t="n">
        <f aca="false">Modules!$Y21</f>
        <v>9.2558384</v>
      </c>
      <c r="R102" s="35" t="n">
        <f aca="false">Inputs_Banks!$AJ21*K102</f>
        <v>0</v>
      </c>
      <c r="S102" s="35" t="n">
        <f aca="false">p_liq_on*$CD$98*SUM($M$87:$M$110)*R102/MAX(0.000000001,SUM($R$87:$R$110))</f>
        <v>0</v>
      </c>
      <c r="T102" s="35" t="n">
        <f aca="false">p_liq_on*(L102+M102+N102+O102+P102+Q102)</f>
        <v>367.893691372761</v>
      </c>
      <c r="U102" s="35" t="n">
        <f aca="false">g_usable*Inputs_Banks!$AG21+p_cb_on*Inputs_Banks!$AQ21+S102</f>
        <v>309.53302303</v>
      </c>
      <c r="V102" s="35" t="n">
        <f aca="false">MAX(0,T102-U102)</f>
        <v>58.3606683427607</v>
      </c>
      <c r="W102" s="44" t="n">
        <f aca="false">IF(V102&gt;0.9*Inputs_Banks!$BB21,1,0)</f>
        <v>0</v>
      </c>
      <c r="X102" s="43" t="n">
        <f aca="false">MAX(p_htm_forced,(1-p_cb_on)*MIN(1,T102/Inputs_Banks!$AG21)*g_theta_sell)</f>
        <v>0.25</v>
      </c>
      <c r="Y102" s="35" t="n">
        <f aca="false">MAX(0,Modules!$V21-B102/(Inputs_Banks!$I21+g_del_buf))</f>
        <v>510.294827089748</v>
      </c>
      <c r="Z102" s="35" t="n">
        <f aca="false">MIN(g_del_cap*Inputs_Banks!$BB21,Y102)</f>
        <v>21.8225</v>
      </c>
      <c r="AA102" s="35" t="n">
        <f aca="false">MIN(Inputs_Banks!$BB21,V102+Z102)</f>
        <v>80.1831683427607</v>
      </c>
      <c r="AB102" s="35" t="n">
        <f aca="false">$AA102*Holdings!Q21</f>
        <v>0</v>
      </c>
      <c r="AC102" s="35" t="n">
        <f aca="false">$AA102*Holdings!R21</f>
        <v>0</v>
      </c>
      <c r="AD102" s="35" t="n">
        <f aca="false">$AA102*Holdings!S21</f>
        <v>0</v>
      </c>
      <c r="AE102" s="35" t="n">
        <f aca="false">$AA102*Holdings!T21</f>
        <v>1.42380468474372</v>
      </c>
      <c r="AF102" s="35" t="n">
        <f aca="false">$AA102*Holdings!U21</f>
        <v>63.4006447361364</v>
      </c>
      <c r="AG102" s="35" t="n">
        <f aca="false">$AA102*Holdings!V21</f>
        <v>0</v>
      </c>
      <c r="AH102" s="35" t="n">
        <f aca="false">$AA102*Holdings!W21</f>
        <v>13.420507383294</v>
      </c>
      <c r="AI102" s="35" t="n">
        <f aca="false">$AA102*Holdings!X21</f>
        <v>0</v>
      </c>
      <c r="AJ102" s="35" t="n">
        <f aca="false">$AA102*Holdings!Y21</f>
        <v>0</v>
      </c>
      <c r="AK102" s="35" t="n">
        <f aca="false">$AA102*Holdings!Z21</f>
        <v>0</v>
      </c>
      <c r="AL102" s="35" t="n">
        <f aca="false">$AA102*Holdings!AA21</f>
        <v>1.93821153858661</v>
      </c>
      <c r="AM102" s="35" t="n">
        <f aca="false">$AA102*Holdings!AB21</f>
        <v>0</v>
      </c>
      <c r="AN102" s="35" t="n">
        <f aca="false">$AA102*Holdings!AC21</f>
        <v>0</v>
      </c>
      <c r="AO102" s="43" t="n">
        <f aca="false">MIN(1,$CD$97+0.5*G102)</f>
        <v>1</v>
      </c>
      <c r="AP102" s="35" t="n">
        <f aca="false">p_liq_on*Inputs_Banks!$AP21*AO102*p_mb_psi</f>
        <v>0</v>
      </c>
      <c r="AQ102" s="44" t="n">
        <f aca="false">MAX(F102,E102,W102*(1-p_cb_on))</f>
        <v>1</v>
      </c>
      <c r="AR102" s="35" t="n">
        <f aca="false">p_ib_on*p_lgd_ib*g_s_in*g_u_ib*SUMPRODUCT(Network!R$6:R$29,$AQ$87:$AQ$110)</f>
        <v>4.21649398828672</v>
      </c>
      <c r="AS102" s="35" t="n">
        <f aca="false">p_sw_M1*(SUMPRODUCT(BDC_EAD!R$106:R$127,$BF$87:$BF$108)+SUMPRODUCT(BDC_EAD!R$131:R$152,$BG$87:$BG$108)+(Inputs_Banks!$Y21+p_ccf_bl*Inputs_Banks!$Z21)*$CD$110+Modules!$E21)</f>
        <v>28.674151775399</v>
      </c>
      <c r="AT102" s="35" t="n">
        <f aca="false">p_sw_M3*(Inputs_Banks!$U21+p_ccf_abf*Inputs_Banks!$V21)*$CD$111</f>
        <v>10.6062570749984</v>
      </c>
      <c r="AU102" s="35" t="n">
        <f aca="false">p_sw_M10*Inputs_Banks!$AC21*$CD$112</f>
        <v>0</v>
      </c>
      <c r="AV102" s="35" t="n">
        <f aca="false">p_sw_M8*(Modules!$M21+Modules!$N21*IF(p_liq_on&gt;0,X102,p_htm_forced))</f>
        <v>2.171</v>
      </c>
      <c r="AW102" s="35" t="n">
        <f aca="false">SUMPRODUCT(Holdings!$C21:$O21,Holdings!$C$32:$O$32,$AB$112:$AN$112)+Inputs_Banks!$P21*$AL$112</f>
        <v>10.5166125128823</v>
      </c>
      <c r="AX102" s="35" t="n">
        <f aca="false">Modules!$T21+AS102+AT102+AU102+AV102+AW102+AR102</f>
        <v>67.6274552143469</v>
      </c>
      <c r="AY102" s="35" t="n">
        <f aca="false">Modules!$U21-(1-p_tax)*AX102</f>
        <v>-9.28772691434691</v>
      </c>
      <c r="AZ102" s="39" t="n">
        <f aca="false">AY102/Modules!$V21</f>
        <v>-0.0205130863573703</v>
      </c>
      <c r="BA102" s="48" t="s">
        <v>659</v>
      </c>
      <c r="BB102" s="43" t="n">
        <f aca="false">INDEX($BJ$87:$BJ$120,BDC_EAD!$B21)</f>
        <v>0.361123826355913</v>
      </c>
      <c r="BC102" s="43" t="n">
        <f aca="false">INDEX($BK$87:$BK$120,BDC_EAD!$B21)</f>
        <v>0.0628985067484052</v>
      </c>
      <c r="BD102" s="22" t="n">
        <f aca="false">INDEX(BDC!$Q$6:$Q$39,BDC_EAD!$B21)</f>
        <v>0.239316017316017</v>
      </c>
      <c r="BE102" s="43" t="n">
        <f aca="false">BB102*(1-$AK$112)-BC102-p_c_liq</f>
        <v>0.085719597747347</v>
      </c>
      <c r="BF102" s="43" t="n">
        <f aca="false">p_phi*MAX(0,p_a_spv-BE102)/p_a_spv+(1-p_phi)*MAX(0,p_a_spv-BB102)/p_a_spv</f>
        <v>0.798856509329914</v>
      </c>
      <c r="BG102" s="43" t="n">
        <f aca="false">IF(BD102&gt;0,p_phi*MAX(0,BD102-BE102)/BD102+(1-p_phi)*MAX(0,BD102-BB102)/BD102,0)</f>
        <v>0.513451364572379</v>
      </c>
      <c r="BI102" s="12" t="str">
        <f aca="false">BDC!$A$21</f>
        <v>PSEC</v>
      </c>
      <c r="BJ102" s="43" t="n">
        <f aca="false">1-((1-BDC!$D$21)*$CD$103+BDC!$D$21*$CD$104)-p_gap-$CD$93*(1-BDC!$M$21)</f>
        <v>0.113624404509291</v>
      </c>
      <c r="BK102" s="43" t="n">
        <f aca="false">(1-BDC!$D$21)*$CD$105+BDC!$D$21*$CD$106</f>
        <v>0.0681894721239115</v>
      </c>
      <c r="BL102" s="45" t="n">
        <f aca="false">BJ102/BDC!$K$21</f>
        <v>0.293980602143086</v>
      </c>
      <c r="BM102" s="35" t="n">
        <f aca="false">IF(BL102&lt;1.5,BDC!$C$21,0)</f>
        <v>6.34</v>
      </c>
      <c r="BN102" s="43" t="n">
        <f aca="false">MAX(0,1-BJ102*(1-CE_mig_hc)-p_bb_cush)*BDC!$Q$21</f>
        <v>0.168253607408428</v>
      </c>
      <c r="BO102" s="43" t="n">
        <f aca="false">MAX(0,BDC!$K$21-BJ102/1.5)</f>
        <v>0.310753464478469</v>
      </c>
      <c r="BP102" s="43" t="n">
        <f aca="false">MIN(MIN(1,BDC!$H$21*$CD$96),$CD$95)</f>
        <v>0</v>
      </c>
      <c r="BQ102" s="43" t="n">
        <f aca="false">BDC!$I$21*BDC!$J$21*BP102*(1-0.3)</f>
        <v>0</v>
      </c>
      <c r="BR102" s="45" t="n">
        <f aca="false">BDC!$C$21*($CD$94*MAX(BN102,BO102)+BQ102)</f>
        <v>1.97017696479349</v>
      </c>
      <c r="CC102" s="10" t="s">
        <v>987</v>
      </c>
      <c r="CD102" s="43" t="n">
        <f aca="false">SUMPRODUCT(CreditEngine!$B$6:$B$10,$BV$87:$BV$91)</f>
        <v>0.924318714457985</v>
      </c>
    </row>
    <row r="103" customFormat="false" ht="15" hidden="false" customHeight="true" outlineLevel="0" collapsed="false">
      <c r="A103" s="10" t="s">
        <v>530</v>
      </c>
      <c r="B103" s="35" t="n">
        <f aca="false">AY63</f>
        <v>41.4585364804476</v>
      </c>
      <c r="C103" s="39" t="n">
        <f aca="false">AZ63</f>
        <v>0.0422932521768457</v>
      </c>
      <c r="D103" s="44" t="n">
        <f aca="false">IF(C103&lt;Inputs_Banks!$I22,1,0)</f>
        <v>1</v>
      </c>
      <c r="E103" s="44" t="n">
        <f aca="false">IF(C103&lt;0.045,1,0)</f>
        <v>1</v>
      </c>
      <c r="F103" s="44" t="n">
        <f aca="false">IF(B103&lt;0,1,0)</f>
        <v>0</v>
      </c>
      <c r="G103" s="44" t="n">
        <f aca="false">MIN(6,MIN(3,INT(MAX(0,Inputs_Banks!$BA22-C103)/p_notch_step))+D103+2*E103)</f>
        <v>6</v>
      </c>
      <c r="H103" s="39" t="n">
        <f aca="false">C103-Inputs_Banks!$I22</f>
        <v>-0.0620067478231544</v>
      </c>
      <c r="I103" s="44" t="n">
        <f aca="false">RANK(H103,$H$87:$H$110,1)</f>
        <v>11</v>
      </c>
      <c r="J103" s="44" t="n">
        <f aca="false">MAX(IF(I103&lt;=g_n_weak,1,0),E103)</f>
        <v>1</v>
      </c>
      <c r="K103" s="44" t="n">
        <f aca="false">IF(I103&gt;12,1,0)*(1-E103)</f>
        <v>0</v>
      </c>
      <c r="L103" s="35" t="n">
        <f aca="false">INDEX(Inputs_Banks!$AR22:$AX22,1,G103+1)</f>
        <v>2.945586</v>
      </c>
      <c r="M103" s="35" t="n">
        <f aca="false">Inputs_Banks!$AI22*MIN(1,p_u_base+$CD$90*p_u_pan_all+J103*($CD$90*p_u_pan_weak+p_u_mda*D103)+p_u_notch*G103+p_u_fail*E103)</f>
        <v>546.513203124</v>
      </c>
      <c r="N103" s="35" t="n">
        <f aca="false">Inputs_Banks!$AK22*MIN(1,p_w_base+p_w_pan*$CD$90+p_w_notch*G103+0.5*D103+1*E103)</f>
        <v>28.3758118</v>
      </c>
      <c r="O103" s="35" t="n">
        <f aca="false">Inputs_Banks!$AO22*MIN(1,p_cp_base+p_cp_pan*$CD$90+p_cp_notch*G103)</f>
        <v>6.01</v>
      </c>
      <c r="P103" s="35" t="n">
        <f aca="false">Inputs_Banks!$AN22*(p_dh+p_dh_pan*$CD$90+MIN(1,0.5*$CD$97+0.25*G103))</f>
        <v>327.022854105455</v>
      </c>
      <c r="Q103" s="35" t="n">
        <f aca="false">Modules!$Y22</f>
        <v>9.7948712</v>
      </c>
      <c r="R103" s="35" t="n">
        <f aca="false">Inputs_Banks!$AJ22*K103</f>
        <v>0</v>
      </c>
      <c r="S103" s="35" t="n">
        <f aca="false">p_liq_on*$CD$98*SUM($M$87:$M$110)*R103/MAX(0.000000001,SUM($R$87:$R$110))</f>
        <v>0</v>
      </c>
      <c r="T103" s="35" t="n">
        <f aca="false">p_liq_on*(L103+M103+N103+O103+P103+Q103)</f>
        <v>920.662326229455</v>
      </c>
      <c r="U103" s="35" t="n">
        <f aca="false">g_usable*Inputs_Banks!$AG22+p_cb_on*Inputs_Banks!$AQ22+S103</f>
        <v>714.7042</v>
      </c>
      <c r="V103" s="35" t="n">
        <f aca="false">MAX(0,T103-U103)</f>
        <v>205.958126229456</v>
      </c>
      <c r="W103" s="44" t="n">
        <f aca="false">IF(V103&gt;0.9*Inputs_Banks!$BB22,1,0)</f>
        <v>0</v>
      </c>
      <c r="X103" s="43" t="n">
        <f aca="false">MAX(p_htm_forced,(1-p_cb_on)*MIN(1,T103/Inputs_Banks!$AG22)*g_theta_sell)</f>
        <v>0.25</v>
      </c>
      <c r="Y103" s="35" t="n">
        <f aca="false">MAX(0,Modules!$V22-B103/(Inputs_Banks!$I22+g_del_buf))</f>
        <v>600.954045613471</v>
      </c>
      <c r="Z103" s="35" t="n">
        <f aca="false">MIN(g_del_cap*Inputs_Banks!$BB22,Y103)</f>
        <v>88.1275</v>
      </c>
      <c r="AA103" s="35" t="n">
        <f aca="false">MIN(Inputs_Banks!$BB22,V103+Z103)</f>
        <v>294.085626229456</v>
      </c>
      <c r="AB103" s="35" t="n">
        <f aca="false">$AA103*Holdings!Q22</f>
        <v>0</v>
      </c>
      <c r="AC103" s="35" t="n">
        <f aca="false">$AA103*Holdings!R22</f>
        <v>0</v>
      </c>
      <c r="AD103" s="35" t="n">
        <f aca="false">$AA103*Holdings!S22</f>
        <v>0</v>
      </c>
      <c r="AE103" s="35" t="n">
        <f aca="false">$AA103*Holdings!T22</f>
        <v>0</v>
      </c>
      <c r="AF103" s="35" t="n">
        <f aca="false">$AA103*Holdings!U22</f>
        <v>121.243267027678</v>
      </c>
      <c r="AG103" s="35" t="n">
        <f aca="false">$AA103*Holdings!V22</f>
        <v>0</v>
      </c>
      <c r="AH103" s="35" t="n">
        <f aca="false">$AA103*Holdings!W22</f>
        <v>11.2291637940724</v>
      </c>
      <c r="AI103" s="35" t="n">
        <f aca="false">$AA103*Holdings!X22</f>
        <v>0</v>
      </c>
      <c r="AJ103" s="35" t="n">
        <f aca="false">$AA103*Holdings!Y22</f>
        <v>0</v>
      </c>
      <c r="AK103" s="35" t="n">
        <f aca="false">$AA103*Holdings!Z22</f>
        <v>0</v>
      </c>
      <c r="AL103" s="35" t="n">
        <f aca="false">$AA103*Holdings!AA22</f>
        <v>161.613195407705</v>
      </c>
      <c r="AM103" s="35" t="n">
        <f aca="false">$AA103*Holdings!AB22</f>
        <v>0</v>
      </c>
      <c r="AN103" s="35" t="n">
        <f aca="false">$AA103*Holdings!AC22</f>
        <v>0</v>
      </c>
      <c r="AO103" s="43" t="n">
        <f aca="false">MIN(1,$CD$97+0.5*G103)</f>
        <v>1</v>
      </c>
      <c r="AP103" s="35" t="n">
        <f aca="false">p_liq_on*Inputs_Banks!$AP22*AO103*p_mb_psi</f>
        <v>11.592</v>
      </c>
      <c r="AQ103" s="44" t="n">
        <f aca="false">MAX(F103,E103,W103*(1-p_cb_on))</f>
        <v>1</v>
      </c>
      <c r="AR103" s="35" t="n">
        <f aca="false">p_ib_on*p_lgd_ib*g_s_in*g_u_ib*SUMPRODUCT(Network!S$6:S$29,$AQ$87:$AQ$110)</f>
        <v>12.8576723198117</v>
      </c>
      <c r="AS103" s="35" t="n">
        <f aca="false">p_sw_M1*(SUMPRODUCT(BDC_EAD!S$106:S$127,$BF$87:$BF$108)+SUMPRODUCT(BDC_EAD!S$131:S$152,$BG$87:$BG$108)+(Inputs_Banks!$Y22+p_ccf_bl*Inputs_Banks!$Z22)*$CD$110+Modules!$E22)</f>
        <v>23.7487346889017</v>
      </c>
      <c r="AT103" s="35" t="n">
        <f aca="false">p_sw_M3*(Inputs_Banks!$U22+p_ccf_abf*Inputs_Banks!$V22)*$CD$111</f>
        <v>3.81118170894942</v>
      </c>
      <c r="AU103" s="35" t="n">
        <f aca="false">p_sw_M10*Inputs_Banks!$AC22*$CD$112</f>
        <v>0</v>
      </c>
      <c r="AV103" s="35" t="n">
        <f aca="false">p_sw_M8*(Modules!$M22+Modules!$N22*IF(p_liq_on&gt;0,X103,p_htm_forced))</f>
        <v>4.40625</v>
      </c>
      <c r="AW103" s="35" t="n">
        <f aca="false">SUMPRODUCT(Holdings!$C22:$O22,Holdings!$C$32:$O$32,$AB$112:$AN$112)+Inputs_Banks!$P22*$AL$112</f>
        <v>16.3242704898486</v>
      </c>
      <c r="AX103" s="35" t="n">
        <f aca="false">Modules!$T22+AS103+AT103+AU103+AV103+AW103+AR103</f>
        <v>81.158486963854</v>
      </c>
      <c r="AY103" s="35" t="n">
        <f aca="false">Modules!$U22-(1-p_tax)*AX103</f>
        <v>36.664953036146</v>
      </c>
      <c r="AZ103" s="39" t="n">
        <f aca="false">AY103/Modules!$V22</f>
        <v>0.0374031559348759</v>
      </c>
      <c r="BA103" s="48" t="s">
        <v>638</v>
      </c>
      <c r="BB103" s="43" t="n">
        <f aca="false">INDEX($BJ$87:$BJ$120,BDC_EAD!$B22)</f>
        <v>0.393709594067855</v>
      </c>
      <c r="BC103" s="43" t="n">
        <f aca="false">INDEX($BK$87:$BK$120,BDC_EAD!$B22)</f>
        <v>0.0647242624061503</v>
      </c>
      <c r="BD103" s="22" t="n">
        <f aca="false">INDEX(BDC!$Q$6:$Q$39,BDC_EAD!$B22)</f>
        <v>0.177509433962264</v>
      </c>
      <c r="BE103" s="43" t="n">
        <f aca="false">BB103*(1-$AK$112)-BC103-p_c_liq</f>
        <v>0.10181601433117</v>
      </c>
      <c r="BF103" s="43" t="n">
        <f aca="false">p_phi*MAX(0,p_a_spv-BE103)/p_a_spv+(1-p_phi)*MAX(0,p_a_spv-BB103)/p_a_spv</f>
        <v>0.771150385316419</v>
      </c>
      <c r="BG103" s="43" t="n">
        <f aca="false">IF(BD103&gt;0,p_phi*MAX(0,BD103-BE103)/BD103+(1-p_phi)*MAX(0,BD103-BB103)/BD103,0)</f>
        <v>0.341135309561905</v>
      </c>
      <c r="BI103" s="12" t="str">
        <f aca="false">BDC!$A$22</f>
        <v>NHPIF</v>
      </c>
      <c r="BJ103" s="43" t="n">
        <f aca="false">1-((1-BDC!$D$22)*$CD$103+BDC!$D$22*$CD$104)-p_gap-$CD$93*(1-BDC!$M$22)</f>
        <v>0.401231175123755</v>
      </c>
      <c r="BK103" s="43" t="n">
        <f aca="false">(1-BDC!$D$22)*$CD$105+BDC!$D$22*$CD$106</f>
        <v>0.0605883669365645</v>
      </c>
      <c r="BL103" s="45" t="n">
        <f aca="false">BJ103/BDC!$K$22</f>
        <v>0.819180315877667</v>
      </c>
      <c r="BM103" s="35" t="n">
        <f aca="false">IF(BL103&lt;1.5,BDC!$C$22,0)</f>
        <v>5.98</v>
      </c>
      <c r="BN103" s="43" t="n">
        <f aca="false">MAX(0,1-BJ103*(1-CE_mig_hc)-p_bb_cush)*BDC!$Q$22</f>
        <v>0.151630856363478</v>
      </c>
      <c r="BO103" s="43" t="n">
        <f aca="false">MAX(0,BDC!$K$22-BJ103/1.5)</f>
        <v>0.222308468284843</v>
      </c>
      <c r="BP103" s="43" t="n">
        <f aca="false">MIN(MIN(1,BDC!$H$22*$CD$96),$CD$95)</f>
        <v>0.25</v>
      </c>
      <c r="BQ103" s="43" t="n">
        <f aca="false">BDC!$I$22*BDC!$J$22*BP103*(1-0.3)</f>
        <v>0.0892857142857143</v>
      </c>
      <c r="BR103" s="45" t="n">
        <f aca="false">BDC!$C$22*($CD$94*MAX(BN103,BO103)+BQ103)</f>
        <v>1.86333321177193</v>
      </c>
      <c r="CC103" s="10" t="s">
        <v>988</v>
      </c>
      <c r="CD103" s="43" t="n">
        <f aca="false">$CD$101*p_lgd_gen-CE_PDb*g_lgd_gen_b</f>
        <v>0.332131634197048</v>
      </c>
    </row>
    <row r="104" customFormat="false" ht="15" hidden="false" customHeight="true" outlineLevel="0" collapsed="false">
      <c r="A104" s="10" t="s">
        <v>532</v>
      </c>
      <c r="B104" s="35" t="n">
        <f aca="false">AY64</f>
        <v>27.891267812698</v>
      </c>
      <c r="C104" s="39" t="n">
        <f aca="false">AZ64</f>
        <v>0.0557142727156082</v>
      </c>
      <c r="D104" s="44" t="n">
        <f aca="false">IF(C104&lt;Inputs_Banks!$I23,1,0)</f>
        <v>1</v>
      </c>
      <c r="E104" s="44" t="n">
        <f aca="false">IF(C104&lt;0.045,1,0)</f>
        <v>0</v>
      </c>
      <c r="F104" s="44" t="n">
        <f aca="false">IF(B104&lt;0,1,0)</f>
        <v>0</v>
      </c>
      <c r="G104" s="44" t="n">
        <f aca="false">MIN(6,MIN(3,INT(MAX(0,Inputs_Banks!$BA23-C104)/p_notch_step))+D104+2*E104)</f>
        <v>4</v>
      </c>
      <c r="H104" s="39" t="n">
        <f aca="false">C104-Inputs_Banks!$I23</f>
        <v>-0.0468857272843918</v>
      </c>
      <c r="I104" s="44" t="n">
        <f aca="false">RANK(H104,$H$87:$H$110,1)</f>
        <v>16</v>
      </c>
      <c r="J104" s="44" t="n">
        <f aca="false">MAX(IF(I104&lt;=g_n_weak,1,0),E104)</f>
        <v>0</v>
      </c>
      <c r="K104" s="44" t="n">
        <f aca="false">IF(I104&gt;12,1,0)*(1-E104)</f>
        <v>1</v>
      </c>
      <c r="L104" s="35" t="n">
        <f aca="false">INDEX(Inputs_Banks!$AR23:$AX23,1,G104+1)</f>
        <v>1.2010684</v>
      </c>
      <c r="M104" s="35" t="n">
        <f aca="false">Inputs_Banks!$AI23*MIN(1,p_u_base+$CD$90*p_u_pan_all+J104*($CD$90*p_u_pan_weak+p_u_mda*D104)+p_u_notch*G104+p_u_fail*E104)</f>
        <v>85.2942480453</v>
      </c>
      <c r="N104" s="35" t="n">
        <f aca="false">Inputs_Banks!$AK23*MIN(1,p_w_base+p_w_pan*$CD$90+p_w_notch*G104+0.5*D104+1*E104)</f>
        <v>0</v>
      </c>
      <c r="O104" s="35" t="n">
        <f aca="false">Inputs_Banks!$AO23*MIN(1,p_cp_base+p_cp_pan*$CD$90+p_cp_notch*G104)</f>
        <v>3.8</v>
      </c>
      <c r="P104" s="35" t="n">
        <f aca="false">Inputs_Banks!$AN23*(p_dh+p_dh_pan*$CD$90+MIN(1,0.5*$CD$97+0.25*G104))</f>
        <v>128.300227265032</v>
      </c>
      <c r="Q104" s="35" t="n">
        <f aca="false">Modules!$Y23</f>
        <v>3.506521</v>
      </c>
      <c r="R104" s="35" t="n">
        <f aca="false">Inputs_Banks!$AJ23*K104</f>
        <v>611.4283014</v>
      </c>
      <c r="S104" s="35" t="n">
        <f aca="false">p_liq_on*$CD$98*SUM($M$87:$M$110)*R104/MAX(0.000000001,SUM($R$87:$R$110))</f>
        <v>92.6874975589185</v>
      </c>
      <c r="T104" s="35" t="n">
        <f aca="false">p_liq_on*(L104+M104+N104+O104+P104+Q104)</f>
        <v>222.102064710332</v>
      </c>
      <c r="U104" s="35" t="n">
        <f aca="false">g_usable*Inputs_Banks!$AG23+p_cb_on*Inputs_Banks!$AQ23+S104</f>
        <v>529.444832558919</v>
      </c>
      <c r="V104" s="35" t="n">
        <f aca="false">MAX(0,T104-U104)</f>
        <v>0</v>
      </c>
      <c r="W104" s="44" t="n">
        <f aca="false">IF(V104&gt;0.9*Inputs_Banks!$BB23,1,0)</f>
        <v>0</v>
      </c>
      <c r="X104" s="43" t="n">
        <f aca="false">MAX(p_htm_forced,(1-p_cb_on)*MIN(1,T104/Inputs_Banks!$AG23)*g_theta_sell)</f>
        <v>0.184920413117464</v>
      </c>
      <c r="Y104" s="35" t="n">
        <f aca="false">MAX(0,Modules!$V23-B104/(Inputs_Banks!$I23+g_del_buf))</f>
        <v>241.400089859684</v>
      </c>
      <c r="Z104" s="35" t="n">
        <f aca="false">MIN(g_del_cap*Inputs_Banks!$BB23,Y104)</f>
        <v>40.9075</v>
      </c>
      <c r="AA104" s="35" t="n">
        <f aca="false">MIN(Inputs_Banks!$BB23,V104+Z104)</f>
        <v>40.9075</v>
      </c>
      <c r="AB104" s="35" t="n">
        <f aca="false">$AA104*Holdings!Q23</f>
        <v>0</v>
      </c>
      <c r="AC104" s="35" t="n">
        <f aca="false">$AA104*Holdings!R23</f>
        <v>0</v>
      </c>
      <c r="AD104" s="35" t="n">
        <f aca="false">$AA104*Holdings!S23</f>
        <v>0</v>
      </c>
      <c r="AE104" s="35" t="n">
        <f aca="false">$AA104*Holdings!T23</f>
        <v>0</v>
      </c>
      <c r="AF104" s="35" t="n">
        <f aca="false">$AA104*Holdings!U23</f>
        <v>6.4975</v>
      </c>
      <c r="AG104" s="35" t="n">
        <f aca="false">$AA104*Holdings!V23</f>
        <v>0</v>
      </c>
      <c r="AH104" s="35" t="n">
        <f aca="false">$AA104*Holdings!W23</f>
        <v>2.6375</v>
      </c>
      <c r="AI104" s="35" t="n">
        <f aca="false">$AA104*Holdings!X23</f>
        <v>0</v>
      </c>
      <c r="AJ104" s="35" t="n">
        <f aca="false">$AA104*Holdings!Y23</f>
        <v>0</v>
      </c>
      <c r="AK104" s="35" t="n">
        <f aca="false">$AA104*Holdings!Z23</f>
        <v>0</v>
      </c>
      <c r="AL104" s="35" t="n">
        <f aca="false">$AA104*Holdings!AA23</f>
        <v>31.7725</v>
      </c>
      <c r="AM104" s="35" t="n">
        <f aca="false">$AA104*Holdings!AB23</f>
        <v>0</v>
      </c>
      <c r="AN104" s="35" t="n">
        <f aca="false">$AA104*Holdings!AC23</f>
        <v>0</v>
      </c>
      <c r="AO104" s="43" t="n">
        <f aca="false">MIN(1,$CD$97+0.5*G104)</f>
        <v>1</v>
      </c>
      <c r="AP104" s="35" t="n">
        <f aca="false">p_liq_on*Inputs_Banks!$AP23*AO104*p_mb_psi</f>
        <v>5.856</v>
      </c>
      <c r="AQ104" s="44" t="n">
        <f aca="false">MAX(F104,E104,W104*(1-p_cb_on))</f>
        <v>0</v>
      </c>
      <c r="AR104" s="35" t="n">
        <f aca="false">p_ib_on*p_lgd_ib*g_s_in*g_u_ib*SUMPRODUCT(Network!T$6:T$29,$AQ$87:$AQ$110)</f>
        <v>9.57333551838029</v>
      </c>
      <c r="AS104" s="35" t="n">
        <f aca="false">p_sw_M1*(SUMPRODUCT(BDC_EAD!T$106:T$127,$BF$87:$BF$108)+SUMPRODUCT(BDC_EAD!T$131:T$152,$BG$87:$BG$108)+(Inputs_Banks!$Y23+p_ccf_bl*Inputs_Banks!$Z23)*$CD$110+Modules!$E23)</f>
        <v>11.9173703231754</v>
      </c>
      <c r="AT104" s="35" t="n">
        <f aca="false">p_sw_M3*(Inputs_Banks!$U23+p_ccf_abf*Inputs_Banks!$V23)*$CD$111</f>
        <v>0</v>
      </c>
      <c r="AU104" s="35" t="n">
        <f aca="false">p_sw_M10*Inputs_Banks!$AC23*$CD$112</f>
        <v>0</v>
      </c>
      <c r="AV104" s="35" t="n">
        <f aca="false">p_sw_M8*(Modules!$M23+Modules!$N23*IF(p_liq_on&gt;0,X104,p_htm_forced))</f>
        <v>1.51600832932119</v>
      </c>
      <c r="AW104" s="35" t="n">
        <f aca="false">SUMPRODUCT(Holdings!$C23:$O23,Holdings!$C$32:$O$32,$AB$112:$AN$112)+Inputs_Banks!$P23*$AL$112</f>
        <v>6.94276181715746</v>
      </c>
      <c r="AX104" s="35" t="n">
        <f aca="false">Modules!$T23+AS104+AT104+AU104+AV104+AW104+AR104</f>
        <v>37.4211481641164</v>
      </c>
      <c r="AY104" s="35" t="n">
        <f aca="false">Modules!$U23-(1-p_tax)*AX104</f>
        <v>23.6598018358836</v>
      </c>
      <c r="AZ104" s="39" t="n">
        <f aca="false">AY104/Modules!$V23</f>
        <v>0.0472616971280715</v>
      </c>
      <c r="BA104" s="48" t="s">
        <v>631</v>
      </c>
      <c r="BB104" s="43" t="n">
        <f aca="false">INDEX($BJ$87:$BJ$120,BDC_EAD!$B23)</f>
        <v>0.421663471167733</v>
      </c>
      <c r="BC104" s="43" t="n">
        <f aca="false">INDEX($BK$87:$BK$120,BDC_EAD!$B23)</f>
        <v>0.063979056015234</v>
      </c>
      <c r="BD104" s="22" t="n">
        <f aca="false">INDEX(BDC!$Q$6:$Q$39,BDC_EAD!$B23)</f>
        <v>0.276335078534031</v>
      </c>
      <c r="BE104" s="43" t="n">
        <f aca="false">BB104*(1-$AK$112)-BC104-p_c_liq</f>
        <v>0.117935853127019</v>
      </c>
      <c r="BF104" s="43" t="n">
        <f aca="false">p_phi*MAX(0,p_a_spv-BE104)/p_a_spv+(1-p_phi)*MAX(0,p_a_spv-BB104)/p_a_spv</f>
        <v>0.74474089037834</v>
      </c>
      <c r="BG104" s="43" t="n">
        <f aca="false">IF(BD104&gt;0,p_phi*MAX(0,BD104-BE104)/BD104+(1-p_phi)*MAX(0,BD104-BB104)/BD104,0)</f>
        <v>0.458571459685326</v>
      </c>
      <c r="BI104" s="12" t="str">
        <f aca="false">BDC!$A$23</f>
        <v>MAIN</v>
      </c>
      <c r="BJ104" s="43" t="n">
        <f aca="false">1-((1-BDC!$D$23)*$CD$103+BDC!$D$23*$CD$104)-p_gap-$CD$93*(1-BDC!$M$23)</f>
        <v>0.556417298789294</v>
      </c>
      <c r="BK104" s="43" t="n">
        <f aca="false">(1-BDC!$D$23)*$CD$105+BDC!$D$23*$CD$106</f>
        <v>0.0671461831766286</v>
      </c>
      <c r="BL104" s="45" t="n">
        <f aca="false">BJ104/BDC!$K$23</f>
        <v>1.25193892227591</v>
      </c>
      <c r="BM104" s="35" t="n">
        <f aca="false">IF(BL104&lt;1.5,BDC!$C$23,0)</f>
        <v>5.75</v>
      </c>
      <c r="BN104" s="43" t="n">
        <f aca="false">MAX(0,1-BJ104*(1-CE_mig_hc)-p_bb_cush)*BDC!$Q$23</f>
        <v>0.050065278117532</v>
      </c>
      <c r="BO104" s="43" t="n">
        <f aca="false">MAX(0,BDC!$K$23-BJ104/1.5)</f>
        <v>0.0734995785849151</v>
      </c>
      <c r="BP104" s="43" t="n">
        <f aca="false">MIN(MIN(1,BDC!$H$23*$CD$96),$CD$95)</f>
        <v>0</v>
      </c>
      <c r="BQ104" s="43" t="n">
        <f aca="false">BDC!$I$23*BDC!$J$23*BP104*(1-0.3)</f>
        <v>0</v>
      </c>
      <c r="BR104" s="45" t="n">
        <f aca="false">BDC!$C$23*($CD$94*MAX(BN104,BO104)+BQ104)</f>
        <v>0.422622576863262</v>
      </c>
      <c r="CC104" s="10" t="s">
        <v>989</v>
      </c>
      <c r="CD104" s="43" t="n">
        <f aca="false">$CD$102*p_lgd_sw-CE_PDb*g_lgd_sw_b</f>
        <v>0.556662359955042</v>
      </c>
    </row>
    <row r="105" customFormat="false" ht="15" hidden="false" customHeight="true" outlineLevel="0" collapsed="false">
      <c r="A105" s="10" t="s">
        <v>534</v>
      </c>
      <c r="B105" s="35" t="n">
        <f aca="false">AY65</f>
        <v>47.9889882999412</v>
      </c>
      <c r="C105" s="39" t="n">
        <f aca="false">AZ65</f>
        <v>0.0881806874893263</v>
      </c>
      <c r="D105" s="44" t="n">
        <f aca="false">IF(C105&lt;Inputs_Banks!$I24,1,0)</f>
        <v>1</v>
      </c>
      <c r="E105" s="44" t="n">
        <f aca="false">IF(C105&lt;0.045,1,0)</f>
        <v>0</v>
      </c>
      <c r="F105" s="44" t="n">
        <f aca="false">IF(B105&lt;0,1,0)</f>
        <v>0</v>
      </c>
      <c r="G105" s="44" t="n">
        <f aca="false">MIN(6,MIN(3,INT(MAX(0,Inputs_Banks!$BA24-C105)/p_notch_step))+D105+2*E105)</f>
        <v>3</v>
      </c>
      <c r="H105" s="39" t="n">
        <f aca="false">C105-Inputs_Banks!$I24</f>
        <v>-0.0201193125106737</v>
      </c>
      <c r="I105" s="44" t="n">
        <f aca="false">RANK(H105,$H$87:$H$110,1)</f>
        <v>20</v>
      </c>
      <c r="J105" s="44" t="n">
        <f aca="false">MAX(IF(I105&lt;=g_n_weak,1,0),E105)</f>
        <v>0</v>
      </c>
      <c r="K105" s="44" t="n">
        <f aca="false">IF(I105&gt;12,1,0)*(1-E105)</f>
        <v>1</v>
      </c>
      <c r="L105" s="35" t="n">
        <f aca="false">INDEX(Inputs_Banks!$AR24:$AX24,1,G105+1)</f>
        <v>1.0254</v>
      </c>
      <c r="M105" s="35" t="n">
        <f aca="false">Inputs_Banks!$AI24*MIN(1,p_u_base+$CD$90*p_u_pan_all+J105*($CD$90*p_u_pan_weak+p_u_mda*D105)+p_u_notch*G105+p_u_fail*E105)</f>
        <v>98.681085</v>
      </c>
      <c r="N105" s="35" t="n">
        <f aca="false">Inputs_Banks!$AK24*MIN(1,p_w_base+p_w_pan*$CD$90+p_w_notch*G105+0.5*D105+1*E105)</f>
        <v>44.031</v>
      </c>
      <c r="O105" s="35" t="n">
        <f aca="false">Inputs_Banks!$AO24*MIN(1,p_cp_base+p_cp_pan*$CD$90+p_cp_notch*G105)</f>
        <v>6.29</v>
      </c>
      <c r="P105" s="35" t="n">
        <f aca="false">Inputs_Banks!$AN24*(p_dh+p_dh_pan*$CD$90+MIN(1,0.5*$CD$97+0.25*G105))</f>
        <v>21.26696</v>
      </c>
      <c r="Q105" s="35" t="n">
        <f aca="false">Modules!$Y24</f>
        <v>0.730916</v>
      </c>
      <c r="R105" s="35" t="n">
        <f aca="false">Inputs_Banks!$AJ24*K105</f>
        <v>812.19</v>
      </c>
      <c r="S105" s="35" t="n">
        <f aca="false">p_liq_on*$CD$98*SUM($M$87:$M$110)*R105/MAX(0.000000001,SUM($R$87:$R$110))</f>
        <v>123.121318509477</v>
      </c>
      <c r="T105" s="35" t="n">
        <f aca="false">p_liq_on*(L105+M105+N105+O105+P105+Q105)</f>
        <v>172.025361</v>
      </c>
      <c r="U105" s="35" t="n">
        <f aca="false">g_usable*Inputs_Banks!$AG24+p_cb_on*Inputs_Banks!$AQ24+S105</f>
        <v>499.101318509477</v>
      </c>
      <c r="V105" s="35" t="n">
        <f aca="false">MAX(0,T105-U105)</f>
        <v>0</v>
      </c>
      <c r="W105" s="44" t="n">
        <f aca="false">IF(V105&gt;0.9*Inputs_Banks!$BB24,1,0)</f>
        <v>0</v>
      </c>
      <c r="X105" s="43" t="n">
        <f aca="false">MAX(p_htm_forced,(1-p_cb_on)*MIN(1,T105/Inputs_Banks!$AG24)*g_theta_sell)</f>
        <v>0.125823113662961</v>
      </c>
      <c r="Y105" s="35" t="n">
        <f aca="false">MAX(0,Modules!$V24-B105/(Inputs_Banks!$I24+g_del_buf))</f>
        <v>120.6551747578</v>
      </c>
      <c r="Z105" s="35" t="n">
        <f aca="false">MIN(g_del_cap*Inputs_Banks!$BB24,Y105)</f>
        <v>63.9425</v>
      </c>
      <c r="AA105" s="35" t="n">
        <f aca="false">MIN(Inputs_Banks!$BB24,V105+Z105)</f>
        <v>63.9425</v>
      </c>
      <c r="AB105" s="35" t="n">
        <f aca="false">$AA105*Holdings!Q24</f>
        <v>0</v>
      </c>
      <c r="AC105" s="35" t="n">
        <f aca="false">$AA105*Holdings!R24</f>
        <v>0</v>
      </c>
      <c r="AD105" s="35" t="n">
        <f aca="false">$AA105*Holdings!S24</f>
        <v>0</v>
      </c>
      <c r="AE105" s="35" t="n">
        <f aca="false">$AA105*Holdings!T24</f>
        <v>0</v>
      </c>
      <c r="AF105" s="35" t="n">
        <f aca="false">$AA105*Holdings!U24</f>
        <v>10.3475</v>
      </c>
      <c r="AG105" s="35" t="n">
        <f aca="false">$AA105*Holdings!V24</f>
        <v>0</v>
      </c>
      <c r="AH105" s="35" t="n">
        <f aca="false">$AA105*Holdings!W24</f>
        <v>0.915</v>
      </c>
      <c r="AI105" s="35" t="n">
        <f aca="false">$AA105*Holdings!X24</f>
        <v>0</v>
      </c>
      <c r="AJ105" s="35" t="n">
        <f aca="false">$AA105*Holdings!Y24</f>
        <v>0.535</v>
      </c>
      <c r="AK105" s="35" t="n">
        <f aca="false">$AA105*Holdings!Z24</f>
        <v>0</v>
      </c>
      <c r="AL105" s="35" t="n">
        <f aca="false">$AA105*Holdings!AA24</f>
        <v>32.3075</v>
      </c>
      <c r="AM105" s="35" t="n">
        <f aca="false">$AA105*Holdings!AB24</f>
        <v>0</v>
      </c>
      <c r="AN105" s="35" t="n">
        <f aca="false">$AA105*Holdings!AC24</f>
        <v>19.8375</v>
      </c>
      <c r="AO105" s="43" t="n">
        <f aca="false">MIN(1,$CD$97+0.5*G105)</f>
        <v>1</v>
      </c>
      <c r="AP105" s="35" t="n">
        <f aca="false">p_liq_on*Inputs_Banks!$AP24*AO105*p_mb_psi</f>
        <v>0.18</v>
      </c>
      <c r="AQ105" s="44" t="n">
        <f aca="false">MAX(F105,E105,W105*(1-p_cb_on))</f>
        <v>0</v>
      </c>
      <c r="AR105" s="35" t="n">
        <f aca="false">p_ib_on*p_lgd_ib*g_s_in*g_u_ib*SUMPRODUCT(Network!U$6:U$29,$AQ$87:$AQ$110)</f>
        <v>10.91666863851</v>
      </c>
      <c r="AS105" s="35" t="n">
        <f aca="false">p_sw_M1*(SUMPRODUCT(BDC_EAD!U$106:U$127,$BF$87:$BF$108)+SUMPRODUCT(BDC_EAD!U$131:U$152,$BG$87:$BG$108)+(Inputs_Banks!$Y24+p_ccf_bl*Inputs_Banks!$Z24)*$CD$110+Modules!$E24)</f>
        <v>0.0607767881736133</v>
      </c>
      <c r="AT105" s="35" t="n">
        <f aca="false">p_sw_M3*(Inputs_Banks!$U24+p_ccf_abf*Inputs_Banks!$V24)*$CD$111</f>
        <v>0</v>
      </c>
      <c r="AU105" s="35" t="n">
        <f aca="false">p_sw_M10*Inputs_Banks!$AC24*$CD$112</f>
        <v>0</v>
      </c>
      <c r="AV105" s="35" t="n">
        <f aca="false">p_sw_M8*(Modules!$M24+Modules!$N24*IF(p_liq_on&gt;0,X105,p_htm_forced))</f>
        <v>0.542714787401624</v>
      </c>
      <c r="AW105" s="35" t="n">
        <f aca="false">SUMPRODUCT(Holdings!$C24:$O24,Holdings!$C$32:$O$32,$AB$112:$AN$112)+Inputs_Banks!$P24*$AL$112</f>
        <v>7.60623973690638</v>
      </c>
      <c r="AX105" s="35" t="n">
        <f aca="false">Modules!$T24+AS105+AT105+AU105+AV105+AW105+AR105</f>
        <v>29.2789027486616</v>
      </c>
      <c r="AY105" s="35" t="n">
        <f aca="false">Modules!$U24-(1-p_tax)*AX105</f>
        <v>43.1850972513385</v>
      </c>
      <c r="AZ105" s="39" t="n">
        <f aca="false">AY105/Modules!$V24</f>
        <v>0.0793534454428393</v>
      </c>
      <c r="BA105" s="48" t="s">
        <v>655</v>
      </c>
      <c r="BB105" s="43" t="n">
        <f aca="false">INDEX($BJ$87:$BJ$120,BDC_EAD!$B24)</f>
        <v>0.392098725301358</v>
      </c>
      <c r="BC105" s="43" t="n">
        <f aca="false">INDEX($BK$87:$BK$120,BDC_EAD!$B24)</f>
        <v>0.0620042590793056</v>
      </c>
      <c r="BD105" s="22" t="n">
        <f aca="false">INDEX(BDC!$Q$6:$Q$39,BDC_EAD!$B24)</f>
        <v>0.254901960784314</v>
      </c>
      <c r="BE105" s="43" t="n">
        <f aca="false">BB105*(1-$AK$112)-BC105-p_c_liq</f>
        <v>0.103650039836441</v>
      </c>
      <c r="BF105" s="43" t="n">
        <f aca="false">p_phi*MAX(0,p_a_spv-BE105)/p_a_spv+(1-p_phi)*MAX(0,p_a_spv-BB105)/p_a_spv</f>
        <v>0.769514604386537</v>
      </c>
      <c r="BG105" s="43" t="n">
        <f aca="false">IF(BD105&gt;0,p_phi*MAX(0,BD105-BE105)/BD105+(1-p_phi)*MAX(0,BD105-BB105)/BD105,0)</f>
        <v>0.474698336513323</v>
      </c>
      <c r="BI105" s="12" t="str">
        <f aca="false">BDC!$A$24</f>
        <v>OTIC</v>
      </c>
      <c r="BJ105" s="43" t="n">
        <f aca="false">1-((1-BDC!$D$24)*$CD$103+BDC!$D$24*$CD$104)-p_gap-$CD$93*(1-BDC!$M$24)</f>
        <v>0.384840432143422</v>
      </c>
      <c r="BK105" s="43" t="n">
        <f aca="false">(1-BDC!$D$24)*$CD$105+BDC!$D$24*$CD$106</f>
        <v>0.0578683636097197</v>
      </c>
      <c r="BL105" s="45" t="n">
        <f aca="false">BJ105/BDC!$K$24</f>
        <v>0.832329306728796</v>
      </c>
      <c r="BM105" s="35" t="n">
        <f aca="false">IF(BL105&lt;1.5,BDC!$C$24,0)</f>
        <v>5.06</v>
      </c>
      <c r="BN105" s="43" t="n">
        <f aca="false">MAX(0,1-BJ105*(1-CE_mig_hc)-p_bb_cush)*BDC!$Q$24</f>
        <v>0.270936849243253</v>
      </c>
      <c r="BO105" s="43" t="n">
        <f aca="false">MAX(0,BDC!$K$24-BJ105/1.5)</f>
        <v>0.205805303302235</v>
      </c>
      <c r="BP105" s="43" t="n">
        <f aca="false">MIN(MIN(1,BDC!$H$24*$CD$96),$CD$95)</f>
        <v>0.25</v>
      </c>
      <c r="BQ105" s="43" t="n">
        <f aca="false">BDC!$I$24*BDC!$J$24*BP105*(1-0.3)</f>
        <v>0.0940860215053763</v>
      </c>
      <c r="BR105" s="45" t="n">
        <f aca="false">BDC!$C$24*($CD$94*MAX(BN105,BO105)+BQ105)</f>
        <v>1.84701572598807</v>
      </c>
      <c r="CC105" s="10" t="s">
        <v>990</v>
      </c>
      <c r="CD105" s="43" t="n">
        <f aca="false">(1-$CD$101)*$CD$92/10000*g_dur_s</f>
        <v>0.0690464594734653</v>
      </c>
    </row>
    <row r="106" customFormat="false" ht="15" hidden="false" customHeight="true" outlineLevel="0" collapsed="false">
      <c r="A106" s="10" t="s">
        <v>535</v>
      </c>
      <c r="B106" s="35" t="n">
        <f aca="false">AY66</f>
        <v>7.21933176375832</v>
      </c>
      <c r="C106" s="39" t="n">
        <f aca="false">AZ66</f>
        <v>0.00869437901161154</v>
      </c>
      <c r="D106" s="44" t="n">
        <f aca="false">IF(C106&lt;Inputs_Banks!$I25,1,0)</f>
        <v>1</v>
      </c>
      <c r="E106" s="44" t="n">
        <f aca="false">IF(C106&lt;0.045,1,0)</f>
        <v>1</v>
      </c>
      <c r="F106" s="44" t="n">
        <f aca="false">IF(B106&lt;0,1,0)</f>
        <v>0</v>
      </c>
      <c r="G106" s="44" t="n">
        <f aca="false">MIN(6,MIN(3,INT(MAX(0,Inputs_Banks!$BA25-C106)/p_notch_step))+D106+2*E106)</f>
        <v>6</v>
      </c>
      <c r="H106" s="39" t="n">
        <f aca="false">C106-Inputs_Banks!$I25</f>
        <v>-0.0782056209883885</v>
      </c>
      <c r="I106" s="44" t="n">
        <f aca="false">RANK(H106,$H$87:$H$110,1)</f>
        <v>7</v>
      </c>
      <c r="J106" s="44" t="n">
        <f aca="false">MAX(IF(I106&lt;=g_n_weak,1,0),E106)</f>
        <v>1</v>
      </c>
      <c r="K106" s="44" t="n">
        <f aca="false">IF(I106&gt;12,1,0)*(1-E106)</f>
        <v>0</v>
      </c>
      <c r="L106" s="35" t="n">
        <f aca="false">INDEX(Inputs_Banks!$AR25:$AX25,1,G106+1)</f>
        <v>0.817907877744296</v>
      </c>
      <c r="M106" s="35" t="n">
        <f aca="false">Inputs_Banks!$AI25*MIN(1,p_u_base+$CD$90*p_u_pan_all+J106*($CD$90*p_u_pan_weak+p_u_mda*D106)+p_u_notch*G106+p_u_fail*E106)</f>
        <v>715.108384601193</v>
      </c>
      <c r="N106" s="35" t="n">
        <f aca="false">Inputs_Banks!$AK25*MIN(1,p_w_base+p_w_pan*$CD$90+p_w_notch*G106+0.5*D106+1*E106)</f>
        <v>111.414716192116</v>
      </c>
      <c r="O106" s="35" t="n">
        <f aca="false">Inputs_Banks!$AO25*MIN(1,p_cp_base+p_cp_pan*$CD$90+p_cp_notch*G106)</f>
        <v>32.9</v>
      </c>
      <c r="P106" s="35" t="n">
        <f aca="false">Inputs_Banks!$AN25*(p_dh+p_dh_pan*$CD$90+MIN(1,0.5*$CD$97+0.25*G106))</f>
        <v>76.0290509481086</v>
      </c>
      <c r="Q106" s="35" t="n">
        <f aca="false">Modules!$Y25</f>
        <v>21.0243399144764</v>
      </c>
      <c r="R106" s="35" t="n">
        <f aca="false">Inputs_Banks!$AJ25*K106</f>
        <v>0</v>
      </c>
      <c r="S106" s="35" t="n">
        <f aca="false">p_liq_on*$CD$98*SUM($M$87:$M$110)*R106/MAX(0.000000001,SUM($R$87:$R$110))</f>
        <v>0</v>
      </c>
      <c r="T106" s="35" t="n">
        <f aca="false">p_liq_on*(L106+M106+N106+O106+P106+Q106)</f>
        <v>957.294399533638</v>
      </c>
      <c r="U106" s="35" t="n">
        <f aca="false">g_usable*Inputs_Banks!$AG25+p_cb_on*Inputs_Banks!$AQ25+S106</f>
        <v>834.979565832359</v>
      </c>
      <c r="V106" s="35" t="n">
        <f aca="false">MAX(0,T106-U106)</f>
        <v>122.314833701279</v>
      </c>
      <c r="W106" s="44" t="n">
        <f aca="false">IF(V106&gt;0.9*Inputs_Banks!$BB25,1,0)</f>
        <v>0</v>
      </c>
      <c r="X106" s="43" t="n">
        <f aca="false">MAX(p_htm_forced,(1-p_cb_on)*MIN(1,T106/Inputs_Banks!$AG25)*g_theta_sell)</f>
        <v>0.25</v>
      </c>
      <c r="Y106" s="35" t="n">
        <f aca="false">MAX(0,Modules!$V25-B106/(Inputs_Banks!$I25+g_del_buf))</f>
        <v>751.788341839632</v>
      </c>
      <c r="Z106" s="35" t="n">
        <f aca="false">MIN(g_del_cap*Inputs_Banks!$BB25,Y106)</f>
        <v>34.975</v>
      </c>
      <c r="AA106" s="35" t="n">
        <f aca="false">MIN(Inputs_Banks!$BB25,V106+Z106)</f>
        <v>139.9</v>
      </c>
      <c r="AB106" s="35" t="n">
        <f aca="false">$AA106*Holdings!Q25</f>
        <v>0</v>
      </c>
      <c r="AC106" s="35" t="n">
        <f aca="false">$AA106*Holdings!R25</f>
        <v>0</v>
      </c>
      <c r="AD106" s="35" t="n">
        <f aca="false">$AA106*Holdings!S25</f>
        <v>0</v>
      </c>
      <c r="AE106" s="35" t="n">
        <f aca="false">$AA106*Holdings!T25</f>
        <v>0</v>
      </c>
      <c r="AF106" s="35" t="n">
        <f aca="false">$AA106*Holdings!U25</f>
        <v>24.89</v>
      </c>
      <c r="AG106" s="35" t="n">
        <f aca="false">$AA106*Holdings!V25</f>
        <v>0</v>
      </c>
      <c r="AH106" s="35" t="n">
        <f aca="false">$AA106*Holdings!W25</f>
        <v>0</v>
      </c>
      <c r="AI106" s="35" t="n">
        <f aca="false">$AA106*Holdings!X25</f>
        <v>42.43</v>
      </c>
      <c r="AJ106" s="35" t="n">
        <f aca="false">$AA106*Holdings!Y25</f>
        <v>0</v>
      </c>
      <c r="AK106" s="35" t="n">
        <f aca="false">$AA106*Holdings!Z25</f>
        <v>0</v>
      </c>
      <c r="AL106" s="35" t="n">
        <f aca="false">$AA106*Holdings!AA25</f>
        <v>33.46</v>
      </c>
      <c r="AM106" s="35" t="n">
        <f aca="false">$AA106*Holdings!AB25</f>
        <v>0</v>
      </c>
      <c r="AN106" s="35" t="n">
        <f aca="false">$AA106*Holdings!AC25</f>
        <v>39.12</v>
      </c>
      <c r="AO106" s="43" t="n">
        <f aca="false">MIN(1,$CD$97+0.5*G106)</f>
        <v>1</v>
      </c>
      <c r="AP106" s="35" t="n">
        <f aca="false">p_liq_on*Inputs_Banks!$AP25*AO106*p_mb_psi</f>
        <v>1.674</v>
      </c>
      <c r="AQ106" s="44" t="n">
        <f aca="false">MAX(F106,E106,W106*(1-p_cb_on))</f>
        <v>1</v>
      </c>
      <c r="AR106" s="35" t="n">
        <f aca="false">p_ib_on*p_lgd_ib*g_s_in*g_u_ib*SUMPRODUCT(Network!V$6:V$29,$AQ$87:$AQ$110)</f>
        <v>9.81310841621088</v>
      </c>
      <c r="AS106" s="35" t="n">
        <f aca="false">p_sw_M1*(SUMPRODUCT(BDC_EAD!V$106:V$127,$BF$87:$BF$108)+SUMPRODUCT(BDC_EAD!V$131:V$152,$BG$87:$BG$108)+(Inputs_Banks!$Y25+p_ccf_bl*Inputs_Banks!$Z25)*$CD$110+Modules!$E25)</f>
        <v>28.8226410800686</v>
      </c>
      <c r="AT106" s="35" t="n">
        <f aca="false">p_sw_M3*(Inputs_Banks!$U25+p_ccf_abf*Inputs_Banks!$V25)*$CD$111</f>
        <v>0</v>
      </c>
      <c r="AU106" s="35" t="n">
        <f aca="false">p_sw_M10*Inputs_Banks!$AC25*$CD$112</f>
        <v>0</v>
      </c>
      <c r="AV106" s="35" t="n">
        <f aca="false">p_sw_M8*(Modules!$M25+Modules!$N25*IF(p_liq_on&gt;0,X106,p_htm_forced))</f>
        <v>7.68041297429432</v>
      </c>
      <c r="AW106" s="35" t="n">
        <f aca="false">SUMPRODUCT(Holdings!$C25:$O25,Holdings!$C$32:$O$32,$AB$112:$AN$112)+Inputs_Banks!$P25*$AL$112</f>
        <v>22.2442070071431</v>
      </c>
      <c r="AX106" s="35" t="n">
        <f aca="false">Modules!$T25+AS106+AT106+AU106+AV106+AW106+AR106</f>
        <v>97.3022906701138</v>
      </c>
      <c r="AY106" s="35" t="n">
        <f aca="false">Modules!$U25-(1-p_tax)*AX106</f>
        <v>2.33549298402799</v>
      </c>
      <c r="AZ106" s="39" t="n">
        <f aca="false">AY106/Modules!$V25</f>
        <v>0.00281267876952756</v>
      </c>
      <c r="BA106" s="48" t="s">
        <v>645</v>
      </c>
      <c r="BB106" s="43" t="n">
        <f aca="false">INDEX($BJ$87:$BJ$120,BDC_EAD!$B25)</f>
        <v>0.413355834314687</v>
      </c>
      <c r="BC106" s="43" t="n">
        <f aca="false">INDEX($BK$87:$BK$120,BDC_EAD!$B25)</f>
        <v>0.0626004241920387</v>
      </c>
      <c r="BD106" s="22" t="n">
        <f aca="false">INDEX(BDC!$Q$6:$Q$39,BDC_EAD!$B25)</f>
        <v>0.212552795031056</v>
      </c>
      <c r="BE106" s="43" t="n">
        <f aca="false">BB106*(1-$AK$112)-BC106-p_c_liq</f>
        <v>0.114745284681039</v>
      </c>
      <c r="BF106" s="43" t="n">
        <f aca="false">p_phi*MAX(0,p_a_spv-BE106)/p_a_spv+(1-p_phi)*MAX(0,p_a_spv-BB106)/p_a_spv</f>
        <v>0.750760864846045</v>
      </c>
      <c r="BG106" s="43" t="n">
        <f aca="false">IF(BD106&gt;0,p_phi*MAX(0,BD106-BE106)/BD106+(1-p_phi)*MAX(0,BD106-BB106)/BD106,0)</f>
        <v>0.368125049913274</v>
      </c>
      <c r="BI106" s="12" t="str">
        <f aca="false">BDC!$A$25</f>
        <v>ASCF</v>
      </c>
      <c r="BJ106" s="43" t="n">
        <f aca="false">1-((1-BDC!$D$25)*$CD$103+BDC!$D$25*$CD$104)-p_gap-$CD$93*(1-BDC!$M$25)</f>
        <v>0.410212404154075</v>
      </c>
      <c r="BK106" s="43" t="n">
        <f aca="false">(1-BDC!$D$25)*$CD$105+BDC!$D$25*$CD$106</f>
        <v>0.0620787797183972</v>
      </c>
      <c r="BL106" s="45" t="n">
        <f aca="false">BJ106/BDC!$K$25</f>
        <v>0.760821296593456</v>
      </c>
      <c r="BM106" s="35" t="n">
        <f aca="false">IF(BL106&lt;1.5,BDC!$C$25,0)</f>
        <v>4.62</v>
      </c>
      <c r="BN106" s="43" t="n">
        <f aca="false">MAX(0,1-BJ106*(1-CE_mig_hc)-p_bb_cush)*BDC!$Q$25</f>
        <v>0.164799096707034</v>
      </c>
      <c r="BO106" s="43" t="n">
        <f aca="false">MAX(0,BDC!$K$25-BJ106/1.5)</f>
        <v>0.265695570809726</v>
      </c>
      <c r="BP106" s="43" t="n">
        <f aca="false">MIN(MIN(1,BDC!$H$25*$CD$96),$CD$95)</f>
        <v>0.25</v>
      </c>
      <c r="BQ106" s="43" t="n">
        <f aca="false">BDC!$I$25*BDC!$J$25*BP106*(1-0.3)</f>
        <v>0.0806451612903226</v>
      </c>
      <c r="BR106" s="45" t="n">
        <f aca="false">BDC!$C$25*($CD$94*MAX(BN106,BO106)+BQ106)</f>
        <v>1.60009418230222</v>
      </c>
      <c r="CC106" s="10" t="s">
        <v>991</v>
      </c>
      <c r="CD106" s="43" t="n">
        <f aca="false">(1-$CD$102)*($CD$92+p_ds_sw)/10000*g_dur_s</f>
        <v>0.0317861399276465</v>
      </c>
    </row>
    <row r="107" customFormat="false" ht="15" hidden="false" customHeight="true" outlineLevel="0" collapsed="false">
      <c r="A107" s="10" t="s">
        <v>537</v>
      </c>
      <c r="B107" s="35" t="n">
        <f aca="false">AY67</f>
        <v>36.7311237764975</v>
      </c>
      <c r="C107" s="39" t="n">
        <f aca="false">AZ67</f>
        <v>0.0541516921804985</v>
      </c>
      <c r="D107" s="44" t="n">
        <f aca="false">IF(C107&lt;Inputs_Banks!$I26,1,0)</f>
        <v>1</v>
      </c>
      <c r="E107" s="44" t="n">
        <f aca="false">IF(C107&lt;0.045,1,0)</f>
        <v>0</v>
      </c>
      <c r="F107" s="44" t="n">
        <f aca="false">IF(B107&lt;0,1,0)</f>
        <v>0</v>
      </c>
      <c r="G107" s="44" t="n">
        <f aca="false">MIN(6,MIN(3,INT(MAX(0,Inputs_Banks!$BA26-C107)/p_notch_step))+D107+2*E107)</f>
        <v>3</v>
      </c>
      <c r="H107" s="39" t="n">
        <f aca="false">C107-Inputs_Banks!$I26</f>
        <v>-0.0275483078195015</v>
      </c>
      <c r="I107" s="44" t="n">
        <f aca="false">RANK(H107,$H$87:$H$110,1)</f>
        <v>19</v>
      </c>
      <c r="J107" s="44" t="n">
        <f aca="false">MAX(IF(I107&lt;=g_n_weak,1,0),E107)</f>
        <v>0</v>
      </c>
      <c r="K107" s="44" t="n">
        <f aca="false">IF(I107&gt;12,1,0)*(1-E107)</f>
        <v>1</v>
      </c>
      <c r="L107" s="35" t="n">
        <f aca="false">INDEX(Inputs_Banks!$AR26:$AX26,1,G107+1)</f>
        <v>1.79246804624562</v>
      </c>
      <c r="M107" s="35" t="n">
        <f aca="false">Inputs_Banks!$AI26*MIN(1,p_u_base+$CD$90*p_u_pan_all+J107*($CD$90*p_u_pan_weak+p_u_mda*D107)+p_u_notch*G107+p_u_fail*E107)</f>
        <v>156.430463378636</v>
      </c>
      <c r="N107" s="35" t="n">
        <f aca="false">Inputs_Banks!$AK26*MIN(1,p_w_base+p_w_pan*$CD$90+p_w_notch*G107+0.5*D107+1*E107)</f>
        <v>142.213430908308</v>
      </c>
      <c r="O107" s="35" t="n">
        <f aca="false">Inputs_Banks!$AO26*MIN(1,p_cp_base+p_cp_pan*$CD$90+p_cp_notch*G107)</f>
        <v>24.02</v>
      </c>
      <c r="P107" s="35" t="n">
        <f aca="false">Inputs_Banks!$AN26*(p_dh+p_dh_pan*$CD$90+MIN(1,0.5*$CD$97+0.25*G107))</f>
        <v>30.3571427289411</v>
      </c>
      <c r="Q107" s="35" t="n">
        <f aca="false">Modules!$Y26</f>
        <v>5.08130839142734</v>
      </c>
      <c r="R107" s="35" t="n">
        <f aca="false">Inputs_Banks!$AJ26*K107</f>
        <v>1241.80817292909</v>
      </c>
      <c r="S107" s="35" t="n">
        <f aca="false">p_liq_on*$CD$98*SUM($M$87:$M$110)*R107/MAX(0.000000001,SUM($R$87:$R$110))</f>
        <v>188.247897150758</v>
      </c>
      <c r="T107" s="35" t="n">
        <f aca="false">p_liq_on*(L107+M107+N107+O107+P107+Q107)</f>
        <v>359.894813453558</v>
      </c>
      <c r="U107" s="35" t="n">
        <f aca="false">g_usable*Inputs_Banks!$AG26+p_cb_on*Inputs_Banks!$AQ26+S107</f>
        <v>845.486180774152</v>
      </c>
      <c r="V107" s="35" t="n">
        <f aca="false">MAX(0,T107-U107)</f>
        <v>0</v>
      </c>
      <c r="W107" s="44" t="n">
        <f aca="false">IF(V107&gt;0.9*Inputs_Banks!$BB26,1,0)</f>
        <v>0</v>
      </c>
      <c r="X107" s="43" t="n">
        <f aca="false">MAX(p_htm_forced,(1-p_cb_on)*MIN(1,T107/Inputs_Banks!$AG26)*g_theta_sell)</f>
        <v>0.150586288361194</v>
      </c>
      <c r="Y107" s="35" t="n">
        <f aca="false">MAX(0,Modules!$V26-B107/(Inputs_Banks!$I26+g_del_buf))</f>
        <v>254.642858235454</v>
      </c>
      <c r="Z107" s="35" t="n">
        <f aca="false">MIN(g_del_cap*Inputs_Banks!$BB26,Y107)</f>
        <v>9.4025</v>
      </c>
      <c r="AA107" s="35" t="n">
        <f aca="false">MIN(Inputs_Banks!$BB26,V107+Z107)</f>
        <v>9.4025</v>
      </c>
      <c r="AB107" s="35" t="n">
        <f aca="false">$AA107*Holdings!Q26</f>
        <v>0</v>
      </c>
      <c r="AC107" s="35" t="n">
        <f aca="false">$AA107*Holdings!R26</f>
        <v>0</v>
      </c>
      <c r="AD107" s="35" t="n">
        <f aca="false">$AA107*Holdings!S26</f>
        <v>0</v>
      </c>
      <c r="AE107" s="35" t="n">
        <f aca="false">$AA107*Holdings!T26</f>
        <v>0</v>
      </c>
      <c r="AF107" s="35" t="n">
        <f aca="false">$AA107*Holdings!U26</f>
        <v>0.78</v>
      </c>
      <c r="AG107" s="35" t="n">
        <f aca="false">$AA107*Holdings!V26</f>
        <v>0</v>
      </c>
      <c r="AH107" s="35" t="n">
        <f aca="false">$AA107*Holdings!W26</f>
        <v>0</v>
      </c>
      <c r="AI107" s="35" t="n">
        <f aca="false">$AA107*Holdings!X26</f>
        <v>0</v>
      </c>
      <c r="AJ107" s="35" t="n">
        <f aca="false">$AA107*Holdings!Y26</f>
        <v>0</v>
      </c>
      <c r="AK107" s="35" t="n">
        <f aca="false">$AA107*Holdings!Z26</f>
        <v>0</v>
      </c>
      <c r="AL107" s="35" t="n">
        <f aca="false">$AA107*Holdings!AA26</f>
        <v>0.6375</v>
      </c>
      <c r="AM107" s="35" t="n">
        <f aca="false">$AA107*Holdings!AB26</f>
        <v>0</v>
      </c>
      <c r="AN107" s="35" t="n">
        <f aca="false">$AA107*Holdings!AC26</f>
        <v>7.985</v>
      </c>
      <c r="AO107" s="43" t="n">
        <f aca="false">MIN(1,$CD$97+0.5*G107)</f>
        <v>1</v>
      </c>
      <c r="AP107" s="35" t="n">
        <f aca="false">p_liq_on*Inputs_Banks!$AP26*AO107*p_mb_psi</f>
        <v>0.468</v>
      </c>
      <c r="AQ107" s="44" t="n">
        <f aca="false">MAX(F107,E107,W107*(1-p_cb_on))</f>
        <v>0</v>
      </c>
      <c r="AR107" s="35" t="n">
        <f aca="false">p_ib_on*p_lgd_ib*g_s_in*g_u_ib*SUMPRODUCT(Network!W$6:W$29,$AQ$87:$AQ$110)</f>
        <v>12.0727499706953</v>
      </c>
      <c r="AS107" s="35" t="n">
        <f aca="false">p_sw_M1*(SUMPRODUCT(BDC_EAD!W$106:W$127,$BF$87:$BF$108)+SUMPRODUCT(BDC_EAD!W$131:W$152,$BG$87:$BG$108)+(Inputs_Banks!$Y26+p_ccf_bl*Inputs_Banks!$Z26)*$CD$110+Modules!$E26)</f>
        <v>7.70107823629907</v>
      </c>
      <c r="AT107" s="35" t="n">
        <f aca="false">p_sw_M3*(Inputs_Banks!$U26+p_ccf_abf*Inputs_Banks!$V26)*$CD$111</f>
        <v>0</v>
      </c>
      <c r="AU107" s="35" t="n">
        <f aca="false">p_sw_M10*Inputs_Banks!$AC26*$CD$112</f>
        <v>0</v>
      </c>
      <c r="AV107" s="35" t="n">
        <f aca="false">p_sw_M8*(Modules!$M26+Modules!$N26*IF(p_liq_on&gt;0,X107,p_htm_forced))</f>
        <v>2.16977183718659</v>
      </c>
      <c r="AW107" s="35" t="n">
        <f aca="false">SUMPRODUCT(Holdings!$C26:$O26,Holdings!$C$32:$O$32,$AB$112:$AN$112)+Inputs_Banks!$P26*$AL$112</f>
        <v>9.89885423453589</v>
      </c>
      <c r="AX107" s="35" t="n">
        <f aca="false">Modules!$T26+AS107+AT107+AU107+AV107+AW107+AR107</f>
        <v>47.8230375561924</v>
      </c>
      <c r="AY107" s="35" t="n">
        <f aca="false">Modules!$U26-(1-p_tax)*AX107</f>
        <v>31.5148936903485</v>
      </c>
      <c r="AZ107" s="39" t="n">
        <f aca="false">AY107/Modules!$V26</f>
        <v>0.0464615466873585</v>
      </c>
      <c r="BA107" s="48" t="s">
        <v>639</v>
      </c>
      <c r="BB107" s="43" t="n">
        <f aca="false">INDEX($BJ$87:$BJ$120,BDC_EAD!$B26)</f>
        <v>0.261914595446638</v>
      </c>
      <c r="BC107" s="43" t="n">
        <f aca="false">INDEX($BK$87:$BK$120,BDC_EAD!$B26)</f>
        <v>0.0568250746624368</v>
      </c>
      <c r="BD107" s="22" t="n">
        <f aca="false">INDEX(BDC!$Q$6:$Q$39,BDC_EAD!$B26)</f>
        <v>0.310820512820513</v>
      </c>
      <c r="BE107" s="43" t="n">
        <f aca="false">BB107*(1-$AK$112)-BC107-p_c_liq</f>
        <v>0.0372279528332139</v>
      </c>
      <c r="BF107" s="43" t="n">
        <f aca="false">p_phi*MAX(0,p_a_spv-BE107)/p_a_spv+(1-p_phi)*MAX(0,p_a_spv-BB107)/p_a_spv</f>
        <v>0.882621026634431</v>
      </c>
      <c r="BG107" s="43" t="n">
        <f aca="false">IF(BD107&gt;0,p_phi*MAX(0,BD107-BE107)/BD107+(1-p_phi)*MAX(0,BD107-BB107)/BD107,0)</f>
        <v>0.735650389962049</v>
      </c>
      <c r="BI107" s="12" t="str">
        <f aca="false">BDC!$A$26</f>
        <v>HTGC</v>
      </c>
      <c r="BJ107" s="43" t="n">
        <f aca="false">1-((1-BDC!$D$26)*$CD$103+BDC!$D$26*$CD$104)-p_gap-$CD$93*(1-BDC!$M$26)</f>
        <v>0.49422228775433</v>
      </c>
      <c r="BK107" s="43" t="n">
        <f aca="false">(1-BDC!$D$26)*$CD$105+BDC!$D$26*$CD$106</f>
        <v>0.0568250746624368</v>
      </c>
      <c r="BL107" s="45" t="n">
        <f aca="false">BJ107/BDC!$K$26</f>
        <v>0.974049751593485</v>
      </c>
      <c r="BM107" s="35" t="n">
        <f aca="false">IF(BL107&lt;1.5,BDC!$C$26,0)</f>
        <v>4.58</v>
      </c>
      <c r="BN107" s="43" t="n">
        <f aca="false">MAX(0,1-BJ107*(1-CE_mig_hc)-p_bb_cush)*BDC!$Q$26</f>
        <v>0.136448855252561</v>
      </c>
      <c r="BO107" s="43" t="n">
        <f aca="false">MAX(0,BDC!$K$26-BJ107/1.5)</f>
        <v>0.177907637392023</v>
      </c>
      <c r="BP107" s="43" t="n">
        <f aca="false">MIN(MIN(1,BDC!$H$26*$CD$96),$CD$95)</f>
        <v>0</v>
      </c>
      <c r="BQ107" s="43" t="n">
        <f aca="false">BDC!$I$26*BDC!$J$26*BP107*(1-0.3)</f>
        <v>0</v>
      </c>
      <c r="BR107" s="45" t="n">
        <f aca="false">BDC!$C$26*($CD$94*MAX(BN107,BO107)+BQ107)</f>
        <v>0.814816979255466</v>
      </c>
      <c r="CC107" s="10" t="s">
        <v>992</v>
      </c>
      <c r="CD107" s="43" t="n">
        <f aca="false">1-((1-CE_sw_sys)*$CD$103+CE_sw_sys*$CD$104)-p_gap-$CD$93*(1-CE_mk_sys)</f>
        <v>0.408146622487016</v>
      </c>
    </row>
    <row r="108" customFormat="false" ht="15" hidden="false" customHeight="true" outlineLevel="0" collapsed="false">
      <c r="A108" s="10" t="s">
        <v>538</v>
      </c>
      <c r="B108" s="35" t="n">
        <f aca="false">AY68</f>
        <v>39.1121167067749</v>
      </c>
      <c r="C108" s="39" t="n">
        <f aca="false">AZ68</f>
        <v>0.0716292857391285</v>
      </c>
      <c r="D108" s="44" t="n">
        <f aca="false">IF(C108&lt;Inputs_Banks!$I27,1,0)</f>
        <v>1</v>
      </c>
      <c r="E108" s="44" t="n">
        <f aca="false">IF(C108&lt;0.045,1,0)</f>
        <v>0</v>
      </c>
      <c r="F108" s="44" t="n">
        <f aca="false">IF(B108&lt;0,1,0)</f>
        <v>0</v>
      </c>
      <c r="G108" s="44" t="n">
        <f aca="false">MIN(6,MIN(3,INT(MAX(0,Inputs_Banks!$BA27-C108)/p_notch_step))+D108+2*E108)</f>
        <v>3</v>
      </c>
      <c r="H108" s="39" t="n">
        <f aca="false">C108-Inputs_Banks!$I27</f>
        <v>-0.00967071426087152</v>
      </c>
      <c r="I108" s="44" t="n">
        <f aca="false">RANK(H108,$H$87:$H$110,1)</f>
        <v>24</v>
      </c>
      <c r="J108" s="44" t="n">
        <f aca="false">MAX(IF(I108&lt;=g_n_weak,1,0),E108)</f>
        <v>0</v>
      </c>
      <c r="K108" s="44" t="n">
        <f aca="false">IF(I108&gt;12,1,0)*(1-E108)</f>
        <v>1</v>
      </c>
      <c r="L108" s="35" t="n">
        <f aca="false">INDEX(Inputs_Banks!$AR27:$AX27,1,G108+1)</f>
        <v>1.75265973802349</v>
      </c>
      <c r="M108" s="35" t="n">
        <f aca="false">Inputs_Banks!$AI27*MIN(1,p_u_base+$CD$90*p_u_pan_all+J108*($CD$90*p_u_pan_weak+p_u_mda*D108)+p_u_notch*G108+p_u_fail*E108)</f>
        <v>150.345736670561</v>
      </c>
      <c r="N108" s="35" t="n">
        <f aca="false">Inputs_Banks!$AK27*MIN(1,p_w_base+p_w_pan*$CD$90+p_w_notch*G108+0.5*D108+1*E108)</f>
        <v>37.6025029210996</v>
      </c>
      <c r="O108" s="35" t="n">
        <f aca="false">Inputs_Banks!$AO27*MIN(1,p_cp_base+p_cp_pan*$CD$90+p_cp_notch*G108)</f>
        <v>15.5</v>
      </c>
      <c r="P108" s="35" t="n">
        <f aca="false">Inputs_Banks!$AN27*(p_dh+p_dh_pan*$CD$90+MIN(1,0.5*$CD$97+0.25*G108))</f>
        <v>71.2624542599161</v>
      </c>
      <c r="Q108" s="35" t="n">
        <f aca="false">Modules!$Y27</f>
        <v>8.4308773</v>
      </c>
      <c r="R108" s="35" t="n">
        <f aca="false">Inputs_Banks!$AJ27*K108</f>
        <v>1101.02948773138</v>
      </c>
      <c r="S108" s="35" t="n">
        <f aca="false">p_liq_on*$CD$98*SUM($M$87:$M$110)*R108/MAX(0.000000001,SUM($R$87:$R$110))</f>
        <v>166.907007285613</v>
      </c>
      <c r="T108" s="35" t="n">
        <f aca="false">p_liq_on*(L108+M108+N108+O108+P108+Q108)</f>
        <v>284.894230889601</v>
      </c>
      <c r="U108" s="35" t="n">
        <f aca="false">g_usable*Inputs_Banks!$AG27+p_cb_on*Inputs_Banks!$AQ27+S108</f>
        <v>720.698750105858</v>
      </c>
      <c r="V108" s="35" t="n">
        <f aca="false">MAX(0,T108-U108)</f>
        <v>0</v>
      </c>
      <c r="W108" s="44" t="n">
        <f aca="false">IF(V108&gt;0.9*Inputs_Banks!$BB27,1,0)</f>
        <v>0</v>
      </c>
      <c r="X108" s="43" t="n">
        <f aca="false">MAX(p_htm_forced,(1-p_cb_on)*MIN(1,T108/Inputs_Banks!$AG27)*g_theta_sell)</f>
        <v>0.141471797856095</v>
      </c>
      <c r="Y108" s="35" t="n">
        <f aca="false">MAX(0,Modules!$V27-B108/(Inputs_Banks!$I27+g_del_buf))</f>
        <v>92.8241887574622</v>
      </c>
      <c r="Z108" s="35" t="n">
        <f aca="false">MIN(g_del_cap*Inputs_Banks!$BB27,Y108)</f>
        <v>12.31</v>
      </c>
      <c r="AA108" s="35" t="n">
        <f aca="false">MIN(Inputs_Banks!$BB27,V108+Z108)</f>
        <v>12.31</v>
      </c>
      <c r="AB108" s="35" t="n">
        <f aca="false">$AA108*Holdings!Q27</f>
        <v>0</v>
      </c>
      <c r="AC108" s="35" t="n">
        <f aca="false">$AA108*Holdings!R27</f>
        <v>0</v>
      </c>
      <c r="AD108" s="35" t="n">
        <f aca="false">$AA108*Holdings!S27</f>
        <v>0</v>
      </c>
      <c r="AE108" s="35" t="n">
        <f aca="false">$AA108*Holdings!T27</f>
        <v>0</v>
      </c>
      <c r="AF108" s="35" t="n">
        <f aca="false">$AA108*Holdings!U27</f>
        <v>0</v>
      </c>
      <c r="AG108" s="35" t="n">
        <f aca="false">$AA108*Holdings!V27</f>
        <v>0</v>
      </c>
      <c r="AH108" s="35" t="n">
        <f aca="false">$AA108*Holdings!W27</f>
        <v>0</v>
      </c>
      <c r="AI108" s="35" t="n">
        <f aca="false">$AA108*Holdings!X27</f>
        <v>0</v>
      </c>
      <c r="AJ108" s="35" t="n">
        <f aca="false">$AA108*Holdings!Y27</f>
        <v>0</v>
      </c>
      <c r="AK108" s="35" t="n">
        <f aca="false">$AA108*Holdings!Z27</f>
        <v>0</v>
      </c>
      <c r="AL108" s="35" t="n">
        <f aca="false">$AA108*Holdings!AA27</f>
        <v>0</v>
      </c>
      <c r="AM108" s="35" t="n">
        <f aca="false">$AA108*Holdings!AB27</f>
        <v>0</v>
      </c>
      <c r="AN108" s="35" t="n">
        <f aca="false">$AA108*Holdings!AC27</f>
        <v>12.31</v>
      </c>
      <c r="AO108" s="43" t="n">
        <f aca="false">MIN(1,$CD$97+0.5*G108)</f>
        <v>1</v>
      </c>
      <c r="AP108" s="35" t="n">
        <f aca="false">p_liq_on*Inputs_Banks!$AP27*AO108*p_mb_psi</f>
        <v>4.374</v>
      </c>
      <c r="AQ108" s="44" t="n">
        <f aca="false">MAX(F108,E108,W108*(1-p_cb_on))</f>
        <v>0</v>
      </c>
      <c r="AR108" s="35" t="n">
        <f aca="false">p_ib_on*p_lgd_ib*g_s_in*g_u_ib*SUMPRODUCT(Network!X$6:X$29,$AQ$87:$AQ$110)</f>
        <v>3.61209531474899</v>
      </c>
      <c r="AS108" s="35" t="n">
        <f aca="false">p_sw_M1*(SUMPRODUCT(BDC_EAD!X$106:X$127,$BF$87:$BF$108)+SUMPRODUCT(BDC_EAD!X$131:X$152,$BG$87:$BG$108)+(Inputs_Banks!$Y27+p_ccf_bl*Inputs_Banks!$Z27)*$CD$110+Modules!$E27)</f>
        <v>7.83931301052684</v>
      </c>
      <c r="AT108" s="35" t="n">
        <f aca="false">p_sw_M3*(Inputs_Banks!$U27+p_ccf_abf*Inputs_Banks!$V27)*$CD$111</f>
        <v>0</v>
      </c>
      <c r="AU108" s="35" t="n">
        <f aca="false">p_sw_M10*Inputs_Banks!$AC27*$CD$112</f>
        <v>0</v>
      </c>
      <c r="AV108" s="35" t="n">
        <f aca="false">p_sw_M8*(Modules!$M27+Modules!$N27*IF(p_liq_on&gt;0,X108,p_htm_forced))</f>
        <v>1.7060801035343</v>
      </c>
      <c r="AW108" s="35" t="n">
        <f aca="false">SUMPRODUCT(Holdings!$C27:$O27,Holdings!$C$32:$O$32,$AB$112:$AN$112)+Inputs_Banks!$P27*$AL$112</f>
        <v>7.97620246435341</v>
      </c>
      <c r="AX108" s="35" t="n">
        <f aca="false">Modules!$T27+AS108+AT108+AU108+AV108+AW108+AR108</f>
        <v>30.9828618774724</v>
      </c>
      <c r="AY108" s="35" t="n">
        <f aca="false">Modules!$U27-(1-p_tax)*AX108</f>
        <v>37.3401194889872</v>
      </c>
      <c r="AZ108" s="39" t="n">
        <f aca="false">AY108/Modules!$V27</f>
        <v>0.0683840792474054</v>
      </c>
      <c r="BA108" s="48" t="s">
        <v>653</v>
      </c>
      <c r="BB108" s="43" t="n">
        <f aca="false">INDEX($BJ$87:$BJ$120,BDC_EAD!$B27)</f>
        <v>0.525207527908933</v>
      </c>
      <c r="BC108" s="43" t="n">
        <f aca="false">INDEX($BK$87:$BK$120,BDC_EAD!$B27)</f>
        <v>0.0619669987597598</v>
      </c>
      <c r="BD108" s="22" t="n">
        <f aca="false">INDEX(BDC!$Q$6:$Q$39,BDC_EAD!$B27)</f>
        <v>0.118607929515418</v>
      </c>
      <c r="BE108" s="43" t="n">
        <f aca="false">BB108*(1-$AK$112)-BC108-p_c_liq</f>
        <v>0.176897141590153</v>
      </c>
      <c r="BF108" s="43" t="n">
        <f aca="false">p_phi*MAX(0,p_a_spv-BE108)/p_a_spv+(1-p_phi)*MAX(0,p_a_spv-BB108)/p_a_spv</f>
        <v>0.647772544494415</v>
      </c>
      <c r="BG108" s="43" t="n">
        <f aca="false">IF(BD108&gt;0,p_phi*MAX(0,BD108-BE108)/BD108+(1-p_phi)*MAX(0,BD108-BB108)/BD108,0)</f>
        <v>0</v>
      </c>
      <c r="BI108" s="12" t="str">
        <f aca="false">BDC!$A$27</f>
        <v>MSDL</v>
      </c>
      <c r="BJ108" s="43" t="n">
        <f aca="false">1-((1-BDC!$D$27)*$CD$103+BDC!$D$27*$CD$104)-p_gap-$CD$93*(1-BDC!$M$27)</f>
        <v>0.363449670124075</v>
      </c>
      <c r="BK108" s="43" t="n">
        <f aca="false">(1-BDC!$D$27)*$CD$105+BDC!$D$27*$CD$106</f>
        <v>0.0611472717297517</v>
      </c>
      <c r="BL108" s="45" t="n">
        <f aca="false">BJ108/BDC!$K$27</f>
        <v>0.666324395227472</v>
      </c>
      <c r="BM108" s="35" t="n">
        <f aca="false">IF(BL108&lt;1.5,BDC!$C$27,0)</f>
        <v>3.55</v>
      </c>
      <c r="BN108" s="43" t="n">
        <f aca="false">MAX(0,1-BJ108*(1-CE_mig_hc)-p_bb_cush)*BDC!$Q$27</f>
        <v>0.155815521691545</v>
      </c>
      <c r="BO108" s="43" t="n">
        <f aca="false">MAX(0,BDC!$K$27-BJ108/1.5)</f>
        <v>0.303154765371829</v>
      </c>
      <c r="BP108" s="43" t="n">
        <f aca="false">MIN(MIN(1,BDC!$H$27*$CD$96),$CD$95)</f>
        <v>0</v>
      </c>
      <c r="BQ108" s="43" t="n">
        <f aca="false">BDC!$I$27*BDC!$J$27*BP108*(1-0.3)</f>
        <v>0</v>
      </c>
      <c r="BR108" s="45" t="n">
        <f aca="false">BDC!$C$27*($CD$94*MAX(BN108,BO108)+BQ108)</f>
        <v>1.07619941706999</v>
      </c>
      <c r="CC108" s="10" t="s">
        <v>845</v>
      </c>
      <c r="CD108" s="43" t="n">
        <f aca="false">(1-CE_sw_sys)*$CD$105+CE_sw_sys*$CD$106</f>
        <v>0.0617359683514154</v>
      </c>
    </row>
    <row r="109" customFormat="false" ht="15" hidden="false" customHeight="true" outlineLevel="0" collapsed="false">
      <c r="A109" s="10" t="s">
        <v>540</v>
      </c>
      <c r="B109" s="35" t="n">
        <f aca="false">AY69</f>
        <v>35.3043604780419</v>
      </c>
      <c r="C109" s="39" t="n">
        <f aca="false">AZ69</f>
        <v>0.0596851424105714</v>
      </c>
      <c r="D109" s="44" t="n">
        <f aca="false">IF(C109&lt;Inputs_Banks!$I28,1,0)</f>
        <v>1</v>
      </c>
      <c r="E109" s="44" t="n">
        <f aca="false">IF(C109&lt;0.045,1,0)</f>
        <v>0</v>
      </c>
      <c r="F109" s="44" t="n">
        <f aca="false">IF(B109&lt;0,1,0)</f>
        <v>0</v>
      </c>
      <c r="G109" s="44" t="n">
        <f aca="false">MIN(6,MIN(3,INT(MAX(0,Inputs_Banks!$BA28-C109)/p_notch_step))+D109+2*E109)</f>
        <v>4</v>
      </c>
      <c r="H109" s="39" t="n">
        <f aca="false">C109-Inputs_Banks!$I28</f>
        <v>-0.0513148575894287</v>
      </c>
      <c r="I109" s="44" t="n">
        <f aca="false">RANK(H109,$H$87:$H$110,1)</f>
        <v>14</v>
      </c>
      <c r="J109" s="44" t="n">
        <f aca="false">MAX(IF(I109&lt;=g_n_weak,1,0),E109)</f>
        <v>0</v>
      </c>
      <c r="K109" s="44" t="n">
        <f aca="false">IF(I109&gt;12,1,0)*(1-E109)</f>
        <v>1</v>
      </c>
      <c r="L109" s="35" t="n">
        <f aca="false">INDEX(Inputs_Banks!$AR28:$AX28,1,G109+1)</f>
        <v>1.06969376979937</v>
      </c>
      <c r="M109" s="35" t="n">
        <f aca="false">Inputs_Banks!$AI28*MIN(1,p_u_base+$CD$90*p_u_pan_all+J109*($CD$90*p_u_pan_weak+p_u_mda*D109)+p_u_notch*G109+p_u_fail*E109)</f>
        <v>118.306518831397</v>
      </c>
      <c r="N109" s="35" t="n">
        <f aca="false">Inputs_Banks!$AK28*MIN(1,p_w_base+p_w_pan*$CD$90+p_w_notch*G109+0.5*D109+1*E109)</f>
        <v>111.12284406899</v>
      </c>
      <c r="O109" s="35" t="n">
        <f aca="false">Inputs_Banks!$AO28*MIN(1,p_cp_base+p_cp_pan*$CD$90+p_cp_notch*G109)</f>
        <v>38.53</v>
      </c>
      <c r="P109" s="35" t="n">
        <f aca="false">Inputs_Banks!$AN28*(p_dh+p_dh_pan*$CD$90+MIN(1,0.5*$CD$97+0.25*G109))</f>
        <v>88.8900335264263</v>
      </c>
      <c r="Q109" s="35" t="n">
        <f aca="false">Modules!$Y28</f>
        <v>3.6692462</v>
      </c>
      <c r="R109" s="35" t="n">
        <f aca="false">Inputs_Banks!$AJ28*K109</f>
        <v>1157.74234424498</v>
      </c>
      <c r="S109" s="35" t="n">
        <f aca="false">p_liq_on*$CD$98*SUM($M$87:$M$110)*R109/MAX(0.000000001,SUM($R$87:$R$110))</f>
        <v>175.50420950479</v>
      </c>
      <c r="T109" s="35" t="n">
        <f aca="false">p_liq_on*(L109+M109+N109+O109+P109+Q109)</f>
        <v>361.588336396613</v>
      </c>
      <c r="U109" s="35" t="n">
        <f aca="false">g_usable*Inputs_Banks!$AG28+p_cb_on*Inputs_Banks!$AQ28+S109</f>
        <v>687.019063429464</v>
      </c>
      <c r="V109" s="35" t="n">
        <f aca="false">MAX(0,T109-U109)</f>
        <v>0</v>
      </c>
      <c r="W109" s="44" t="n">
        <f aca="false">IF(V109&gt;0.9*Inputs_Banks!$BB28,1,0)</f>
        <v>0</v>
      </c>
      <c r="X109" s="43" t="n">
        <f aca="false">MAX(p_htm_forced,(1-p_cb_on)*MIN(1,T109/Inputs_Banks!$AG28)*g_theta_sell)</f>
        <v>0.25</v>
      </c>
      <c r="Y109" s="35" t="n">
        <f aca="false">MAX(0,Modules!$V28-B109/(Inputs_Banks!$I28+g_del_buf))</f>
        <v>287.162096523453</v>
      </c>
      <c r="Z109" s="35" t="n">
        <f aca="false">MIN(g_del_cap*Inputs_Banks!$BB28,Y109)</f>
        <v>33.855</v>
      </c>
      <c r="AA109" s="35" t="n">
        <f aca="false">MIN(Inputs_Banks!$BB28,V109+Z109)</f>
        <v>33.855</v>
      </c>
      <c r="AB109" s="35" t="n">
        <f aca="false">$AA109*Holdings!Q28</f>
        <v>0</v>
      </c>
      <c r="AC109" s="35" t="n">
        <f aca="false">$AA109*Holdings!R28</f>
        <v>0</v>
      </c>
      <c r="AD109" s="35" t="n">
        <f aca="false">$AA109*Holdings!S28</f>
        <v>0</v>
      </c>
      <c r="AE109" s="35" t="n">
        <f aca="false">$AA109*Holdings!T28</f>
        <v>0</v>
      </c>
      <c r="AF109" s="35" t="n">
        <f aca="false">$AA109*Holdings!U28</f>
        <v>13.575</v>
      </c>
      <c r="AG109" s="35" t="n">
        <f aca="false">$AA109*Holdings!V28</f>
        <v>0.3625</v>
      </c>
      <c r="AH109" s="35" t="n">
        <f aca="false">$AA109*Holdings!W28</f>
        <v>0</v>
      </c>
      <c r="AI109" s="35" t="n">
        <f aca="false">$AA109*Holdings!X28</f>
        <v>0</v>
      </c>
      <c r="AJ109" s="35" t="n">
        <f aca="false">$AA109*Holdings!Y28</f>
        <v>2.83</v>
      </c>
      <c r="AK109" s="35" t="n">
        <f aca="false">$AA109*Holdings!Z28</f>
        <v>0</v>
      </c>
      <c r="AL109" s="35" t="n">
        <f aca="false">$AA109*Holdings!AA28</f>
        <v>17.0875</v>
      </c>
      <c r="AM109" s="35" t="n">
        <f aca="false">$AA109*Holdings!AB28</f>
        <v>0</v>
      </c>
      <c r="AN109" s="35" t="n">
        <f aca="false">$AA109*Holdings!AC28</f>
        <v>0</v>
      </c>
      <c r="AO109" s="43" t="n">
        <f aca="false">MIN(1,$CD$97+0.5*G109)</f>
        <v>1</v>
      </c>
      <c r="AP109" s="35" t="n">
        <f aca="false">p_liq_on*Inputs_Banks!$AP28*AO109*p_mb_psi</f>
        <v>1.278</v>
      </c>
      <c r="AQ109" s="44" t="n">
        <f aca="false">MAX(F109,E109,W109*(1-p_cb_on))</f>
        <v>0</v>
      </c>
      <c r="AR109" s="35" t="n">
        <f aca="false">p_ib_on*p_lgd_ib*g_s_in*g_u_ib*SUMPRODUCT(Network!Y$6:Y$29,$AQ$87:$AQ$110)</f>
        <v>4.28546748591128</v>
      </c>
      <c r="AS109" s="35" t="n">
        <f aca="false">p_sw_M1*(SUMPRODUCT(BDC_EAD!Y$106:Y$127,$BF$87:$BF$108)+SUMPRODUCT(BDC_EAD!Y$131:Y$152,$BG$87:$BG$108)+(Inputs_Banks!$Y28+p_ccf_bl*Inputs_Banks!$Z28)*$CD$110+Modules!$E28)</f>
        <v>9.5671959469054</v>
      </c>
      <c r="AT109" s="35" t="n">
        <f aca="false">p_sw_M3*(Inputs_Banks!$U28+p_ccf_abf*Inputs_Banks!$V28)*$CD$111</f>
        <v>7.41184916420829</v>
      </c>
      <c r="AU109" s="35" t="n">
        <f aca="false">p_sw_M10*Inputs_Banks!$AC28*$CD$112</f>
        <v>0</v>
      </c>
      <c r="AV109" s="35" t="n">
        <f aca="false">p_sw_M8*(Modules!$M28+Modules!$N28*IF(p_liq_on&gt;0,X109,p_htm_forced))</f>
        <v>4.53398609644492</v>
      </c>
      <c r="AW109" s="35" t="n">
        <f aca="false">SUMPRODUCT(Holdings!$C28:$O28,Holdings!$C$32:$O$32,$AB$112:$AN$112)+Inputs_Banks!$P28*$AL$112</f>
        <v>5.73840137991657</v>
      </c>
      <c r="AX109" s="35" t="n">
        <f aca="false">Modules!$T28+AS109+AT109+AU109+AV109+AW109+AR109</f>
        <v>40.6598325496584</v>
      </c>
      <c r="AY109" s="35" t="n">
        <f aca="false">Modules!$U28-(1-p_tax)*AX109</f>
        <v>33.2268270772335</v>
      </c>
      <c r="AZ109" s="39" t="n">
        <f aca="false">AY109/Modules!$V28</f>
        <v>0.0561728885356686</v>
      </c>
      <c r="BA109" s="44" t="n">
        <f aca="false">MAX(F109,E109)</f>
        <v>0</v>
      </c>
      <c r="BI109" s="12" t="str">
        <f aca="false">BDC!$A$28</f>
        <v>TSLX</v>
      </c>
      <c r="BJ109" s="43" t="n">
        <f aca="false">1-((1-BDC!$D$28)*$CD$103+BDC!$D$28*$CD$104)-p_gap-$CD$93*(1-BDC!$M$28)</f>
        <v>0.525207527908933</v>
      </c>
      <c r="BK109" s="43" t="n">
        <f aca="false">(1-BDC!$D$28)*$CD$105+BDC!$D$28*$CD$106</f>
        <v>0.0619669987597598</v>
      </c>
      <c r="BL109" s="45" t="n">
        <f aca="false">BJ109/BDC!$K$28</f>
        <v>0.938756762482896</v>
      </c>
      <c r="BM109" s="35" t="n">
        <f aca="false">IF(BL109&lt;1.5,BDC!$C$28,0)</f>
        <v>3.3</v>
      </c>
      <c r="BN109" s="43" t="n">
        <f aca="false">MAX(0,1-BJ109*(1-CE_mig_hc)-p_bb_cush)*BDC!$Q$28</f>
        <v>0.0605793713671617</v>
      </c>
      <c r="BO109" s="43" t="n">
        <f aca="false">MAX(0,BDC!$K$28-BJ109/1.5)</f>
        <v>0.209333013699478</v>
      </c>
      <c r="BP109" s="43" t="n">
        <f aca="false">MIN(MIN(1,BDC!$H$28*$CD$96),$CD$95)</f>
        <v>0</v>
      </c>
      <c r="BQ109" s="43" t="n">
        <f aca="false">BDC!$I$28*BDC!$J$28*BP109*(1-0.3)</f>
        <v>0</v>
      </c>
      <c r="BR109" s="45" t="n">
        <f aca="false">BDC!$C$28*($CD$94*MAX(BN109,BO109)+BQ109)</f>
        <v>0.690798945208277</v>
      </c>
      <c r="CC109" s="10" t="s">
        <v>993</v>
      </c>
      <c r="CD109" s="43" t="n">
        <f aca="false">$CD$107*(1-$AK$112)-$CD$108-p_c_liq</f>
        <v>0.112744674016444</v>
      </c>
    </row>
    <row r="110" customFormat="false" ht="15" hidden="false" customHeight="true" outlineLevel="0" collapsed="false">
      <c r="A110" s="10" t="s">
        <v>543</v>
      </c>
      <c r="B110" s="35" t="n">
        <f aca="false">AY70</f>
        <v>5.95937841848225</v>
      </c>
      <c r="C110" s="39" t="n">
        <f aca="false">AZ70</f>
        <v>0.0569643115630711</v>
      </c>
      <c r="D110" s="44" t="n">
        <f aca="false">IF(C110&lt;Inputs_Banks!$I29,1,0)</f>
        <v>1</v>
      </c>
      <c r="E110" s="44" t="n">
        <f aca="false">IF(C110&lt;0.045,1,0)</f>
        <v>0</v>
      </c>
      <c r="F110" s="44" t="n">
        <f aca="false">IF(B110&lt;0,1,0)</f>
        <v>0</v>
      </c>
      <c r="G110" s="44" t="n">
        <f aca="false">MIN(6,MIN(3,INT(MAX(0,Inputs_Banks!$BA29-C110)/p_notch_step))+D110+2*E110)</f>
        <v>2</v>
      </c>
      <c r="H110" s="39" t="n">
        <f aca="false">C110-Inputs_Banks!$I29</f>
        <v>-0.0105356884369289</v>
      </c>
      <c r="I110" s="44" t="n">
        <f aca="false">RANK(H110,$H$87:$H$110,1)</f>
        <v>22</v>
      </c>
      <c r="J110" s="44" t="n">
        <f aca="false">MAX(IF(I110&lt;=g_n_weak,1,0),E110)</f>
        <v>0</v>
      </c>
      <c r="K110" s="44" t="n">
        <f aca="false">IF(I110&gt;12,1,0)*(1-E110)</f>
        <v>1</v>
      </c>
      <c r="L110" s="35" t="n">
        <f aca="false">INDEX(Inputs_Banks!$AR29:$AX29,1,G110+1)</f>
        <v>0.8997</v>
      </c>
      <c r="M110" s="35" t="n">
        <f aca="false">Inputs_Banks!$AI29*MIN(1,p_u_base+$CD$90*p_u_pan_all+J110*($CD$90*p_u_pan_weak+p_u_mda*D110)+p_u_notch*G110+p_u_fail*E110)</f>
        <v>0</v>
      </c>
      <c r="N110" s="35" t="n">
        <f aca="false">Inputs_Banks!$AK29*MIN(1,p_w_base+p_w_pan*$CD$90+p_w_notch*G110+0.5*D110+1*E110)</f>
        <v>1.603</v>
      </c>
      <c r="O110" s="35" t="n">
        <f aca="false">Inputs_Banks!$AO29*MIN(1,p_cp_base+p_cp_pan*$CD$90+p_cp_notch*G110)</f>
        <v>0</v>
      </c>
      <c r="P110" s="35" t="n">
        <f aca="false">Inputs_Banks!$AN29*(p_dh+p_dh_pan*$CD$90+MIN(1,0.5*$CD$97+0.25*G110))</f>
        <v>15.8432978486056</v>
      </c>
      <c r="Q110" s="35" t="n">
        <f aca="false">Modules!$Y29</f>
        <v>0</v>
      </c>
      <c r="R110" s="35" t="n">
        <f aca="false">Inputs_Banks!$AJ29*K110</f>
        <v>0</v>
      </c>
      <c r="S110" s="35" t="n">
        <f aca="false">p_liq_on*$CD$98*SUM($M$87:$M$110)*R110/MAX(0.000000001,SUM($R$87:$R$110))</f>
        <v>0</v>
      </c>
      <c r="T110" s="35" t="n">
        <f aca="false">p_liq_on*(L110+M110+N110+O110+P110+Q110)</f>
        <v>18.3459978486056</v>
      </c>
      <c r="U110" s="35" t="n">
        <f aca="false">g_usable*Inputs_Banks!$AG29+p_cb_on*Inputs_Banks!$AQ29+S110</f>
        <v>16.4573</v>
      </c>
      <c r="V110" s="35" t="n">
        <f aca="false">MAX(0,T110-U110)</f>
        <v>1.88869784860557</v>
      </c>
      <c r="W110" s="44" t="n">
        <f aca="false">IF(V110&gt;0.9*Inputs_Banks!$BB29,1,0)</f>
        <v>0</v>
      </c>
      <c r="X110" s="43" t="n">
        <f aca="false">MAX(p_htm_forced,(1-p_cb_on)*MIN(1,T110/Inputs_Banks!$AG29)*g_theta_sell)</f>
        <v>0.25</v>
      </c>
      <c r="Y110" s="35" t="n">
        <f aca="false">MAX(0,Modules!$V29-B110/(Inputs_Banks!$I29+g_del_buf))</f>
        <v>22.4176769864518</v>
      </c>
      <c r="Z110" s="35" t="n">
        <f aca="false">MIN(g_del_cap*Inputs_Banks!$BB29,Y110)</f>
        <v>4.57</v>
      </c>
      <c r="AA110" s="35" t="n">
        <f aca="false">MIN(Inputs_Banks!$BB29,V110+Z110)</f>
        <v>6.45869784860557</v>
      </c>
      <c r="AB110" s="35" t="n">
        <f aca="false">$AA110*Holdings!Q29</f>
        <v>0</v>
      </c>
      <c r="AC110" s="35" t="n">
        <f aca="false">$AA110*Holdings!R29</f>
        <v>0</v>
      </c>
      <c r="AD110" s="35" t="n">
        <f aca="false">$AA110*Holdings!S29</f>
        <v>0</v>
      </c>
      <c r="AE110" s="35" t="n">
        <f aca="false">$AA110*Holdings!T29</f>
        <v>0.229658293303809</v>
      </c>
      <c r="AF110" s="35" t="n">
        <f aca="false">$AA110*Holdings!U29</f>
        <v>1.86199877801703</v>
      </c>
      <c r="AG110" s="35" t="n">
        <f aca="false">$AA110*Holdings!V29</f>
        <v>0</v>
      </c>
      <c r="AH110" s="35" t="n">
        <f aca="false">$AA110*Holdings!W29</f>
        <v>0.64657642576303</v>
      </c>
      <c r="AI110" s="35" t="n">
        <f aca="false">$AA110*Holdings!X29</f>
        <v>0.250857520378006</v>
      </c>
      <c r="AJ110" s="35" t="n">
        <f aca="false">$AA110*Holdings!Y29</f>
        <v>0.346254042211896</v>
      </c>
      <c r="AK110" s="35" t="n">
        <f aca="false">$AA110*Holdings!Z29</f>
        <v>0</v>
      </c>
      <c r="AL110" s="35" t="n">
        <f aca="false">$AA110*Holdings!AA29</f>
        <v>3.0597551077092</v>
      </c>
      <c r="AM110" s="35" t="n">
        <f aca="false">$AA110*Holdings!AB29</f>
        <v>0</v>
      </c>
      <c r="AN110" s="35" t="n">
        <f aca="false">$AA110*Holdings!AC29</f>
        <v>0.0635976812225931</v>
      </c>
      <c r="AO110" s="43" t="n">
        <f aca="false">MIN(1,$CD$97+0.5*G110)</f>
        <v>1</v>
      </c>
      <c r="AP110" s="35" t="n">
        <f aca="false">p_liq_on*Inputs_Banks!$AP29*AO110*p_mb_psi</f>
        <v>0</v>
      </c>
      <c r="AQ110" s="44" t="n">
        <f aca="false">MAX(F110,E110,W110*(1-p_cb_on))</f>
        <v>0</v>
      </c>
      <c r="AR110" s="35" t="n">
        <f aca="false">p_ib_on*p_lgd_ib*g_s_in*g_u_ib*SUMPRODUCT(Network!Z$6:Z$29,$AQ$87:$AQ$110)</f>
        <v>0.371741653794596</v>
      </c>
      <c r="AS110" s="35" t="n">
        <f aca="false">p_sw_M1*(SUMPRODUCT(BDC_EAD!Z$106:Z$127,$BF$87:$BF$108)+SUMPRODUCT(BDC_EAD!Z$131:Z$152,$BG$87:$BG$108)+(Inputs_Banks!$Y29+p_ccf_bl*Inputs_Banks!$Z29)*$CD$110+Modules!$E29)</f>
        <v>0</v>
      </c>
      <c r="AT110" s="35" t="n">
        <f aca="false">p_sw_M3*(Inputs_Banks!$U29+p_ccf_abf*Inputs_Banks!$V29)*$CD$111</f>
        <v>0</v>
      </c>
      <c r="AU110" s="35" t="n">
        <f aca="false">p_sw_M10*Inputs_Banks!$AC29*$CD$112</f>
        <v>0</v>
      </c>
      <c r="AV110" s="35" t="n">
        <f aca="false">p_sw_M8*(Modules!$M29+Modules!$N29*IF(p_liq_on&gt;0,X110,p_htm_forced))</f>
        <v>0</v>
      </c>
      <c r="AW110" s="35" t="n">
        <f aca="false">SUMPRODUCT(Holdings!$C29:$O29,Holdings!$C$32:$O$32,$AB$112:$AN$112)+Inputs_Banks!$P29*$AL$112</f>
        <v>1.44215757921998</v>
      </c>
      <c r="AX110" s="35" t="n">
        <f aca="false">Modules!$T29+AS110+AT110+AU110+AV110+AW110+AR110</f>
        <v>2.97081282723926</v>
      </c>
      <c r="AY110" s="35" t="n">
        <f aca="false">Modules!$U29-(1-p_tax)*AX110</f>
        <v>5.74718717276074</v>
      </c>
      <c r="AZ110" s="39" t="n">
        <f aca="false">AY110/Modules!$V29</f>
        <v>0.0549360248218316</v>
      </c>
      <c r="BA110" s="44" t="n">
        <f aca="false">MAX(F110,E110)</f>
        <v>0</v>
      </c>
      <c r="BI110" s="12" t="str">
        <f aca="false">BDC!$A$29</f>
        <v>GSBD</v>
      </c>
      <c r="BJ110" s="43" t="n">
        <f aca="false">1-((1-BDC!$D$29)*$CD$103+BDC!$D$29*$CD$104)-p_gap-$CD$93*(1-BDC!$M$29)</f>
        <v>0.402673902876419</v>
      </c>
      <c r="BK110" s="43" t="n">
        <f aca="false">(1-BDC!$D$29)*$CD$105+BDC!$D$29*$CD$106</f>
        <v>0.0617434368424848</v>
      </c>
      <c r="BL110" s="45" t="n">
        <f aca="false">BJ110/BDC!$K$29</f>
        <v>0.698757654991433</v>
      </c>
      <c r="BM110" s="35" t="n">
        <f aca="false">IF(BL110&lt;1.5,BDC!$C$29,0)</f>
        <v>3.2</v>
      </c>
      <c r="BN110" s="43" t="n">
        <f aca="false">MAX(0,1-BJ110*(1-CE_mig_hc)-p_bb_cush)*BDC!$Q$29</f>
        <v>0.130680147041233</v>
      </c>
      <c r="BO110" s="43" t="n">
        <f aca="false">MAX(0,BDC!$K$29-BJ110/1.5)</f>
        <v>0.307821917856399</v>
      </c>
      <c r="BP110" s="43" t="n">
        <f aca="false">MIN(MIN(1,BDC!$H$29*$CD$96),$CD$95)</f>
        <v>0</v>
      </c>
      <c r="BQ110" s="43" t="n">
        <f aca="false">BDC!$I$29*BDC!$J$29*BP110*(1-0.3)</f>
        <v>0</v>
      </c>
      <c r="BR110" s="45" t="n">
        <f aca="false">BDC!$C$29*($CD$94*MAX(BN110,BO110)+BQ110)</f>
        <v>0.985030137140476</v>
      </c>
      <c r="CC110" s="10" t="s">
        <v>994</v>
      </c>
      <c r="CD110" s="43" t="n">
        <f aca="false">p_phi*MAX(0,p_a_spv-$CD$109)/p_a_spv+(1-p_phi)*MAX(0,p_a_spv-$CD$107)/p_a_spv</f>
        <v>0.754535623270631</v>
      </c>
    </row>
    <row r="111" customFormat="false" ht="15" hidden="false" customHeight="true" outlineLevel="0" collapsed="false">
      <c r="AA111" s="7" t="s">
        <v>995</v>
      </c>
      <c r="AB111" s="47" t="n">
        <f aca="false">p_fs_on*(SUM(AB87:AB110)+$CD$100*Holdings!C$37+Holdings!C$36*SUM($AP$87:$AP$110))</f>
        <v>0</v>
      </c>
      <c r="AC111" s="47" t="n">
        <f aca="false">p_fs_on*(SUM(AC87:AC110)+$CD$100*Holdings!D$37+Holdings!D$36*SUM($AP$87:$AP$110))</f>
        <v>0</v>
      </c>
      <c r="AD111" s="47" t="n">
        <f aca="false">p_fs_on*(SUM(AD87:AD110)+$CD$100*Holdings!E$37+Holdings!E$36*SUM($AP$87:$AP$110))</f>
        <v>0</v>
      </c>
      <c r="AE111" s="47" t="n">
        <f aca="false">p_fs_on*(SUM(AE87:AE110)+$CD$100*Holdings!F$37+Holdings!F$36*SUM($AP$87:$AP$110))</f>
        <v>73.0743229780475</v>
      </c>
      <c r="AF111" s="47" t="n">
        <f aca="false">p_fs_on*(SUM(AF87:AF110)+$CD$100*Holdings!G$37+Holdings!G$36*SUM($AP$87:$AP$110))</f>
        <v>469.109968894015</v>
      </c>
      <c r="AG111" s="47" t="n">
        <f aca="false">p_fs_on*(SUM(AG87:AG110)+$CD$100*Holdings!H$37+Holdings!H$36*SUM($AP$87:$AP$110))</f>
        <v>8.84482</v>
      </c>
      <c r="AH111" s="47" t="n">
        <f aca="false">p_fs_on*(SUM(AH87:AH110)+$CD$100*Holdings!I$37+Holdings!I$36*SUM($AP$87:$AP$110))</f>
        <v>67.8038928293642</v>
      </c>
      <c r="AI111" s="47" t="n">
        <f aca="false">p_fs_on*(SUM(AI87:AI110)+$CD$100*Holdings!J$37+Holdings!J$36*SUM($AP$87:$AP$110))</f>
        <v>117.445857520378</v>
      </c>
      <c r="AJ111" s="47" t="n">
        <f aca="false">p_fs_on*(SUM(AJ87:AJ110)+$CD$100*Holdings!K$37+Holdings!K$36*SUM($AP$87:$AP$110))</f>
        <v>108.589065039421</v>
      </c>
      <c r="AK111" s="47" t="n">
        <f aca="false">p_fs_on*(SUM(AK87:AK110)+$CD$100*Holdings!L$37+$CD$114+Holdings!L$36*SUM($AP$87:$AP$110))</f>
        <v>216.309230667799</v>
      </c>
      <c r="AL111" s="47" t="n">
        <f aca="false">p_fs_on*(SUM(AL87:AL110)+$CD$100*Holdings!M$37+Holdings!M$36*SUM($AP$87:$AP$110))</f>
        <v>866.737029727618</v>
      </c>
      <c r="AM111" s="47" t="n">
        <f aca="false">p_fs_on*(SUM(AM87:AM110)+$CD$100*Holdings!N$37+Holdings!N$36*SUM($AP$87:$AP$110))</f>
        <v>0</v>
      </c>
      <c r="AN111" s="47" t="n">
        <f aca="false">p_fs_on*(SUM(AN87:AN110)+$CD$100*Holdings!O$37+Holdings!O$36*SUM($AP$87:$AP$110))</f>
        <v>185.647651909261</v>
      </c>
      <c r="BI111" s="12" t="str">
        <f aca="false">BDC!$A$30</f>
        <v>OCSL</v>
      </c>
      <c r="BJ111" s="43" t="n">
        <f aca="false">1-((1-BDC!$D$30)*$CD$103+BDC!$D$30*$CD$104)-p_gap-$CD$93*(1-BDC!$M$30)</f>
        <v>0.392098725301358</v>
      </c>
      <c r="BK111" s="43" t="n">
        <f aca="false">(1-BDC!$D$30)*$CD$105+BDC!$D$30*$CD$106</f>
        <v>0.0620042590793056</v>
      </c>
      <c r="BL111" s="45" t="n">
        <f aca="false">BJ111/BDC!$K$30</f>
        <v>0.769116730398817</v>
      </c>
      <c r="BM111" s="35" t="n">
        <f aca="false">IF(BL111&lt;1.5,BDC!$C$30,0)</f>
        <v>2.74</v>
      </c>
      <c r="BN111" s="43" t="n">
        <f aca="false">MAX(0,1-BJ111*(1-CE_mig_hc)-p_bb_cush)*BDC!$Q$30</f>
        <v>0.159860448974885</v>
      </c>
      <c r="BO111" s="43" t="n">
        <f aca="false">MAX(0,BDC!$K$30-BJ111/1.5)</f>
        <v>0.248404771367722</v>
      </c>
      <c r="BP111" s="43" t="n">
        <f aca="false">MIN(MIN(1,BDC!$H$30*$CD$96),$CD$95)</f>
        <v>0</v>
      </c>
      <c r="BQ111" s="43" t="n">
        <f aca="false">BDC!$I$30*BDC!$J$30*BP111*(1-0.3)</f>
        <v>0</v>
      </c>
      <c r="BR111" s="45" t="n">
        <f aca="false">BDC!$C$30*($CD$94*MAX(BN111,BO111)+BQ111)</f>
        <v>0.680629073547559</v>
      </c>
      <c r="CC111" s="10" t="s">
        <v>996</v>
      </c>
      <c r="CD111" s="43" t="n">
        <f aca="false">p_phi*MAX(0,g_a_abf-(CE_Vh_a*(1-$AJ$112)-p_c_liq))/g_a_abf+(1-p_phi)*MAX(0,g_a_abf-CE_Vh_a)/g_a_abf</f>
        <v>0.309662698169349</v>
      </c>
    </row>
    <row r="112" customFormat="false" ht="15" hidden="false" customHeight="true" outlineLevel="0" collapsed="false">
      <c r="AA112" s="7" t="s">
        <v>997</v>
      </c>
      <c r="AB112" s="50" t="n">
        <f aca="false">MIN(Holdings!C$34,$CD$99*Holdings!C$31*AB111/10000+Holdings!C$39*$CD$90^g_gamma_pan)</f>
        <v>0</v>
      </c>
      <c r="AC112" s="50" t="n">
        <f aca="false">MIN(Holdings!D$34,$CD$99*Holdings!D$31*AC111/10000+Holdings!D$39*$CD$90^g_gamma_pan)</f>
        <v>0.01</v>
      </c>
      <c r="AD112" s="50" t="n">
        <f aca="false">MIN(Holdings!E$34,$CD$99*Holdings!E$31*AD111/10000+Holdings!E$39*$CD$90^g_gamma_pan)</f>
        <v>0.02</v>
      </c>
      <c r="AE112" s="50" t="n">
        <f aca="false">MIN(Holdings!F$34,$CD$99*Holdings!F$31*AE111/10000+Holdings!F$39*$CD$90^g_gamma_pan)</f>
        <v>0.0982685807445119</v>
      </c>
      <c r="AF112" s="50" t="n">
        <f aca="false">MIN(Holdings!G$34,$CD$99*Holdings!G$31*AF111/10000+Holdings!G$39*$CD$90^g_gamma_pan)</f>
        <v>0.25</v>
      </c>
      <c r="AG112" s="50" t="n">
        <f aca="false">MIN(Holdings!H$34,$CD$99*Holdings!H$31*AG111/10000+Holdings!H$39*$CD$90^g_gamma_pan)</f>
        <v>0.16326723</v>
      </c>
      <c r="AH112" s="50" t="n">
        <f aca="false">MIN(Holdings!I$34,$CD$99*Holdings!I$31*AH111/10000+Holdings!I$39*$CD$90^g_gamma_pan)</f>
        <v>0.403411678488093</v>
      </c>
      <c r="AI112" s="50" t="n">
        <f aca="false">MIN(Holdings!J$34,$CD$99*Holdings!J$31*AI111/10000+Holdings!J$39*$CD$90^g_gamma_pan)</f>
        <v>0.45</v>
      </c>
      <c r="AJ112" s="50" t="n">
        <f aca="false">MIN(Holdings!K$34,$CD$99*Holdings!K$31*AJ111/10000+Holdings!K$39*$CD$90^g_gamma_pan)</f>
        <v>0.262883597559132</v>
      </c>
      <c r="AK112" s="50" t="n">
        <f aca="false">MIN(Holdings!L$34,$CD$99*Holdings!L$31*AK111/10000+Holdings!L$39*$CD$90^g_gamma_pan)</f>
        <v>0.45</v>
      </c>
      <c r="AL112" s="50" t="n">
        <f aca="false">MIN(Holdings!M$34,$CD$99*Holdings!M$31*AL111/10000+Holdings!M$39*$CD$90^g_gamma_pan)</f>
        <v>0.343336851486381</v>
      </c>
      <c r="AM112" s="50" t="n">
        <f aca="false">MIN(Holdings!N$34,$CD$99*Holdings!N$31*AM111/10000+Holdings!N$39*$CD$90^g_gamma_pan)</f>
        <v>0</v>
      </c>
      <c r="AN112" s="50" t="n">
        <f aca="false">MIN(Holdings!O$34,$CD$99*Holdings!O$31*AN111/10000+Holdings!O$39*$CD$90^g_gamma_pan)</f>
        <v>0.285647651909261</v>
      </c>
      <c r="BI112" s="12" t="str">
        <f aca="false">BDC!$A$31</f>
        <v>BBDC</v>
      </c>
      <c r="BJ112" s="43" t="n">
        <f aca="false">1-((1-BDC!$D$31)*$CD$103+BDC!$D$31*$CD$104)-p_gap-$CD$93*(1-BDC!$M$31)</f>
        <v>0.440484450675871</v>
      </c>
      <c r="BK112" s="43" t="n">
        <f aca="false">(1-BDC!$D$31)*$CD$105+BDC!$D$31*$CD$106</f>
        <v>0.0655439894361584</v>
      </c>
      <c r="BL112" s="45" t="n">
        <f aca="false">BJ112/BDC!$K$31</f>
        <v>0.798601890249749</v>
      </c>
      <c r="BM112" s="35" t="n">
        <f aca="false">IF(BL112&lt;1.5,BDC!$C$31,0)</f>
        <v>2.46</v>
      </c>
      <c r="BN112" s="43" t="n">
        <f aca="false">MAX(0,1-BJ112*(1-CE_mig_hc)-p_bb_cush)*BDC!$Q$31</f>
        <v>0.161288813940408</v>
      </c>
      <c r="BO112" s="43" t="n">
        <f aca="false">MAX(0,BDC!$K$31-BJ112/1.5)</f>
        <v>0.257913206275877</v>
      </c>
      <c r="BP112" s="43" t="n">
        <f aca="false">MIN(MIN(1,BDC!$H$31*$CD$96),$CD$95)</f>
        <v>0</v>
      </c>
      <c r="BQ112" s="43" t="n">
        <f aca="false">BDC!$I$31*BDC!$J$31*BP112*(1-0.3)</f>
        <v>0</v>
      </c>
      <c r="BR112" s="45" t="n">
        <f aca="false">BDC!$C$31*($CD$94*MAX(BN112,BO112)+BQ112)</f>
        <v>0.634466487438657</v>
      </c>
      <c r="CC112" s="10" t="s">
        <v>998</v>
      </c>
      <c r="CD112" s="43" t="n">
        <f aca="false">p_phi*MAX(0,g_trs_adv-$CD$109)/g_trs_adv+(1-p_phi)*MAX(0,g_trs_adv-$CD$107)/g_trs_adv</f>
        <v>0.785218670361803</v>
      </c>
    </row>
    <row r="113" customFormat="false" ht="15" hidden="false" customHeight="true" outlineLevel="0" collapsed="false">
      <c r="BI113" s="12" t="str">
        <f aca="false">BDC!$A$32</f>
        <v>CGBD</v>
      </c>
      <c r="BJ113" s="43" t="n">
        <f aca="false">1-((1-BDC!$D$32)*$CD$103+BDC!$D$32*$CD$104)-p_gap-$CD$93*(1-BDC!$M$32)</f>
        <v>0.378165749019815</v>
      </c>
      <c r="BK113" s="43" t="n">
        <f aca="false">(1-BDC!$D$32)*$CD$105+BDC!$D$32*$CD$106</f>
        <v>0.0643143988911463</v>
      </c>
      <c r="BL113" s="45" t="n">
        <f aca="false">BJ113/BDC!$K$32</f>
        <v>0.695952092733944</v>
      </c>
      <c r="BM113" s="35" t="n">
        <f aca="false">IF(BL113&lt;1.5,BDC!$C$32,0)</f>
        <v>2.36</v>
      </c>
      <c r="BN113" s="43" t="n">
        <f aca="false">MAX(0,1-BJ113*(1-CE_mig_hc)-p_bb_cush)*BDC!$Q$32</f>
        <v>0.188636784641365</v>
      </c>
      <c r="BO113" s="43" t="n">
        <f aca="false">MAX(0,BDC!$K$32-BJ113/1.5)</f>
        <v>0.291268496087247</v>
      </c>
      <c r="BP113" s="43" t="n">
        <f aca="false">MIN(MIN(1,BDC!$H$32*$CD$96),$CD$95)</f>
        <v>0</v>
      </c>
      <c r="BQ113" s="43" t="n">
        <f aca="false">BDC!$I$32*BDC!$J$32*BP113*(1-0.3)</f>
        <v>0</v>
      </c>
      <c r="BR113" s="45" t="n">
        <f aca="false">BDC!$C$32*($CD$94*MAX(BN113,BO113)+BQ113)</f>
        <v>0.687393650765903</v>
      </c>
      <c r="CC113" s="10" t="s">
        <v>999</v>
      </c>
      <c r="CD113" s="43" t="n">
        <f aca="false">SUM($BM$87:$BM$120)/SUM(BDC!$C$6:$C$39)</f>
        <v>0.998189261533617</v>
      </c>
    </row>
    <row r="114" customFormat="false" ht="15" hidden="false" customHeight="true" outlineLevel="0" collapsed="false">
      <c r="BI114" s="12" t="str">
        <f aca="false">BDC!$A$33</f>
        <v>KBDC</v>
      </c>
      <c r="BJ114" s="43" t="n">
        <f aca="false">1-((1-BDC!$D$33)*$CD$103+BDC!$D$33*$CD$104)-p_gap-$CD$93*(1-BDC!$M$33)</f>
        <v>0.456205474041006</v>
      </c>
      <c r="BK114" s="43" t="n">
        <f aca="false">(1-BDC!$D$33)*$CD$105+BDC!$D$33*$CD$106</f>
        <v>0.0684875546802781</v>
      </c>
      <c r="BL114" s="45" t="n">
        <f aca="false">BJ114/BDC!$K$33</f>
        <v>0.846124682623062</v>
      </c>
      <c r="BM114" s="35" t="n">
        <f aca="false">IF(BL114&lt;1.5,BDC!$C$33,0)</f>
        <v>2.29</v>
      </c>
      <c r="BN114" s="43" t="n">
        <f aca="false">MAX(0,1-BJ114*(1-CE_mig_hc)-p_bb_cush)*BDC!$Q$33</f>
        <v>0.1539572367744</v>
      </c>
      <c r="BO114" s="43" t="n">
        <f aca="false">MAX(0,BDC!$K$33-BJ114/1.5)</f>
        <v>0.235033524218438</v>
      </c>
      <c r="BP114" s="43" t="n">
        <f aca="false">MIN(MIN(1,BDC!$H$33*$CD$96),$CD$95)</f>
        <v>0</v>
      </c>
      <c r="BQ114" s="43" t="n">
        <f aca="false">BDC!$I$33*BDC!$J$33*BP114*(1-0.3)</f>
        <v>0</v>
      </c>
      <c r="BR114" s="45" t="n">
        <f aca="false">BDC!$C$33*($CD$94*MAX(BN114,BO114)+BQ114)</f>
        <v>0.538226770460224</v>
      </c>
      <c r="CC114" s="10" t="s">
        <v>869</v>
      </c>
      <c r="CD114" s="35" t="n">
        <f aca="false">p_pc_scale*SUM($BR$87:$BR$120)</f>
        <v>209.214230667799</v>
      </c>
    </row>
    <row r="115" customFormat="false" ht="15" hidden="false" customHeight="true" outlineLevel="0" collapsed="false">
      <c r="BI115" s="12" t="str">
        <f aca="false">BDC!$A$34</f>
        <v>NMFC</v>
      </c>
      <c r="BJ115" s="43" t="n">
        <f aca="false">1-((1-BDC!$D$34)*$CD$103+BDC!$D$34*$CD$104)-p_gap-$CD$93*(1-BDC!$M$34)</f>
        <v>0.361123826355913</v>
      </c>
      <c r="BK115" s="43" t="n">
        <f aca="false">(1-BDC!$D$34)*$CD$105+BDC!$D$34*$CD$106</f>
        <v>0.0628985067484052</v>
      </c>
      <c r="BL115" s="45" t="n">
        <f aca="false">BJ115/BDC!$K$34</f>
        <v>0.636790869375694</v>
      </c>
      <c r="BM115" s="35" t="n">
        <f aca="false">IF(BL115&lt;1.5,BDC!$C$34,0)</f>
        <v>2.29</v>
      </c>
      <c r="BN115" s="43" t="n">
        <f aca="false">MAX(0,1-BJ115*(1-CE_mig_hc)-p_bb_cush)*BDC!$Q$34</f>
        <v>0.15656762438422</v>
      </c>
      <c r="BO115" s="43" t="n">
        <f aca="false">MAX(0,BDC!$K$34-BJ115/1.5)</f>
        <v>0.326350349528958</v>
      </c>
      <c r="BP115" s="43" t="n">
        <f aca="false">MIN(MIN(1,BDC!$H$34*$CD$96),$CD$95)</f>
        <v>0</v>
      </c>
      <c r="BQ115" s="43" t="n">
        <f aca="false">BDC!$I$34*BDC!$J$34*BP115*(1-0.3)</f>
        <v>0</v>
      </c>
      <c r="BR115" s="45" t="n">
        <f aca="false">BDC!$C$34*($CD$94*MAX(BN115,BO115)+BQ115)</f>
        <v>0.747342300421315</v>
      </c>
    </row>
    <row r="116" customFormat="false" ht="15" hidden="false" customHeight="true" outlineLevel="0" collapsed="false">
      <c r="BI116" s="12" t="str">
        <f aca="false">BDC!$A$35</f>
        <v>HPS CCS</v>
      </c>
      <c r="BJ116" s="43" t="n">
        <f aca="false">1-((1-BDC!$D$35)*$CD$103+BDC!$D$35*$CD$104)-p_gap-$CD$93*(1-BDC!$M$35)</f>
        <v>0.428848454391989</v>
      </c>
      <c r="BK116" s="43" t="n">
        <f aca="false">(1-BDC!$D$35)*$CD$105+BDC!$D$35*$CD$106</f>
        <v>0.0651713862407002</v>
      </c>
      <c r="BL116" s="45" t="n">
        <f aca="false">BJ116/BDC!$K$35</f>
        <v>1.05036795351081</v>
      </c>
      <c r="BM116" s="35" t="n">
        <f aca="false">IF(BL116&lt;1.5,BDC!$C$35,0)</f>
        <v>2.27</v>
      </c>
      <c r="BN116" s="43" t="n">
        <f aca="false">MAX(0,1-BJ116*(1-CE_mig_hc)-p_bb_cush)*BDC!$Q$35</f>
        <v>0.121466639892192</v>
      </c>
      <c r="BO116" s="43" t="n">
        <f aca="false">MAX(0,BDC!$K$35-BJ116/1.5)</f>
        <v>0.12238505407398</v>
      </c>
      <c r="BP116" s="43" t="n">
        <f aca="false">MIN(MIN(1,BDC!$H$35*$CD$96),$CD$95)</f>
        <v>0.138</v>
      </c>
      <c r="BQ116" s="43" t="n">
        <f aca="false">BDC!$I$35*BDC!$J$35*BP116*(1-0.3)</f>
        <v>0.0571597633136095</v>
      </c>
      <c r="BR116" s="45" t="n">
        <f aca="false">BDC!$C$35*($CD$94*MAX(BN116,BO116)+BQ116)</f>
        <v>0.407566735469828</v>
      </c>
    </row>
    <row r="117" customFormat="false" ht="15" hidden="false" customHeight="true" outlineLevel="0" collapsed="false">
      <c r="BI117" s="12" t="str">
        <f aca="false">BDC!$A$36</f>
        <v>APCF</v>
      </c>
      <c r="BJ117" s="43" t="n">
        <f aca="false">1-((1-BDC!$D$36)*$CD$103+BDC!$D$36*$CD$104)-p_gap-$CD$93*(1-BDC!$M$36)</f>
        <v>0.412233180685897</v>
      </c>
      <c r="BK117" s="43" t="n">
        <f aca="false">(1-BDC!$D$36)*$CD$105+BDC!$D$36*$CD$106</f>
        <v>0.0624141225943096</v>
      </c>
      <c r="BL117" s="45" t="n">
        <f aca="false">BJ117/BDC!$K$36</f>
        <v>0.770696816064938</v>
      </c>
      <c r="BM117" s="35" t="n">
        <f aca="false">IF(BL117&lt;1.5,BDC!$C$36,0)</f>
        <v>1.73</v>
      </c>
      <c r="BN117" s="43" t="n">
        <f aca="false">MAX(0,1-BJ117*(1-CE_mig_hc)-p_bb_cush)*BDC!$Q$36</f>
        <v>0.163016261096768</v>
      </c>
      <c r="BO117" s="43" t="n">
        <f aca="false">MAX(0,BDC!$K$36-BJ117/1.5)</f>
        <v>0.260061600472968</v>
      </c>
      <c r="BP117" s="43" t="n">
        <f aca="false">MIN(MIN(1,BDC!$H$36*$CD$96),$CD$95)</f>
        <v>0.0135</v>
      </c>
      <c r="BQ117" s="43" t="n">
        <f aca="false">BDC!$I$36*BDC!$J$36*BP117*(1-0.3)</f>
        <v>0.0043953488372093</v>
      </c>
      <c r="BR117" s="45" t="n">
        <f aca="false">BDC!$C$36*($CD$94*MAX(BN117,BO117)+BQ117)</f>
        <v>0.457510522306607</v>
      </c>
    </row>
    <row r="118" customFormat="false" ht="15" hidden="false" customHeight="true" outlineLevel="0" collapsed="false">
      <c r="BI118" s="12" t="str">
        <f aca="false">BDC!$A$37</f>
        <v>TCPC</v>
      </c>
      <c r="BJ118" s="43" t="n">
        <f aca="false">1-((1-BDC!$D$37)*$CD$103+BDC!$D$37*$CD$104)-p_gap-$CD$93*(1-BDC!$M$37)</f>
        <v>0.368439426438033</v>
      </c>
      <c r="BK118" s="43" t="n">
        <f aca="false">(1-BDC!$D$37)*$CD$105+BDC!$D$37*$CD$106</f>
        <v>0.059246995432915</v>
      </c>
      <c r="BL118" s="45" t="n">
        <f aca="false">BJ118/BDC!$K$37</f>
        <v>0.59173604852169</v>
      </c>
      <c r="BM118" s="35" t="n">
        <f aca="false">IF(BL118&lt;1.5,BDC!$C$37,0)</f>
        <v>1.29</v>
      </c>
      <c r="BN118" s="43" t="n">
        <f aca="false">MAX(0,1-BJ118*(1-CE_mig_hc)-p_bb_cush)*BDC!$Q$37</f>
        <v>0.201683787747215</v>
      </c>
      <c r="BO118" s="43" t="n">
        <f aca="false">MAX(0,BDC!$K$37-BJ118/1.5)</f>
        <v>0.37701522514194</v>
      </c>
      <c r="BP118" s="43" t="n">
        <f aca="false">MIN(MIN(1,BDC!$H$37*$CD$96),$CD$95)</f>
        <v>0</v>
      </c>
      <c r="BQ118" s="43" t="n">
        <f aca="false">BDC!$I$37*BDC!$J$37*BP118*(1-0.3)</f>
        <v>0</v>
      </c>
      <c r="BR118" s="45" t="n">
        <f aca="false">BDC!$C$37*($CD$94*MAX(BN118,BO118)+BQ118)</f>
        <v>0.486349640433103</v>
      </c>
    </row>
    <row r="119" customFormat="false" ht="15" hidden="false" customHeight="true" outlineLevel="0" collapsed="false">
      <c r="BI119" s="12" t="str">
        <f aca="false">BDC!$A$38</f>
        <v>OBDC II</v>
      </c>
      <c r="BJ119" s="43" t="n">
        <f aca="false">1-((1-BDC!$D$38)*$CD$103+BDC!$D$38*$CD$104)-p_gap-$CD$93*(1-BDC!$M$38)</f>
        <v>0.431318292375327</v>
      </c>
      <c r="BK119" s="43" t="n">
        <f aca="false">(1-BDC!$D$38)*$CD$105+BDC!$D$38*$CD$106</f>
        <v>0.0655812497557042</v>
      </c>
      <c r="BL119" s="45" t="n">
        <f aca="false">BJ119/BDC!$K$38</f>
        <v>2.02879344932098</v>
      </c>
      <c r="BM119" s="35" t="n">
        <f aca="false">IF(BL119&lt;1.5,BDC!$C$38,0)</f>
        <v>0</v>
      </c>
      <c r="BN119" s="43" t="n">
        <f aca="false">MAX(0,1-BJ119*(1-CE_mig_hc)-p_bb_cush)*BDC!$Q$38</f>
        <v>0.126039156046108</v>
      </c>
      <c r="BO119" s="43" t="n">
        <f aca="false">MAX(0,BDC!$K$38-BJ119/1.5)</f>
        <v>0</v>
      </c>
      <c r="BP119" s="43" t="n">
        <f aca="false">MIN(MIN(1,BDC!$H$38*$CD$96),$CD$95)</f>
        <v>0</v>
      </c>
      <c r="BQ119" s="43" t="n">
        <f aca="false">BDC!$I$38*BDC!$J$38*BP119*(1-0.3)</f>
        <v>0</v>
      </c>
      <c r="BR119" s="45" t="n">
        <f aca="false">BDC!$C$38*($CD$94*MAX(BN119,BO119)+BQ119)</f>
        <v>0.0869670176718148</v>
      </c>
    </row>
    <row r="120" customFormat="false" ht="15" hidden="false" customHeight="true" outlineLevel="0" collapsed="false">
      <c r="BI120" s="12" t="str">
        <f aca="false">BDC!$A$39</f>
        <v>NHPIF-A</v>
      </c>
      <c r="BJ120" s="43" t="n">
        <f aca="false">1-((1-BDC!$D$39)*$CD$103+BDC!$D$39*$CD$104)-p_gap-$CD$93*(1-BDC!$M$39)</f>
        <v>0.406395381816189</v>
      </c>
      <c r="BK120" s="43" t="n">
        <f aca="false">(1-BDC!$D$39)*$CD$105+BDC!$D$39*$CD$106</f>
        <v>0.0614453542861183</v>
      </c>
      <c r="BL120" s="45" t="n">
        <f aca="false">BJ120/BDC!$K$39</f>
        <v>0.800954004938703</v>
      </c>
      <c r="BM120" s="35" t="n">
        <f aca="false">IF(BL120&lt;1.5,BDC!$C$39,0)</f>
        <v>0.6</v>
      </c>
      <c r="BN120" s="43" t="n">
        <f aca="false">MAX(0,1-BJ120*(1-CE_mig_hc)-p_bb_cush)*BDC!$Q$39</f>
        <v>0.155931774753151</v>
      </c>
      <c r="BO120" s="43" t="n">
        <f aca="false">MAX(0,BDC!$K$39-BJ120/1.5)</f>
        <v>0.23645890801745</v>
      </c>
      <c r="BP120" s="43" t="n">
        <f aca="false">MIN(MIN(1,BDC!$H$39*$CD$96),$CD$95)</f>
        <v>0.204</v>
      </c>
      <c r="BQ120" s="43" t="n">
        <f aca="false">BDC!$I$39*BDC!$J$39*BP120*(1-0.3)</f>
        <v>0.0703448275862069</v>
      </c>
      <c r="BR120" s="45" t="n">
        <f aca="false">BDC!$C$39*($CD$94*MAX(BN120,BO120)+BQ120)</f>
        <v>0.184082241362194</v>
      </c>
    </row>
    <row r="125" customFormat="false" ht="15" hidden="false" customHeight="true" outlineLevel="0" collapsed="false">
      <c r="A125" s="9" t="s">
        <v>1002</v>
      </c>
    </row>
    <row r="126" customFormat="false" ht="42" hidden="false" customHeight="true" outlineLevel="0" collapsed="false">
      <c r="A126" s="21" t="s">
        <v>51</v>
      </c>
      <c r="B126" s="21" t="s">
        <v>910</v>
      </c>
      <c r="C126" s="21" t="s">
        <v>911</v>
      </c>
      <c r="D126" s="21" t="s">
        <v>912</v>
      </c>
      <c r="E126" s="21" t="s">
        <v>913</v>
      </c>
      <c r="F126" s="21" t="s">
        <v>914</v>
      </c>
      <c r="G126" s="21" t="s">
        <v>61</v>
      </c>
      <c r="H126" s="21" t="s">
        <v>915</v>
      </c>
      <c r="I126" s="21" t="s">
        <v>916</v>
      </c>
      <c r="J126" s="21" t="s">
        <v>917</v>
      </c>
      <c r="K126" s="21" t="s">
        <v>918</v>
      </c>
      <c r="L126" s="21" t="s">
        <v>919</v>
      </c>
      <c r="M126" s="21" t="s">
        <v>920</v>
      </c>
      <c r="N126" s="21" t="s">
        <v>921</v>
      </c>
      <c r="O126" s="21" t="s">
        <v>922</v>
      </c>
      <c r="P126" s="21" t="s">
        <v>923</v>
      </c>
      <c r="Q126" s="21" t="s">
        <v>924</v>
      </c>
      <c r="R126" s="21" t="s">
        <v>925</v>
      </c>
      <c r="S126" s="21" t="s">
        <v>926</v>
      </c>
      <c r="T126" s="21" t="s">
        <v>927</v>
      </c>
      <c r="U126" s="21" t="s">
        <v>928</v>
      </c>
      <c r="V126" s="21" t="s">
        <v>60</v>
      </c>
      <c r="W126" s="21" t="s">
        <v>929</v>
      </c>
      <c r="X126" s="21" t="s">
        <v>930</v>
      </c>
      <c r="Y126" s="21" t="s">
        <v>931</v>
      </c>
      <c r="Z126" s="21" t="s">
        <v>932</v>
      </c>
      <c r="AA126" s="21" t="s">
        <v>933</v>
      </c>
      <c r="AB126" s="21" t="s">
        <v>934</v>
      </c>
      <c r="AC126" s="21" t="s">
        <v>935</v>
      </c>
      <c r="AD126" s="21" t="s">
        <v>936</v>
      </c>
      <c r="AE126" s="21" t="s">
        <v>937</v>
      </c>
      <c r="AF126" s="21" t="s">
        <v>938</v>
      </c>
      <c r="AG126" s="21" t="s">
        <v>939</v>
      </c>
      <c r="AH126" s="21" t="s">
        <v>940</v>
      </c>
      <c r="AI126" s="21" t="s">
        <v>941</v>
      </c>
      <c r="AJ126" s="21" t="s">
        <v>942</v>
      </c>
      <c r="AK126" s="21" t="s">
        <v>943</v>
      </c>
      <c r="AL126" s="21" t="s">
        <v>944</v>
      </c>
      <c r="AM126" s="21" t="s">
        <v>945</v>
      </c>
      <c r="AN126" s="21" t="s">
        <v>946</v>
      </c>
      <c r="AO126" s="21" t="s">
        <v>947</v>
      </c>
      <c r="AP126" s="21" t="s">
        <v>948</v>
      </c>
      <c r="AQ126" s="21" t="s">
        <v>949</v>
      </c>
      <c r="AR126" s="21" t="s">
        <v>950</v>
      </c>
      <c r="AS126" s="21" t="s">
        <v>951</v>
      </c>
      <c r="AT126" s="21" t="s">
        <v>952</v>
      </c>
      <c r="AU126" s="21" t="s">
        <v>953</v>
      </c>
      <c r="AV126" s="21" t="s">
        <v>954</v>
      </c>
      <c r="AW126" s="21" t="s">
        <v>955</v>
      </c>
      <c r="AX126" s="21" t="s">
        <v>956</v>
      </c>
      <c r="AY126" s="21" t="s">
        <v>957</v>
      </c>
      <c r="AZ126" s="21" t="s">
        <v>958</v>
      </c>
      <c r="BA126" s="21" t="s">
        <v>959</v>
      </c>
      <c r="BB126" s="21" t="s">
        <v>960</v>
      </c>
      <c r="BC126" s="21" t="s">
        <v>614</v>
      </c>
      <c r="BD126" s="21" t="s">
        <v>961</v>
      </c>
      <c r="BE126" s="21" t="s">
        <v>962</v>
      </c>
      <c r="BF126" s="21" t="s">
        <v>963</v>
      </c>
      <c r="BG126" s="21" t="s">
        <v>964</v>
      </c>
      <c r="BI126" s="21" t="s">
        <v>599</v>
      </c>
      <c r="BJ126" s="21" t="s">
        <v>960</v>
      </c>
      <c r="BK126" s="21" t="s">
        <v>614</v>
      </c>
      <c r="BL126" s="21" t="s">
        <v>965</v>
      </c>
      <c r="BM126" s="21" t="s">
        <v>966</v>
      </c>
      <c r="BN126" s="21" t="s">
        <v>967</v>
      </c>
      <c r="BO126" s="21" t="s">
        <v>968</v>
      </c>
      <c r="BP126" s="21" t="s">
        <v>969</v>
      </c>
      <c r="BQ126" s="21" t="s">
        <v>622</v>
      </c>
      <c r="BR126" s="21" t="s">
        <v>623</v>
      </c>
      <c r="BT126" s="21" t="s">
        <v>805</v>
      </c>
      <c r="BU126" s="21" t="s">
        <v>970</v>
      </c>
      <c r="BV126" s="21" t="s">
        <v>971</v>
      </c>
      <c r="CC126" s="21" t="s">
        <v>972</v>
      </c>
      <c r="CD126" s="21" t="s">
        <v>363</v>
      </c>
    </row>
    <row r="127" customFormat="false" ht="15" hidden="false" customHeight="true" outlineLevel="0" collapsed="false">
      <c r="A127" s="10" t="s">
        <v>496</v>
      </c>
      <c r="B127" s="35" t="n">
        <f aca="false">AY87</f>
        <v>136.757052678189</v>
      </c>
      <c r="C127" s="39" t="n">
        <f aca="false">AZ87</f>
        <v>0.0579926268046499</v>
      </c>
      <c r="D127" s="44" t="n">
        <f aca="false">IF(C127&lt;Inputs_Banks!$I6,1,0)</f>
        <v>1</v>
      </c>
      <c r="E127" s="44" t="n">
        <f aca="false">IF(C127&lt;0.045,1,0)</f>
        <v>0</v>
      </c>
      <c r="F127" s="44" t="n">
        <f aca="false">IF(B127&lt;0,1,0)</f>
        <v>0</v>
      </c>
      <c r="G127" s="44" t="n">
        <f aca="false">MIN(6,MIN(3,INT(MAX(0,Inputs_Banks!$BA6-C127)/p_notch_step))+D127+2*E127)</f>
        <v>4</v>
      </c>
      <c r="H127" s="39" t="n">
        <f aca="false">C127-Inputs_Banks!$I6</f>
        <v>-0.0570073731953502</v>
      </c>
      <c r="I127" s="44" t="n">
        <f aca="false">RANK(H127,$H$127:$H$150,1)</f>
        <v>12</v>
      </c>
      <c r="J127" s="44" t="n">
        <f aca="false">MAX(IF(I127&lt;=g_n_weak,1,0),E127)</f>
        <v>0</v>
      </c>
      <c r="K127" s="44" t="n">
        <f aca="false">IF(I127&gt;12,1,0)*(1-E127)</f>
        <v>0</v>
      </c>
      <c r="L127" s="35" t="n">
        <f aca="false">INDEX(Inputs_Banks!$AR6:$AX6,1,G127+1)</f>
        <v>0.918</v>
      </c>
      <c r="M127" s="35" t="n">
        <f aca="false">Inputs_Banks!$AI6*MIN(1,p_u_base+$CD$130*p_u_pan_all+J127*($CD$130*p_u_pan_weak+p_u_mda*D127)+p_u_notch*G127+p_u_fail*E127)</f>
        <v>540.609</v>
      </c>
      <c r="N127" s="35" t="n">
        <f aca="false">Inputs_Banks!$AK6*MIN(1,p_w_base+p_w_pan*$CD$130+p_w_notch*G127+0.5*D127+1*E127)</f>
        <v>30.166</v>
      </c>
      <c r="O127" s="35" t="n">
        <f aca="false">Inputs_Banks!$AO6*MIN(1,p_cp_base+p_cp_pan*$CD$130+p_cp_notch*G127)</f>
        <v>5.45</v>
      </c>
      <c r="P127" s="35" t="n">
        <f aca="false">Inputs_Banks!$AN6*(p_dh+p_dh_pan*$CD$130+MIN(1,0.5*$CD$137+0.25*G127))</f>
        <v>244.593789910108</v>
      </c>
      <c r="Q127" s="35" t="n">
        <f aca="false">Modules!$Y6</f>
        <v>45.160097</v>
      </c>
      <c r="R127" s="35" t="n">
        <f aca="false">Inputs_Banks!$AJ6*K127</f>
        <v>0</v>
      </c>
      <c r="S127" s="35" t="n">
        <f aca="false">p_liq_on*$CD$138*SUM($M$127:$M$150)*R127/MAX(0.000000001,SUM($R$127:$R$150))</f>
        <v>0</v>
      </c>
      <c r="T127" s="35" t="n">
        <f aca="false">p_liq_on*(L127+M127+N127+O127+P127+Q127)</f>
        <v>866.896886910109</v>
      </c>
      <c r="U127" s="35" t="n">
        <f aca="false">g_usable*Inputs_Banks!$AG6+p_cb_on*Inputs_Banks!$AQ6+S127</f>
        <v>1057.6002</v>
      </c>
      <c r="V127" s="35" t="n">
        <f aca="false">MAX(0,T127-U127)</f>
        <v>0</v>
      </c>
      <c r="W127" s="44" t="n">
        <f aca="false">IF(V127&gt;0.9*Inputs_Banks!$BB6,1,0)</f>
        <v>0</v>
      </c>
      <c r="X127" s="43" t="n">
        <f aca="false">MAX(p_htm_forced,(1-p_cb_on)*MIN(1,T127/Inputs_Banks!$AG6)*g_theta_sell)</f>
        <v>0.22218736464953</v>
      </c>
      <c r="Y127" s="35" t="n">
        <f aca="false">MAX(0,Modules!$V6-B127/(Inputs_Banks!$I6+g_del_buf))</f>
        <v>1218.53789434842</v>
      </c>
      <c r="Z127" s="35" t="n">
        <f aca="false">MIN(g_del_cap*Inputs_Banks!$BB6,Y127)</f>
        <v>120.0675</v>
      </c>
      <c r="AA127" s="35" t="n">
        <f aca="false">MIN(Inputs_Banks!$BB6,V127+Z127)</f>
        <v>120.0675</v>
      </c>
      <c r="AB127" s="35" t="n">
        <f aca="false">$AA127*Holdings!Q6</f>
        <v>0</v>
      </c>
      <c r="AC127" s="35" t="n">
        <f aca="false">$AA127*Holdings!R6</f>
        <v>0</v>
      </c>
      <c r="AD127" s="35" t="n">
        <f aca="false">$AA127*Holdings!S6</f>
        <v>0</v>
      </c>
      <c r="AE127" s="35" t="n">
        <f aca="false">$AA127*Holdings!T6</f>
        <v>8.5</v>
      </c>
      <c r="AF127" s="35" t="n">
        <f aca="false">$AA127*Holdings!U6</f>
        <v>13.89</v>
      </c>
      <c r="AG127" s="35" t="n">
        <f aca="false">$AA127*Holdings!V6</f>
        <v>0</v>
      </c>
      <c r="AH127" s="35" t="n">
        <f aca="false">$AA127*Holdings!W6</f>
        <v>3.56</v>
      </c>
      <c r="AI127" s="35" t="n">
        <f aca="false">$AA127*Holdings!X6</f>
        <v>11.0075</v>
      </c>
      <c r="AJ127" s="35" t="n">
        <f aca="false">$AA127*Holdings!Y6</f>
        <v>8.495</v>
      </c>
      <c r="AK127" s="35" t="n">
        <f aca="false">$AA127*Holdings!Z6</f>
        <v>0</v>
      </c>
      <c r="AL127" s="35" t="n">
        <f aca="false">$AA127*Holdings!AA6</f>
        <v>66.7675</v>
      </c>
      <c r="AM127" s="35" t="n">
        <f aca="false">$AA127*Holdings!AB6</f>
        <v>0</v>
      </c>
      <c r="AN127" s="35" t="n">
        <f aca="false">$AA127*Holdings!AC6</f>
        <v>7.8475</v>
      </c>
      <c r="AO127" s="43" t="n">
        <f aca="false">MIN(1,$CD$137+0.5*G127)</f>
        <v>1</v>
      </c>
      <c r="AP127" s="35" t="n">
        <f aca="false">p_liq_on*Inputs_Banks!$AP6*AO127*p_mb_psi</f>
        <v>20.688</v>
      </c>
      <c r="AQ127" s="44" t="n">
        <f aca="false">MAX(F127,E127,W127*(1-p_cb_on))</f>
        <v>0</v>
      </c>
      <c r="AR127" s="35" t="n">
        <f aca="false">p_ib_on*p_lgd_ib*g_s_in*g_u_ib*SUMPRODUCT(Network!C$6:C$29,$AQ$127:$AQ$150)</f>
        <v>18.7554113051636</v>
      </c>
      <c r="AS127" s="35" t="n">
        <f aca="false">p_sw_M1*(SUMPRODUCT(BDC_EAD!C$106:C$127,$BF$127:$BF$148)+SUMPRODUCT(BDC_EAD!C$131:C$152,$BG$127:$BG$148)+(Inputs_Banks!$Y6+p_ccf_bl*Inputs_Banks!$Z6)*$CD$150+Modules!$E6)</f>
        <v>58.8832880051148</v>
      </c>
      <c r="AT127" s="35" t="n">
        <f aca="false">p_sw_M3*(Inputs_Banks!$U6+p_ccf_abf*Inputs_Banks!$V6)*$CD$151</f>
        <v>0</v>
      </c>
      <c r="AU127" s="35" t="n">
        <f aca="false">p_sw_M10*Inputs_Banks!$AC6*$CD$152</f>
        <v>0</v>
      </c>
      <c r="AV127" s="35" t="n">
        <f aca="false">p_sw_M8*(Modules!$M6+Modules!$N6*IF(p_liq_on&gt;0,X127,p_htm_forced))</f>
        <v>21.0161031237091</v>
      </c>
      <c r="AW127" s="35" t="n">
        <f aca="false">SUMPRODUCT(Holdings!$C6:$O6,Holdings!$C$32:$O$32,$AB$152:$AN$152)+Inputs_Banks!$P6*$AL$152</f>
        <v>27.990754998401</v>
      </c>
      <c r="AX127" s="35" t="n">
        <f aca="false">Modules!$T6+AS127+AT127+AU127+AV127+AW127+AR127</f>
        <v>167.342947321811</v>
      </c>
      <c r="AY127" s="35" t="n">
        <f aca="false">Modules!$U6-(1-p_tax)*AX127</f>
        <v>136.757052678189</v>
      </c>
      <c r="AZ127" s="39" t="n">
        <f aca="false">AY127/Modules!$V6</f>
        <v>0.0579926268046499</v>
      </c>
      <c r="BA127" s="48" t="s">
        <v>634</v>
      </c>
      <c r="BB127" s="43" t="n">
        <f aca="false">INDEX($BJ$127:$BJ$160,BDC_EAD!$B6)</f>
        <v>0.428174862214715</v>
      </c>
      <c r="BC127" s="43" t="n">
        <f aca="false">INDEX($BK$127:$BK$160,BDC_EAD!$B6)</f>
        <v>0.0650596052820627</v>
      </c>
      <c r="BD127" s="22" t="n">
        <f aca="false">INDEX(BDC!$Q$6:$Q$39,BDC_EAD!$B6)</f>
        <v>0.243786096256685</v>
      </c>
      <c r="BE127" s="43" t="n">
        <f aca="false">BB127*(1-$AK$152)-BC127-p_c_liq</f>
        <v>0.12043656893603</v>
      </c>
      <c r="BF127" s="43" t="n">
        <f aca="false">p_phi*MAX(0,p_a_spv-BE127)/p_a_spv+(1-p_phi)*MAX(0,p_a_spv-BB127)/p_a_spv</f>
        <v>0.740022532011761</v>
      </c>
      <c r="BG127" s="43" t="n">
        <f aca="false">IF(BD127&gt;0,p_phi*MAX(0,BD127-BE127)/BD127+(1-p_phi)*MAX(0,BD127-BB127)/BD127,0)</f>
        <v>0.404779531612922</v>
      </c>
      <c r="BI127" s="12" t="str">
        <f aca="false">BDC!$A$6</f>
        <v>BCRED</v>
      </c>
      <c r="BJ127" s="43" t="n">
        <f aca="false">1-((1-BDC!$D$6)*$CD$143+BDC!$D$6*$CD$144)-p_gap-$CD$133*(1-BDC!$M$6)</f>
        <v>0.394270722625258</v>
      </c>
      <c r="BK127" s="43" t="n">
        <f aca="false">(1-BDC!$D$6)*$CD$145+BDC!$D$6*$CD$146</f>
        <v>0.0594332970306441</v>
      </c>
      <c r="BL127" s="45" t="n">
        <f aca="false">BJ127/BDC!$K$6</f>
        <v>0.875088677046303</v>
      </c>
      <c r="BM127" s="35" t="n">
        <f aca="false">IF(BL127&lt;1.5,BDC!$C$6,0)</f>
        <v>77.65</v>
      </c>
      <c r="BN127" s="43" t="n">
        <f aca="false">MAX(0,1-BJ127*(1-CE_mig_hc)-p_bb_cush)*BDC!$Q$6</f>
        <v>0.162261545017265</v>
      </c>
      <c r="BO127" s="43" t="n">
        <f aca="false">MAX(0,BDC!$K$6-BJ127/1.5)</f>
        <v>0.187702302132612</v>
      </c>
      <c r="BP127" s="43" t="n">
        <f aca="false">MIN(MIN(1,BDC!$H$6*$CD$136),$CD$135)</f>
        <v>0.25</v>
      </c>
      <c r="BQ127" s="43" t="n">
        <f aca="false">BDC!$I$6*BDC!$J$6*BP127*(1-0.3)</f>
        <v>0.0961538461538462</v>
      </c>
      <c r="BR127" s="45" t="n">
        <f aca="false">BDC!$C$6*($CD$134*MAX(BN127,BO127)+BQ127)</f>
        <v>22.0414299144435</v>
      </c>
      <c r="BT127" s="10" t="s">
        <v>816</v>
      </c>
      <c r="BU127" s="43" t="n">
        <f aca="false">NORMSDIST((NORMSINV(CreditEngine!$D$6)-SQRT(g_rho)*$CD$131)/SQRT(1-g_rho))</f>
        <v>0.666274429098982</v>
      </c>
      <c r="BV127" s="43" t="n">
        <f aca="false">NORMSDIST((NORMSINV(MIN(0.999,CreditEngine!$D$6*p_m_sw))-SQRT(g_rho)*$CD$131)/SQRT(1-g_rho))</f>
        <v>0.838888284547613</v>
      </c>
      <c r="CC127" s="10" t="s">
        <v>973</v>
      </c>
      <c r="CD127" s="43" t="n">
        <f aca="false">$CD$113</f>
        <v>0.998189261533617</v>
      </c>
    </row>
    <row r="128" customFormat="false" ht="15" hidden="false" customHeight="true" outlineLevel="0" collapsed="false">
      <c r="A128" s="10" t="s">
        <v>499</v>
      </c>
      <c r="B128" s="35" t="n">
        <f aca="false">AY88</f>
        <v>53.0866430382107</v>
      </c>
      <c r="C128" s="39" t="n">
        <f aca="false">AZ88</f>
        <v>0.0269501064254917</v>
      </c>
      <c r="D128" s="44" t="n">
        <f aca="false">IF(C128&lt;Inputs_Banks!$I7,1,0)</f>
        <v>1</v>
      </c>
      <c r="E128" s="44" t="n">
        <f aca="false">IF(C128&lt;0.045,1,0)</f>
        <v>1</v>
      </c>
      <c r="F128" s="44" t="n">
        <f aca="false">IF(B128&lt;0,1,0)</f>
        <v>0</v>
      </c>
      <c r="G128" s="44" t="n">
        <f aca="false">MIN(6,MIN(3,INT(MAX(0,Inputs_Banks!$BA7-C128)/p_notch_step))+D128+2*E128)</f>
        <v>6</v>
      </c>
      <c r="H128" s="39" t="n">
        <f aca="false">C128-Inputs_Banks!$I7</f>
        <v>-0.0730498935745083</v>
      </c>
      <c r="I128" s="44" t="n">
        <f aca="false">RANK(H128,$H$127:$H$150,1)</f>
        <v>9</v>
      </c>
      <c r="J128" s="44" t="n">
        <f aca="false">MAX(IF(I128&lt;=g_n_weak,1,0),E128)</f>
        <v>1</v>
      </c>
      <c r="K128" s="44" t="n">
        <f aca="false">IF(I128&gt;12,1,0)*(1-E128)</f>
        <v>0</v>
      </c>
      <c r="L128" s="35" t="n">
        <f aca="false">INDEX(Inputs_Banks!$AR7:$AX7,1,G128+1)</f>
        <v>6.81</v>
      </c>
      <c r="M128" s="35" t="n">
        <f aca="false">Inputs_Banks!$AI7*MIN(1,p_u_base+$CD$130*p_u_pan_all+J128*($CD$130*p_u_pan_weak+p_u_mda*D128)+p_u_notch*G128+p_u_fail*E128)</f>
        <v>845.718</v>
      </c>
      <c r="N128" s="35" t="n">
        <f aca="false">Inputs_Banks!$AK7*MIN(1,p_w_base+p_w_pan*$CD$130+p_w_notch*G128+0.5*D128+1*E128)</f>
        <v>59.979</v>
      </c>
      <c r="O128" s="35" t="n">
        <f aca="false">Inputs_Banks!$AO7*MIN(1,p_cp_base+p_cp_pan*$CD$130+p_cp_notch*G128)</f>
        <v>27.98</v>
      </c>
      <c r="P128" s="35" t="n">
        <f aca="false">Inputs_Banks!$AN7*(p_dh+p_dh_pan*$CD$130+MIN(1,0.5*$CD$137+0.25*G128))</f>
        <v>74.3236122327501</v>
      </c>
      <c r="Q128" s="35" t="n">
        <f aca="false">Modules!$Y7</f>
        <v>25.5386092</v>
      </c>
      <c r="R128" s="35" t="n">
        <f aca="false">Inputs_Banks!$AJ7*K128</f>
        <v>0</v>
      </c>
      <c r="S128" s="35" t="n">
        <f aca="false">p_liq_on*$CD$138*SUM($M$127:$M$150)*R128/MAX(0.000000001,SUM($R$127:$R$150))</f>
        <v>0</v>
      </c>
      <c r="T128" s="35" t="n">
        <f aca="false">p_liq_on*(L128+M128+N128+O128+P128+Q128)</f>
        <v>1040.34922143275</v>
      </c>
      <c r="U128" s="35" t="n">
        <f aca="false">g_usable*Inputs_Banks!$AG7+p_cb_on*Inputs_Banks!$AQ7+S128</f>
        <v>759.9</v>
      </c>
      <c r="V128" s="35" t="n">
        <f aca="false">MAX(0,T128-U128)</f>
        <v>280.44922143275</v>
      </c>
      <c r="W128" s="44" t="n">
        <f aca="false">IF(V128&gt;0.9*Inputs_Banks!$BB7,1,0)</f>
        <v>1</v>
      </c>
      <c r="X128" s="43" t="n">
        <f aca="false">MAX(p_htm_forced,(1-p_cb_on)*MIN(1,T128/Inputs_Banks!$AG7)*g_theta_sell)</f>
        <v>0.25</v>
      </c>
      <c r="Y128" s="35" t="n">
        <f aca="false">MAX(0,Modules!$V7-B128/(Inputs_Banks!$I7+g_del_buf))</f>
        <v>1464.22492344561</v>
      </c>
      <c r="Z128" s="35" t="n">
        <f aca="false">MIN(g_del_cap*Inputs_Banks!$BB7,Y128)</f>
        <v>52.7625</v>
      </c>
      <c r="AA128" s="35" t="n">
        <f aca="false">MIN(Inputs_Banks!$BB7,V128+Z128)</f>
        <v>211.05</v>
      </c>
      <c r="AB128" s="35" t="n">
        <f aca="false">$AA128*Holdings!Q7</f>
        <v>0</v>
      </c>
      <c r="AC128" s="35" t="n">
        <f aca="false">$AA128*Holdings!R7</f>
        <v>0</v>
      </c>
      <c r="AD128" s="35" t="n">
        <f aca="false">$AA128*Holdings!S7</f>
        <v>0</v>
      </c>
      <c r="AE128" s="35" t="n">
        <f aca="false">$AA128*Holdings!T7</f>
        <v>14.32</v>
      </c>
      <c r="AF128" s="35" t="n">
        <f aca="false">$AA128*Holdings!U7</f>
        <v>45.65</v>
      </c>
      <c r="AG128" s="35" t="n">
        <f aca="false">$AA128*Holdings!V7</f>
        <v>0</v>
      </c>
      <c r="AH128" s="35" t="n">
        <f aca="false">$AA128*Holdings!W7</f>
        <v>6.9</v>
      </c>
      <c r="AI128" s="35" t="n">
        <f aca="false">$AA128*Holdings!X7</f>
        <v>8.75</v>
      </c>
      <c r="AJ128" s="35" t="n">
        <f aca="false">$AA128*Holdings!Y7</f>
        <v>14.76</v>
      </c>
      <c r="AK128" s="35" t="n">
        <f aca="false">$AA128*Holdings!Z7</f>
        <v>0</v>
      </c>
      <c r="AL128" s="35" t="n">
        <f aca="false">$AA128*Holdings!AA7</f>
        <v>120.67</v>
      </c>
      <c r="AM128" s="35" t="n">
        <f aca="false">$AA128*Holdings!AB7</f>
        <v>0</v>
      </c>
      <c r="AN128" s="35" t="n">
        <f aca="false">$AA128*Holdings!AC7</f>
        <v>0</v>
      </c>
      <c r="AO128" s="43" t="n">
        <f aca="false">MIN(1,$CD$137+0.5*G128)</f>
        <v>1</v>
      </c>
      <c r="AP128" s="35" t="n">
        <f aca="false">p_liq_on*Inputs_Banks!$AP7*AO128*p_mb_psi</f>
        <v>4.722</v>
      </c>
      <c r="AQ128" s="44" t="n">
        <f aca="false">MAX(F128,E128,W128*(1-p_cb_on))</f>
        <v>1</v>
      </c>
      <c r="AR128" s="35" t="n">
        <f aca="false">p_ib_on*p_lgd_ib*g_s_in*g_u_ib*SUMPRODUCT(Network!D$6:D$29,$AQ$127:$AQ$150)</f>
        <v>9.82416957801496</v>
      </c>
      <c r="AS128" s="35" t="n">
        <f aca="false">p_sw_M1*(SUMPRODUCT(BDC_EAD!D$106:D$127,$BF$127:$BF$148)+SUMPRODUCT(BDC_EAD!D$131:D$152,$BG$127:$BG$148)+(Inputs_Banks!$Y7+p_ccf_bl*Inputs_Banks!$Z7)*$CD$150+Modules!$E7)</f>
        <v>27.9111227157586</v>
      </c>
      <c r="AT128" s="35" t="n">
        <f aca="false">p_sw_M3*(Inputs_Banks!$U7+p_ccf_abf*Inputs_Banks!$V7)*$CD$151</f>
        <v>0</v>
      </c>
      <c r="AU128" s="35" t="n">
        <f aca="false">p_sw_M10*Inputs_Banks!$AC7*$CD$152</f>
        <v>39.156499434932</v>
      </c>
      <c r="AV128" s="35" t="n">
        <f aca="false">p_sw_M8*(Modules!$M7+Modules!$N7*IF(p_liq_on&gt;0,X128,p_htm_forced))</f>
        <v>36.823985</v>
      </c>
      <c r="AW128" s="35" t="n">
        <f aca="false">SUMPRODUCT(Holdings!$C7:$O7,Holdings!$C$32:$O$32,$AB$152:$AN$152)+Inputs_Banks!$P7*$AL$152</f>
        <v>11.4775672079968</v>
      </c>
      <c r="AX128" s="35" t="n">
        <f aca="false">Modules!$T7+AS128+AT128+AU128+AV128+AW128+AR128</f>
        <v>145.313356961789</v>
      </c>
      <c r="AY128" s="35" t="n">
        <f aca="false">Modules!$U7-(1-p_tax)*AX128</f>
        <v>53.0866430382107</v>
      </c>
      <c r="AZ128" s="39" t="n">
        <f aca="false">AY128/Modules!$V7</f>
        <v>0.0269501064254917</v>
      </c>
      <c r="BA128" s="48" t="s">
        <v>632</v>
      </c>
      <c r="BB128" s="43" t="n">
        <f aca="false">INDEX($BJ$127:$BJ$160,BDC_EAD!$B7)</f>
        <v>0.493705250996006</v>
      </c>
      <c r="BC128" s="43" t="n">
        <f aca="false">INDEX($BK$127:$BK$160,BDC_EAD!$B7)</f>
        <v>0.0608491891733852</v>
      </c>
      <c r="BD128" s="22" t="n">
        <f aca="false">INDEX(BDC!$Q$6:$Q$39,BDC_EAD!$B7)</f>
        <v>0.193373831775701</v>
      </c>
      <c r="BE128" s="43" t="n">
        <f aca="false">BB128*(1-$AK$152)-BC128-p_c_liq</f>
        <v>0.160688698874418</v>
      </c>
      <c r="BF128" s="43" t="n">
        <f aca="false">p_phi*MAX(0,p_a_spv-BE128)/p_a_spv+(1-p_phi)*MAX(0,p_a_spv-BB128)/p_a_spv</f>
        <v>0.675297129573235</v>
      </c>
      <c r="BG128" s="43" t="n">
        <f aca="false">IF(BD128&gt;0,p_phi*MAX(0,BD128-BE128)/BD128+(1-p_phi)*MAX(0,BD128-BB128)/BD128,0)</f>
        <v>0.135220500524373</v>
      </c>
      <c r="BI128" s="12" t="str">
        <f aca="false">BDC!$A$7</f>
        <v>OCIC</v>
      </c>
      <c r="BJ128" s="43" t="n">
        <f aca="false">1-((1-BDC!$D$7)*$CD$143+BDC!$D$7*$CD$144)-p_gap-$CD$133*(1-BDC!$M$7)</f>
        <v>0.421663471167733</v>
      </c>
      <c r="BK128" s="43" t="n">
        <f aca="false">(1-BDC!$D$7)*$CD$145+BDC!$D$7*$CD$146</f>
        <v>0.063979056015234</v>
      </c>
      <c r="BL128" s="45" t="n">
        <f aca="false">BJ128/BDC!$K$7</f>
        <v>0.885029923000406</v>
      </c>
      <c r="BM128" s="35" t="n">
        <f aca="false">IF(BL128&lt;1.5,BDC!$C$7,0)</f>
        <v>35.69</v>
      </c>
      <c r="BN128" s="43" t="n">
        <f aca="false">MAX(0,1-BJ128*(1-CE_mig_hc)-p_bb_cush)*BDC!$Q$7</f>
        <v>0.166158381580711</v>
      </c>
      <c r="BO128" s="43" t="n">
        <f aca="false">MAX(0,BDC!$K$7-BJ128/1.5)</f>
        <v>0.195330809797428</v>
      </c>
      <c r="BP128" s="43" t="n">
        <f aca="false">MIN(MIN(1,BDC!$H$7*$CD$136),$CD$135)</f>
        <v>0.25</v>
      </c>
      <c r="BQ128" s="43" t="n">
        <f aca="false">BDC!$I$7*BDC!$J$7*BP128*(1-0.3)</f>
        <v>0.0916230366492147</v>
      </c>
      <c r="BR128" s="45" t="n">
        <f aca="false">BDC!$C$7*($CD$134*MAX(BN128,BO128)+BQ128)</f>
        <v>10.2413827796807</v>
      </c>
      <c r="BT128" s="10" t="s">
        <v>817</v>
      </c>
      <c r="BU128" s="43" t="n">
        <f aca="false">NORMSDIST((NORMSINV(CreditEngine!$D$7)-SQRT(g_rho)*$CD$131)/SQRT(1-g_rho))</f>
        <v>0.694145194913595</v>
      </c>
      <c r="BV128" s="43" t="n">
        <f aca="false">NORMSDIST((NORMSINV(MIN(0.999,CreditEngine!$D$7*p_m_sw))-SQRT(g_rho)*$CD$131)/SQRT(1-g_rho))</f>
        <v>0.863150017491553</v>
      </c>
      <c r="CC128" s="10" t="s">
        <v>974</v>
      </c>
      <c r="CD128" s="43" t="n">
        <f aca="false">$AK$112</f>
        <v>0.45</v>
      </c>
    </row>
    <row r="129" customFormat="false" ht="15" hidden="false" customHeight="true" outlineLevel="0" collapsed="false">
      <c r="A129" s="10" t="s">
        <v>501</v>
      </c>
      <c r="B129" s="35" t="n">
        <f aca="false">AY89</f>
        <v>53.5304669527118</v>
      </c>
      <c r="C129" s="39" t="n">
        <f aca="false">AZ89</f>
        <v>0.0402347976121738</v>
      </c>
      <c r="D129" s="44" t="n">
        <f aca="false">IF(C129&lt;Inputs_Banks!$I8,1,0)</f>
        <v>1</v>
      </c>
      <c r="E129" s="44" t="n">
        <f aca="false">IF(C129&lt;0.045,1,0)</f>
        <v>1</v>
      </c>
      <c r="F129" s="44" t="n">
        <f aca="false">IF(B129&lt;0,1,0)</f>
        <v>0</v>
      </c>
      <c r="G129" s="44" t="n">
        <f aca="false">MIN(6,MIN(3,INT(MAX(0,Inputs_Banks!$BA8-C129)/p_notch_step))+D129+2*E129)</f>
        <v>6</v>
      </c>
      <c r="H129" s="39" t="n">
        <f aca="false">C129-Inputs_Banks!$I8</f>
        <v>-0.0757652023878262</v>
      </c>
      <c r="I129" s="44" t="n">
        <f aca="false">RANK(H129,$H$127:$H$150,1)</f>
        <v>8</v>
      </c>
      <c r="J129" s="44" t="n">
        <f aca="false">MAX(IF(I129&lt;=g_n_weak,1,0),E129)</f>
        <v>1</v>
      </c>
      <c r="K129" s="44" t="n">
        <f aca="false">IF(I129&gt;12,1,0)*(1-E129)</f>
        <v>0</v>
      </c>
      <c r="L129" s="35" t="n">
        <f aca="false">INDEX(Inputs_Banks!$AR8:$AX8,1,G129+1)</f>
        <v>1.5</v>
      </c>
      <c r="M129" s="35" t="n">
        <f aca="false">Inputs_Banks!$AI8*MIN(1,p_u_base+$CD$130*p_u_pan_all+J129*($CD$130*p_u_pan_weak+p_u_mda*D129)+p_u_notch*G129+p_u_fail*E129)</f>
        <v>695.13</v>
      </c>
      <c r="N129" s="35" t="n">
        <f aca="false">Inputs_Banks!$AK8*MIN(1,p_w_base+p_w_pan*$CD$130+p_w_notch*G129+0.5*D129+1*E129)</f>
        <v>60.978</v>
      </c>
      <c r="O129" s="35" t="n">
        <f aca="false">Inputs_Banks!$AO8*MIN(1,p_cp_base+p_cp_pan*$CD$130+p_cp_notch*G129)</f>
        <v>3.89</v>
      </c>
      <c r="P129" s="35" t="n">
        <f aca="false">Inputs_Banks!$AN8*(p_dh+p_dh_pan*$CD$130+MIN(1,0.5*$CD$137+0.25*G129))</f>
        <v>103.70988533276</v>
      </c>
      <c r="Q129" s="35" t="n">
        <f aca="false">Modules!$Y8</f>
        <v>24.8867432</v>
      </c>
      <c r="R129" s="35" t="n">
        <f aca="false">Inputs_Banks!$AJ8*K129</f>
        <v>0</v>
      </c>
      <c r="S129" s="35" t="n">
        <f aca="false">p_liq_on*$CD$138*SUM($M$127:$M$150)*R129/MAX(0.000000001,SUM($R$127:$R$150))</f>
        <v>0</v>
      </c>
      <c r="T129" s="35" t="n">
        <f aca="false">p_liq_on*(L129+M129+N129+O129+P129+Q129)</f>
        <v>890.09462853276</v>
      </c>
      <c r="U129" s="35" t="n">
        <f aca="false">g_usable*Inputs_Banks!$AG8+p_cb_on*Inputs_Banks!$AQ8+S129</f>
        <v>626.52</v>
      </c>
      <c r="V129" s="35" t="n">
        <f aca="false">MAX(0,T129-U129)</f>
        <v>263.57462853276</v>
      </c>
      <c r="W129" s="44" t="n">
        <f aca="false">IF(V129&gt;0.9*Inputs_Banks!$BB8,1,0)</f>
        <v>1</v>
      </c>
      <c r="X129" s="43" t="n">
        <f aca="false">MAX(p_htm_forced,(1-p_cb_on)*MIN(1,T129/Inputs_Banks!$AG8)*g_theta_sell)</f>
        <v>0.25</v>
      </c>
      <c r="Y129" s="35" t="n">
        <f aca="false">MAX(0,Modules!$V8-B129/(Inputs_Banks!$I8+g_del_buf))</f>
        <v>888.051446671803</v>
      </c>
      <c r="Z129" s="35" t="n">
        <f aca="false">MIN(g_del_cap*Inputs_Banks!$BB8,Y129)</f>
        <v>49.625</v>
      </c>
      <c r="AA129" s="35" t="n">
        <f aca="false">MIN(Inputs_Banks!$BB8,V129+Z129)</f>
        <v>198.5</v>
      </c>
      <c r="AB129" s="35" t="n">
        <f aca="false">$AA129*Holdings!Q8</f>
        <v>0</v>
      </c>
      <c r="AC129" s="35" t="n">
        <f aca="false">$AA129*Holdings!R8</f>
        <v>0</v>
      </c>
      <c r="AD129" s="35" t="n">
        <f aca="false">$AA129*Holdings!S8</f>
        <v>0</v>
      </c>
      <c r="AE129" s="35" t="n">
        <f aca="false">$AA129*Holdings!T8</f>
        <v>9.97</v>
      </c>
      <c r="AF129" s="35" t="n">
        <f aca="false">$AA129*Holdings!U8</f>
        <v>31.57</v>
      </c>
      <c r="AG129" s="35" t="n">
        <f aca="false">$AA129*Holdings!V8</f>
        <v>0</v>
      </c>
      <c r="AH129" s="35" t="n">
        <f aca="false">$AA129*Holdings!W8</f>
        <v>1.45</v>
      </c>
      <c r="AI129" s="35" t="n">
        <f aca="false">$AA129*Holdings!X8</f>
        <v>18.23</v>
      </c>
      <c r="AJ129" s="35" t="n">
        <f aca="false">$AA129*Holdings!Y8</f>
        <v>8.48</v>
      </c>
      <c r="AK129" s="35" t="n">
        <f aca="false">$AA129*Holdings!Z8</f>
        <v>0</v>
      </c>
      <c r="AL129" s="35" t="n">
        <f aca="false">$AA129*Holdings!AA8</f>
        <v>97.93</v>
      </c>
      <c r="AM129" s="35" t="n">
        <f aca="false">$AA129*Holdings!AB8</f>
        <v>0</v>
      </c>
      <c r="AN129" s="35" t="n">
        <f aca="false">$AA129*Holdings!AC8</f>
        <v>30.87</v>
      </c>
      <c r="AO129" s="43" t="n">
        <f aca="false">MIN(1,$CD$137+0.5*G129)</f>
        <v>1</v>
      </c>
      <c r="AP129" s="35" t="n">
        <f aca="false">p_liq_on*Inputs_Banks!$AP8*AO129*p_mb_psi</f>
        <v>10.488</v>
      </c>
      <c r="AQ129" s="44" t="n">
        <f aca="false">MAX(F129,E129,W129*(1-p_cb_on))</f>
        <v>1</v>
      </c>
      <c r="AR129" s="35" t="n">
        <f aca="false">p_ib_on*p_lgd_ib*g_s_in*g_u_ib*SUMPRODUCT(Network!E$6:E$29,$AQ$127:$AQ$150)</f>
        <v>8.3290801802124</v>
      </c>
      <c r="AS129" s="35" t="n">
        <f aca="false">p_sw_M1*(SUMPRODUCT(BDC_EAD!E$106:E$127,$BF$127:$BF$148)+SUMPRODUCT(BDC_EAD!E$131:E$152,$BG$127:$BG$148)+(Inputs_Banks!$Y8+p_ccf_bl*Inputs_Banks!$Z8)*$CD$150+Modules!$E8)</f>
        <v>52.4702922221031</v>
      </c>
      <c r="AT129" s="35" t="n">
        <f aca="false">p_sw_M3*(Inputs_Banks!$U8+p_ccf_abf*Inputs_Banks!$V8)*$CD$151</f>
        <v>3.2824246005951</v>
      </c>
      <c r="AU129" s="35" t="n">
        <f aca="false">p_sw_M10*Inputs_Banks!$AC8*$CD$152</f>
        <v>0</v>
      </c>
      <c r="AV129" s="35" t="n">
        <f aca="false">p_sw_M8*(Modules!$M8+Modules!$N8*IF(p_liq_on&gt;0,X129,p_htm_forced))</f>
        <v>12.27977</v>
      </c>
      <c r="AW129" s="35" t="n">
        <f aca="false">SUMPRODUCT(Holdings!$C8:$O8,Holdings!$C$32:$O$32,$AB$152:$AN$152)+Inputs_Banks!$P8*$AL$152</f>
        <v>10.4393066837293</v>
      </c>
      <c r="AX129" s="35" t="n">
        <f aca="false">Modules!$T8+AS129+AT129+AU129+AV129+AW129+AR129</f>
        <v>103.869533047288</v>
      </c>
      <c r="AY129" s="35" t="n">
        <f aca="false">Modules!$U8-(1-p_tax)*AX129</f>
        <v>53.5304669527118</v>
      </c>
      <c r="AZ129" s="39" t="n">
        <f aca="false">AY129/Modules!$V8</f>
        <v>0.0402347976121738</v>
      </c>
      <c r="BA129" s="48" t="s">
        <v>636</v>
      </c>
      <c r="BB129" s="43" t="n">
        <f aca="false">INDEX($BJ$127:$BJ$160,BDC_EAD!$B8)</f>
        <v>0.404374605284367</v>
      </c>
      <c r="BC129" s="43" t="n">
        <f aca="false">INDEX($BK$127:$BK$160,BDC_EAD!$B8)</f>
        <v>0.0611100114102059</v>
      </c>
      <c r="BD129" s="22" t="n">
        <f aca="false">INDEX(BDC!$Q$6:$Q$39,BDC_EAD!$B8)</f>
        <v>0.270100917431193</v>
      </c>
      <c r="BE129" s="43" t="n">
        <f aca="false">BB129*(1-$AK$152)-BC129-p_c_liq</f>
        <v>0.111296021496196</v>
      </c>
      <c r="BF129" s="43" t="n">
        <f aca="false">p_phi*MAX(0,p_a_spv-BE129)/p_a_spv+(1-p_phi)*MAX(0,p_a_spv-BB129)/p_a_spv</f>
        <v>0.757268945351671</v>
      </c>
      <c r="BG129" s="43" t="n">
        <f aca="false">IF(BD129&gt;0,p_phi*MAX(0,BD129-BE129)/BD129+(1-p_phi)*MAX(0,BD129-BB129)/BD129,0)</f>
        <v>0.470357220391009</v>
      </c>
      <c r="BI129" s="12" t="str">
        <f aca="false">BDC!$A$8</f>
        <v>ARCC</v>
      </c>
      <c r="BJ129" s="43" t="n">
        <f aca="false">1-((1-BDC!$D$8)*$CD$143+BDC!$D$8*$CD$144)-p_gap-$CD$133*(1-BDC!$M$8)</f>
        <v>0.493705250996006</v>
      </c>
      <c r="BK129" s="43" t="n">
        <f aca="false">(1-BDC!$D$8)*$CD$145+BDC!$D$8*$CD$146</f>
        <v>0.0608491891733852</v>
      </c>
      <c r="BL129" s="45" t="n">
        <f aca="false">BJ129/BDC!$K$8</f>
        <v>0.92678003257145</v>
      </c>
      <c r="BM129" s="35" t="n">
        <f aca="false">IF(BL129&lt;1.5,BDC!$C$8,0)</f>
        <v>29.35</v>
      </c>
      <c r="BN129" s="43" t="n">
        <f aca="false">MAX(0,1-BJ129*(1-CE_mig_hc)-p_bb_cush)*BDC!$Q$8</f>
        <v>0.104092949218272</v>
      </c>
      <c r="BO129" s="43" t="n">
        <f aca="false">MAX(0,BDC!$K$8-BJ129/1.5)</f>
        <v>0.203573446376494</v>
      </c>
      <c r="BP129" s="43" t="n">
        <f aca="false">MIN(MIN(1,BDC!$H$8*$CD$136),$CD$135)</f>
        <v>0</v>
      </c>
      <c r="BQ129" s="43" t="n">
        <f aca="false">BDC!$I$8*BDC!$J$8*BP129*(1-0.3)</f>
        <v>0</v>
      </c>
      <c r="BR129" s="45" t="n">
        <f aca="false">BDC!$C$8*($CD$134*MAX(BN129,BO129)+BQ129)</f>
        <v>5.97488065115011</v>
      </c>
      <c r="BT129" s="10" t="s">
        <v>818</v>
      </c>
      <c r="BU129" s="43" t="n">
        <f aca="false">NORMSDIST((NORMSINV(CreditEngine!$D$8)-SQRT(g_rho)*$CD$131)/SQRT(1-g_rho))</f>
        <v>0.778440947362696</v>
      </c>
      <c r="BV129" s="43" t="n">
        <f aca="false">NORMSDIST((NORMSINV(MIN(0.999,CreditEngine!$D$8*p_m_sw))-SQRT(g_rho)*$CD$131)/SQRT(1-g_rho))</f>
        <v>0.928422699706501</v>
      </c>
      <c r="CC129" s="10" t="s">
        <v>975</v>
      </c>
      <c r="CD129" s="45" t="n">
        <f aca="false">p_news0+g_w_cov*$CD$127+g_w_notch*SUMPRODUCT($G$127:$G$150,Inputs_Banks!$D$6:$D$29)/(3*SUM(Inputs_Banks!$D$6:$D$29))+g_w_mda*SUMPRODUCT($D$127:$D$150,Inputs_Banks!$D$6:$D$29)/SUM(Inputs_Banks!$D$6:$D$29)+g_w_def*MAX($BA$127:$BA$150)+g_w_fs*$CD$128/0.3</f>
        <v>4.13446088979863</v>
      </c>
    </row>
    <row r="130" customFormat="false" ht="15" hidden="false" customHeight="true" outlineLevel="0" collapsed="false">
      <c r="A130" s="10" t="s">
        <v>503</v>
      </c>
      <c r="B130" s="35" t="n">
        <f aca="false">AY90</f>
        <v>3.00090419934335</v>
      </c>
      <c r="C130" s="39" t="n">
        <f aca="false">AZ90</f>
        <v>0.00207390282086281</v>
      </c>
      <c r="D130" s="44" t="n">
        <f aca="false">IF(C130&lt;Inputs_Banks!$I9,1,0)</f>
        <v>1</v>
      </c>
      <c r="E130" s="44" t="n">
        <f aca="false">IF(C130&lt;0.045,1,0)</f>
        <v>1</v>
      </c>
      <c r="F130" s="44" t="n">
        <f aca="false">IF(B130&lt;0,1,0)</f>
        <v>0</v>
      </c>
      <c r="G130" s="44" t="n">
        <f aca="false">MIN(6,MIN(3,INT(MAX(0,Inputs_Banks!$BA9-C130)/p_notch_step))+D130+2*E130)</f>
        <v>6</v>
      </c>
      <c r="H130" s="39" t="n">
        <f aca="false">C130-Inputs_Banks!$I9</f>
        <v>-0.0829260971791372</v>
      </c>
      <c r="I130" s="44" t="n">
        <f aca="false">RANK(H130,$H$127:$H$150,1)</f>
        <v>7</v>
      </c>
      <c r="J130" s="44" t="n">
        <f aca="false">MAX(IF(I130&lt;=g_n_weak,1,0),E130)</f>
        <v>1</v>
      </c>
      <c r="K130" s="44" t="n">
        <f aca="false">IF(I130&gt;12,1,0)*(1-E130)</f>
        <v>0</v>
      </c>
      <c r="L130" s="35" t="n">
        <f aca="false">INDEX(Inputs_Banks!$AR9:$AX9,1,G130+1)</f>
        <v>4.1</v>
      </c>
      <c r="M130" s="35" t="n">
        <f aca="false">Inputs_Banks!$AI9*MIN(1,p_u_base+$CD$130*p_u_pan_all+J130*($CD$130*p_u_pan_weak+p_u_mda*D130)+p_u_notch*G130+p_u_fail*E130)</f>
        <v>739.028</v>
      </c>
      <c r="N130" s="35" t="n">
        <f aca="false">Inputs_Banks!$AK9*MIN(1,p_w_base+p_w_pan*$CD$130+p_w_notch*G130+0.5*D130+1*E130)</f>
        <v>25.168</v>
      </c>
      <c r="O130" s="35" t="n">
        <f aca="false">Inputs_Banks!$AO9*MIN(1,p_cp_base+p_cp_pan*$CD$130+p_cp_notch*G130)</f>
        <v>12.67</v>
      </c>
      <c r="P130" s="35" t="n">
        <f aca="false">Inputs_Banks!$AN9*(p_dh+p_dh_pan*$CD$130+MIN(1,0.5*$CD$137+0.25*G130))</f>
        <v>62.6368013541448</v>
      </c>
      <c r="Q130" s="35" t="n">
        <f aca="false">Modules!$Y9</f>
        <v>53.0660504</v>
      </c>
      <c r="R130" s="35" t="n">
        <f aca="false">Inputs_Banks!$AJ9*K130</f>
        <v>0</v>
      </c>
      <c r="S130" s="35" t="n">
        <f aca="false">p_liq_on*$CD$138*SUM($M$127:$M$150)*R130/MAX(0.000000001,SUM($R$127:$R$150))</f>
        <v>0</v>
      </c>
      <c r="T130" s="35" t="n">
        <f aca="false">p_liq_on*(L130+M130+N130+O130+P130+Q130)</f>
        <v>896.668851754145</v>
      </c>
      <c r="U130" s="35" t="n">
        <f aca="false">g_usable*Inputs_Banks!$AG9+p_cb_on*Inputs_Banks!$AQ9+S130</f>
        <v>570.088</v>
      </c>
      <c r="V130" s="35" t="n">
        <f aca="false">MAX(0,T130-U130)</f>
        <v>326.580851754145</v>
      </c>
      <c r="W130" s="44" t="n">
        <f aca="false">IF(V130&gt;0.9*Inputs_Banks!$BB9,1,0)</f>
        <v>1</v>
      </c>
      <c r="X130" s="43" t="n">
        <f aca="false">MAX(p_htm_forced,(1-p_cb_on)*MIN(1,T130/Inputs_Banks!$AG9)*g_theta_sell)</f>
        <v>0.25</v>
      </c>
      <c r="Y130" s="35" t="n">
        <f aca="false">MAX(0,Modules!$V9-B130/(Inputs_Banks!$I9+g_del_buf))</f>
        <v>1413.6406200073</v>
      </c>
      <c r="Z130" s="35" t="n">
        <f aca="false">MIN(g_del_cap*Inputs_Banks!$BB9,Y130)</f>
        <v>31.935</v>
      </c>
      <c r="AA130" s="35" t="n">
        <f aca="false">MIN(Inputs_Banks!$BB9,V130+Z130)</f>
        <v>127.74</v>
      </c>
      <c r="AB130" s="35" t="n">
        <f aca="false">$AA130*Holdings!Q9</f>
        <v>0</v>
      </c>
      <c r="AC130" s="35" t="n">
        <f aca="false">$AA130*Holdings!R9</f>
        <v>0</v>
      </c>
      <c r="AD130" s="35" t="n">
        <f aca="false">$AA130*Holdings!S9</f>
        <v>0</v>
      </c>
      <c r="AE130" s="35" t="n">
        <f aca="false">$AA130*Holdings!T9</f>
        <v>29.87</v>
      </c>
      <c r="AF130" s="35" t="n">
        <f aca="false">$AA130*Holdings!U9</f>
        <v>17.09</v>
      </c>
      <c r="AG130" s="35" t="n">
        <f aca="false">$AA130*Holdings!V9</f>
        <v>0</v>
      </c>
      <c r="AH130" s="35" t="n">
        <f aca="false">$AA130*Holdings!W9</f>
        <v>5.03</v>
      </c>
      <c r="AI130" s="35" t="n">
        <f aca="false">$AA130*Holdings!X9</f>
        <v>13.21</v>
      </c>
      <c r="AJ130" s="35" t="n">
        <f aca="false">$AA130*Holdings!Y9</f>
        <v>5.26</v>
      </c>
      <c r="AK130" s="35" t="n">
        <f aca="false">$AA130*Holdings!Z9</f>
        <v>0</v>
      </c>
      <c r="AL130" s="35" t="n">
        <f aca="false">$AA130*Holdings!AA9</f>
        <v>37.96</v>
      </c>
      <c r="AM130" s="35" t="n">
        <f aca="false">$AA130*Holdings!AB9</f>
        <v>0</v>
      </c>
      <c r="AN130" s="35" t="n">
        <f aca="false">$AA130*Holdings!AC9</f>
        <v>19.32</v>
      </c>
      <c r="AO130" s="43" t="n">
        <f aca="false">MIN(1,$CD$137+0.5*G130)</f>
        <v>1</v>
      </c>
      <c r="AP130" s="35" t="n">
        <f aca="false">p_liq_on*Inputs_Banks!$AP9*AO130*p_mb_psi</f>
        <v>10.32</v>
      </c>
      <c r="AQ130" s="44" t="n">
        <f aca="false">MAX(F130,E130,W130*(1-p_cb_on))</f>
        <v>1</v>
      </c>
      <c r="AR130" s="35" t="n">
        <f aca="false">p_ib_on*p_lgd_ib*g_s_in*g_u_ib*SUMPRODUCT(Network!F$6:F$29,$AQ$127:$AQ$150)</f>
        <v>8.47195325842872</v>
      </c>
      <c r="AS130" s="35" t="n">
        <f aca="false">p_sw_M1*(SUMPRODUCT(BDC_EAD!F$106:F$127,$BF$127:$BF$148)+SUMPRODUCT(BDC_EAD!F$131:F$152,$BG$127:$BG$148)+(Inputs_Banks!$Y9+p_ccf_bl*Inputs_Banks!$Z9)*$CD$150+Modules!$E9)</f>
        <v>79.5487236356887</v>
      </c>
      <c r="AT130" s="35" t="n">
        <f aca="false">p_sw_M3*(Inputs_Banks!$U9+p_ccf_abf*Inputs_Banks!$V9)*$CD$151</f>
        <v>0</v>
      </c>
      <c r="AU130" s="35" t="n">
        <f aca="false">p_sw_M10*Inputs_Banks!$AC9*$CD$152</f>
        <v>0</v>
      </c>
      <c r="AV130" s="35" t="n">
        <f aca="false">p_sw_M8*(Modules!$M9+Modules!$N9*IF(p_liq_on&gt;0,X130,p_htm_forced))</f>
        <v>17.338745</v>
      </c>
      <c r="AW130" s="35" t="n">
        <f aca="false">SUMPRODUCT(Holdings!$C9:$O9,Holdings!$C$32:$O$32,$AB$152:$AN$152)+Inputs_Banks!$P9*$AL$152</f>
        <v>8.69909283222242</v>
      </c>
      <c r="AX130" s="35" t="n">
        <f aca="false">Modules!$T9+AS130+AT130+AU130+AV130+AW130+AR130</f>
        <v>131.599095800657</v>
      </c>
      <c r="AY130" s="35" t="n">
        <f aca="false">Modules!$U9-(1-p_tax)*AX130</f>
        <v>3.00090419934335</v>
      </c>
      <c r="AZ130" s="39" t="n">
        <f aca="false">AY130/Modules!$V9</f>
        <v>0.00207390282086281</v>
      </c>
      <c r="BA130" s="48" t="s">
        <v>656</v>
      </c>
      <c r="BB130" s="43" t="n">
        <f aca="false">INDEX($BJ$127:$BJ$160,BDC_EAD!$B9)</f>
        <v>0.440484450675871</v>
      </c>
      <c r="BC130" s="43" t="n">
        <f aca="false">INDEX($BK$127:$BK$160,BDC_EAD!$B9)</f>
        <v>0.0655439894361584</v>
      </c>
      <c r="BD130" s="22" t="n">
        <f aca="false">INDEX(BDC!$Q$6:$Q$39,BDC_EAD!$B9)</f>
        <v>0.275784753363229</v>
      </c>
      <c r="BE130" s="43" t="n">
        <f aca="false">BB130*(1-$AK$152)-BC130-p_c_liq</f>
        <v>0.126722458435571</v>
      </c>
      <c r="BF130" s="43" t="n">
        <f aca="false">p_phi*MAX(0,p_a_spv-BE130)/p_a_spv+(1-p_phi)*MAX(0,p_a_spv-BB130)/p_a_spv</f>
        <v>0.729321633023385</v>
      </c>
      <c r="BG130" s="43" t="n">
        <f aca="false">IF(BD130&gt;0,p_phi*MAX(0,BD130-BE130)/BD130+(1-p_phi)*MAX(0,BD130-BB130)/BD130,0)</f>
        <v>0.432401844147873</v>
      </c>
      <c r="BI130" s="12" t="str">
        <f aca="false">BDC!$A$9</f>
        <v>ADS</v>
      </c>
      <c r="BJ130" s="43" t="n">
        <f aca="false">1-((1-BDC!$D$9)*$CD$143+BDC!$D$9*$CD$144)-p_gap-$CD$133*(1-BDC!$M$9)</f>
        <v>0.428174862214715</v>
      </c>
      <c r="BK130" s="43" t="n">
        <f aca="false">(1-BDC!$D$9)*$CD$145+BDC!$D$9*$CD$146</f>
        <v>0.0650596052820627</v>
      </c>
      <c r="BL130" s="45" t="n">
        <f aca="false">BJ130/BDC!$K$9</f>
        <v>0.920329876254616</v>
      </c>
      <c r="BM130" s="35" t="n">
        <f aca="false">IF(BL130&lt;1.5,BDC!$C$9,0)</f>
        <v>25.37</v>
      </c>
      <c r="BN130" s="43" t="n">
        <f aca="false">MAX(0,1-BJ130*(1-CE_mig_hc)-p_bb_cush)*BDC!$Q$9</f>
        <v>0.145198875281454</v>
      </c>
      <c r="BO130" s="43" t="n">
        <f aca="false">MAX(0,BDC!$K$9-BJ130/1.5)</f>
        <v>0.179790733568087</v>
      </c>
      <c r="BP130" s="43" t="n">
        <f aca="false">MIN(MIN(1,BDC!$H$9*$CD$136),$CD$135)</f>
        <v>0.25</v>
      </c>
      <c r="BQ130" s="43" t="n">
        <f aca="false">BDC!$I$9*BDC!$J$9*BP130*(1-0.3)</f>
        <v>0.0935828877005347</v>
      </c>
      <c r="BR130" s="45" t="n">
        <f aca="false">BDC!$C$9*($CD$134*MAX(BN130,BO130)+BQ130)</f>
        <v>6.93548877158493</v>
      </c>
      <c r="BT130" s="10" t="s">
        <v>819</v>
      </c>
      <c r="BU130" s="43" t="n">
        <f aca="false">NORMSDIST((NORMSINV(CreditEngine!$D$9)-SQRT(g_rho)*$CD$131)/SQRT(1-g_rho))</f>
        <v>0.94008092388034</v>
      </c>
      <c r="BV130" s="43" t="n">
        <f aca="false">NORMSDIST((NORMSINV(MIN(0.999,CreditEngine!$D$9*p_m_sw))-SQRT(g_rho)*$CD$131)/SQRT(1-g_rho))</f>
        <v>0.999738169883273</v>
      </c>
      <c r="CC130" s="7" t="s">
        <v>976</v>
      </c>
      <c r="CD130" s="49" t="n">
        <f aca="false">p_panic_on*(p_S0+(1-p_S0)*MAX(0,1/(1+EXP(-($CD$129-g_theta_news)/g_tau_news))-(1/(1+EXP(g_theta_news/g_tau_news))))/(1-(1/(1+EXP(g_theta_news/g_tau_news)))))</f>
        <v>1</v>
      </c>
    </row>
    <row r="131" customFormat="false" ht="15" hidden="false" customHeight="true" outlineLevel="0" collapsed="false">
      <c r="A131" s="10" t="s">
        <v>505</v>
      </c>
      <c r="B131" s="35" t="n">
        <f aca="false">AY91</f>
        <v>9.27861486547613</v>
      </c>
      <c r="C131" s="39" t="n">
        <f aca="false">AZ91</f>
        <v>0.0105156793887712</v>
      </c>
      <c r="D131" s="44" t="n">
        <f aca="false">IF(C131&lt;Inputs_Banks!$I10,1,0)</f>
        <v>1</v>
      </c>
      <c r="E131" s="44" t="n">
        <f aca="false">IF(C131&lt;0.045,1,0)</f>
        <v>1</v>
      </c>
      <c r="F131" s="44" t="n">
        <f aca="false">IF(B131&lt;0,1,0)</f>
        <v>0</v>
      </c>
      <c r="G131" s="44" t="n">
        <f aca="false">MIN(6,MIN(3,INT(MAX(0,Inputs_Banks!$BA10-C131)/p_notch_step))+D131+2*E131)</f>
        <v>6</v>
      </c>
      <c r="H131" s="39" t="n">
        <f aca="false">C131-Inputs_Banks!$I10</f>
        <v>-0.103484320611229</v>
      </c>
      <c r="I131" s="44" t="n">
        <f aca="false">RANK(H131,$H$127:$H$150,1)</f>
        <v>4</v>
      </c>
      <c r="J131" s="44" t="n">
        <f aca="false">MAX(IF(I131&lt;=g_n_weak,1,0),E131)</f>
        <v>1</v>
      </c>
      <c r="K131" s="44" t="n">
        <f aca="false">IF(I131&gt;12,1,0)*(1-E131)</f>
        <v>0</v>
      </c>
      <c r="L131" s="35" t="n">
        <f aca="false">INDEX(Inputs_Banks!$AR10:$AX10,1,G131+1)</f>
        <v>6.6675</v>
      </c>
      <c r="M131" s="35" t="n">
        <f aca="false">Inputs_Banks!$AI10*MIN(1,p_u_base+$CD$130*p_u_pan_all+J131*($CD$130*p_u_pan_weak+p_u_mda*D131)+p_u_notch*G131+p_u_fail*E131)</f>
        <v>201.16</v>
      </c>
      <c r="N131" s="35" t="n">
        <f aca="false">Inputs_Banks!$AK10*MIN(1,p_w_base+p_w_pan*$CD$130+p_w_notch*G131+0.5*D131+1*E131)</f>
        <v>55.681</v>
      </c>
      <c r="O131" s="35" t="n">
        <f aca="false">Inputs_Banks!$AO10*MIN(1,p_cp_base+p_cp_pan*$CD$130+p_cp_notch*G131)</f>
        <v>1.51</v>
      </c>
      <c r="P131" s="35" t="n">
        <f aca="false">Inputs_Banks!$AN10*(p_dh+p_dh_pan*$CD$130+MIN(1,0.5*$CD$137+0.25*G131))</f>
        <v>172.798154371499</v>
      </c>
      <c r="Q131" s="35" t="n">
        <f aca="false">Modules!$Y10</f>
        <v>24.4757226</v>
      </c>
      <c r="R131" s="35" t="n">
        <f aca="false">Inputs_Banks!$AJ10*K131</f>
        <v>0</v>
      </c>
      <c r="S131" s="35" t="n">
        <f aca="false">p_liq_on*$CD$138*SUM($M$127:$M$150)*R131/MAX(0.000000001,SUM($R$127:$R$150))</f>
        <v>0</v>
      </c>
      <c r="T131" s="35" t="n">
        <f aca="false">p_liq_on*(L131+M131+N131+O131+P131+Q131)</f>
        <v>462.292376971499</v>
      </c>
      <c r="U131" s="35" t="n">
        <f aca="false">g_usable*Inputs_Banks!$AG10+p_cb_on*Inputs_Banks!$AQ10+S131</f>
        <v>575.89165</v>
      </c>
      <c r="V131" s="35" t="n">
        <f aca="false">MAX(0,T131-U131)</f>
        <v>0</v>
      </c>
      <c r="W131" s="44" t="n">
        <f aca="false">IF(V131&gt;0.9*Inputs_Banks!$BB10,1,0)</f>
        <v>0</v>
      </c>
      <c r="X131" s="43" t="n">
        <f aca="false">MAX(p_htm_forced,(1-p_cb_on)*MIN(1,T131/Inputs_Banks!$AG10)*g_theta_sell)</f>
        <v>0.25</v>
      </c>
      <c r="Y131" s="35" t="n">
        <f aca="false">MAX(0,Modules!$V10-B131/(Inputs_Banks!$I10+g_del_buf))</f>
        <v>804.388446508604</v>
      </c>
      <c r="Z131" s="35" t="n">
        <f aca="false">MIN(g_del_cap*Inputs_Banks!$BB10,Y131)</f>
        <v>91.7425</v>
      </c>
      <c r="AA131" s="35" t="n">
        <f aca="false">MIN(Inputs_Banks!$BB10,V131+Z131)</f>
        <v>91.7425</v>
      </c>
      <c r="AB131" s="35" t="n">
        <f aca="false">$AA131*Holdings!Q10</f>
        <v>0</v>
      </c>
      <c r="AC131" s="35" t="n">
        <f aca="false">$AA131*Holdings!R10</f>
        <v>0</v>
      </c>
      <c r="AD131" s="35" t="n">
        <f aca="false">$AA131*Holdings!S10</f>
        <v>0</v>
      </c>
      <c r="AE131" s="35" t="n">
        <f aca="false">$AA131*Holdings!T10</f>
        <v>0.2225</v>
      </c>
      <c r="AF131" s="35" t="n">
        <f aca="false">$AA131*Holdings!U10</f>
        <v>16.98</v>
      </c>
      <c r="AG131" s="35" t="n">
        <f aca="false">$AA131*Holdings!V10</f>
        <v>0</v>
      </c>
      <c r="AH131" s="35" t="n">
        <f aca="false">$AA131*Holdings!W10</f>
        <v>5.9525</v>
      </c>
      <c r="AI131" s="35" t="n">
        <f aca="false">$AA131*Holdings!X10</f>
        <v>0</v>
      </c>
      <c r="AJ131" s="35" t="n">
        <f aca="false">$AA131*Holdings!Y10</f>
        <v>5.7675</v>
      </c>
      <c r="AK131" s="35" t="n">
        <f aca="false">$AA131*Holdings!Z10</f>
        <v>0</v>
      </c>
      <c r="AL131" s="35" t="n">
        <f aca="false">$AA131*Holdings!AA10</f>
        <v>61.7925</v>
      </c>
      <c r="AM131" s="35" t="n">
        <f aca="false">$AA131*Holdings!AB10</f>
        <v>0</v>
      </c>
      <c r="AN131" s="35" t="n">
        <f aca="false">$AA131*Holdings!AC10</f>
        <v>1.0275</v>
      </c>
      <c r="AO131" s="43" t="n">
        <f aca="false">MIN(1,$CD$137+0.5*G131)</f>
        <v>1</v>
      </c>
      <c r="AP131" s="35" t="n">
        <f aca="false">p_liq_on*Inputs_Banks!$AP10*AO131*p_mb_psi</f>
        <v>1.422</v>
      </c>
      <c r="AQ131" s="44" t="n">
        <f aca="false">MAX(F131,E131,W131*(1-p_cb_on))</f>
        <v>1</v>
      </c>
      <c r="AR131" s="35" t="n">
        <f aca="false">p_ib_on*p_lgd_ib*g_s_in*g_u_ib*SUMPRODUCT(Network!G$6:G$29,$AQ$127:$AQ$150)</f>
        <v>11.7962428802982</v>
      </c>
      <c r="AS131" s="35" t="n">
        <f aca="false">p_sw_M1*(SUMPRODUCT(BDC_EAD!G$106:G$127,$BF$127:$BF$148)+SUMPRODUCT(BDC_EAD!G$131:G$152,$BG$127:$BG$148)+(Inputs_Banks!$Y10+p_ccf_bl*Inputs_Banks!$Z10)*$CD$150+Modules!$E10)</f>
        <v>31.3129915781768</v>
      </c>
      <c r="AT131" s="35" t="n">
        <f aca="false">p_sw_M3*(Inputs_Banks!$U10+p_ccf_abf*Inputs_Banks!$V10)*$CD$151</f>
        <v>0</v>
      </c>
      <c r="AU131" s="35" t="n">
        <f aca="false">p_sw_M10*Inputs_Banks!$AC10*$CD$152</f>
        <v>0</v>
      </c>
      <c r="AV131" s="35" t="n">
        <f aca="false">p_sw_M8*(Modules!$M10+Modules!$N10*IF(p_liq_on&gt;0,X131,p_htm_forced))</f>
        <v>5.01152</v>
      </c>
      <c r="AW131" s="35" t="n">
        <f aca="false">SUMPRODUCT(Holdings!$C10:$O10,Holdings!$C$32:$O$32,$AB$152:$AN$152)+Inputs_Banks!$P10*$AL$152</f>
        <v>19.0984516984342</v>
      </c>
      <c r="AX131" s="35" t="n">
        <f aca="false">Modules!$T10+AS131+AT131+AU131+AV131+AW131+AR131</f>
        <v>92.1213851345239</v>
      </c>
      <c r="AY131" s="35" t="n">
        <f aca="false">Modules!$U10-(1-p_tax)*AX131</f>
        <v>9.27861486547613</v>
      </c>
      <c r="AZ131" s="39" t="n">
        <f aca="false">AY131/Modules!$V10</f>
        <v>0.0105156793887712</v>
      </c>
      <c r="BA131" s="48" t="s">
        <v>629</v>
      </c>
      <c r="BB131" s="43" t="n">
        <f aca="false">INDEX($BJ$127:$BJ$160,BDC_EAD!$B10)</f>
        <v>0.394270722625258</v>
      </c>
      <c r="BC131" s="43" t="n">
        <f aca="false">INDEX($BK$127:$BK$160,BDC_EAD!$B10)</f>
        <v>0.0594332970306441</v>
      </c>
      <c r="BD131" s="22" t="n">
        <f aca="false">INDEX(BDC!$Q$6:$Q$39,BDC_EAD!$B10)</f>
        <v>0.259516483516484</v>
      </c>
      <c r="BE131" s="43" t="n">
        <f aca="false">BB131*(1-$AK$152)-BC131-p_c_liq</f>
        <v>0.107415600413248</v>
      </c>
      <c r="BF131" s="43" t="n">
        <f aca="false">p_phi*MAX(0,p_a_spv-BE131)/p_a_spv+(1-p_phi)*MAX(0,p_a_spv-BB131)/p_a_spv</f>
        <v>0.764590535920501</v>
      </c>
      <c r="BG131" s="43" t="n">
        <f aca="false">IF(BD131&gt;0,p_phi*MAX(0,BD131-BE131)/BD131+(1-p_phi)*MAX(0,BD131-BB131)/BD131,0)</f>
        <v>0.468874673522848</v>
      </c>
      <c r="BI131" s="12" t="str">
        <f aca="false">BDC!$A$10</f>
        <v>HLEND</v>
      </c>
      <c r="BJ131" s="43" t="n">
        <f aca="false">1-((1-BDC!$D$10)*$CD$143+BDC!$D$10*$CD$144)-p_gap-$CD$133*(1-BDC!$M$10)</f>
        <v>0.412682242137413</v>
      </c>
      <c r="BK131" s="43" t="n">
        <f aca="false">(1-BDC!$D$10)*$CD$145+BDC!$D$10*$CD$146</f>
        <v>0.0624886432334012</v>
      </c>
      <c r="BL131" s="45" t="n">
        <f aca="false">BJ131/BDC!$K$10</f>
        <v>0.825364484274826</v>
      </c>
      <c r="BM131" s="35" t="n">
        <f aca="false">IF(BL131&lt;1.5,BDC!$C$10,0)</f>
        <v>24.18</v>
      </c>
      <c r="BN131" s="43" t="n">
        <f aca="false">MAX(0,1-BJ131*(1-CE_mig_hc)-p_bb_cush)*BDC!$Q$10</f>
        <v>0.166906113401486</v>
      </c>
      <c r="BO131" s="43" t="n">
        <f aca="false">MAX(0,BDC!$K$10-BJ131/1.5)</f>
        <v>0.224878505241725</v>
      </c>
      <c r="BP131" s="43" t="n">
        <f aca="false">MIN(MIN(1,BDC!$H$10*$CD$136),$CD$135)</f>
        <v>0.25</v>
      </c>
      <c r="BQ131" s="43" t="n">
        <f aca="false">BDC!$I$10*BDC!$J$10*BP131*(1-0.3)</f>
        <v>0.0875</v>
      </c>
      <c r="BR131" s="45" t="n">
        <f aca="false">BDC!$C$10*($CD$134*MAX(BN131,BO131)+BQ131)</f>
        <v>7.5533122567449</v>
      </c>
      <c r="BT131" s="10" t="s">
        <v>820</v>
      </c>
      <c r="BU131" s="43" t="n">
        <f aca="false">NORMSDIST((NORMSINV(CreditEngine!$D$10)-SQRT(g_rho)*$CD$131)/SQRT(1-g_rho))</f>
        <v>0.94008092388034</v>
      </c>
      <c r="BV131" s="43" t="n">
        <f aca="false">NORMSDIST((NORMSINV(MIN(0.999,CreditEngine!$D$10*p_m_sw))-SQRT(g_rho)*$CD$131)/SQRT(1-g_rho))</f>
        <v>0.999738169883273</v>
      </c>
      <c r="CC131" s="10" t="s">
        <v>977</v>
      </c>
      <c r="CD131" s="45" t="n">
        <f aca="false">p_z-p_zc*$CD$130</f>
        <v>-3.25</v>
      </c>
    </row>
    <row r="132" customFormat="false" ht="15" hidden="false" customHeight="true" outlineLevel="0" collapsed="false">
      <c r="A132" s="10" t="s">
        <v>507</v>
      </c>
      <c r="B132" s="35" t="n">
        <f aca="false">AY92</f>
        <v>12.2050627089213</v>
      </c>
      <c r="C132" s="39" t="n">
        <f aca="false">AZ92</f>
        <v>0.0189677475490801</v>
      </c>
      <c r="D132" s="44" t="n">
        <f aca="false">IF(C132&lt;Inputs_Banks!$I11,1,0)</f>
        <v>1</v>
      </c>
      <c r="E132" s="44" t="n">
        <f aca="false">IF(C132&lt;0.045,1,0)</f>
        <v>1</v>
      </c>
      <c r="F132" s="44" t="n">
        <f aca="false">IF(B132&lt;0,1,0)</f>
        <v>0</v>
      </c>
      <c r="G132" s="44" t="n">
        <f aca="false">MIN(6,MIN(3,INT(MAX(0,Inputs_Banks!$BA11-C132)/p_notch_step))+D132+2*E132)</f>
        <v>6</v>
      </c>
      <c r="H132" s="39" t="n">
        <f aca="false">C132-Inputs_Banks!$I11</f>
        <v>-0.0990322524509199</v>
      </c>
      <c r="I132" s="44" t="n">
        <f aca="false">RANK(H132,$H$127:$H$150,1)</f>
        <v>5</v>
      </c>
      <c r="J132" s="44" t="n">
        <f aca="false">MAX(IF(I132&lt;=g_n_weak,1,0),E132)</f>
        <v>1</v>
      </c>
      <c r="K132" s="44" t="n">
        <f aca="false">IF(I132&gt;12,1,0)*(1-E132)</f>
        <v>0</v>
      </c>
      <c r="L132" s="35" t="n">
        <f aca="false">INDEX(Inputs_Banks!$AR11:$AX11,1,G132+1)</f>
        <v>3.28125</v>
      </c>
      <c r="M132" s="35" t="n">
        <f aca="false">Inputs_Banks!$AI11*MIN(1,p_u_base+$CD$130*p_u_pan_all+J132*($CD$130*p_u_pan_weak+p_u_mda*D132)+p_u_notch*G132+p_u_fail*E132)</f>
        <v>149.742</v>
      </c>
      <c r="N132" s="35" t="n">
        <f aca="false">Inputs_Banks!$AK11*MIN(1,p_w_base+p_w_pan*$CD$130+p_w_notch*G132+0.5*D132+1*E132)</f>
        <v>9.4</v>
      </c>
      <c r="O132" s="35" t="n">
        <f aca="false">Inputs_Banks!$AO11*MIN(1,p_cp_base+p_cp_pan*$CD$130+p_cp_notch*G132)</f>
        <v>0</v>
      </c>
      <c r="P132" s="35" t="n">
        <f aca="false">Inputs_Banks!$AN11*(p_dh+p_dh_pan*$CD$130+MIN(1,0.5*$CD$137+0.25*G132))</f>
        <v>89.5356182750795</v>
      </c>
      <c r="Q132" s="35" t="n">
        <f aca="false">Modules!$Y11</f>
        <v>18.2013845</v>
      </c>
      <c r="R132" s="35" t="n">
        <f aca="false">Inputs_Banks!$AJ11*K132</f>
        <v>0</v>
      </c>
      <c r="S132" s="35" t="n">
        <f aca="false">p_liq_on*$CD$138*SUM($M$127:$M$150)*R132/MAX(0.000000001,SUM($R$127:$R$150))</f>
        <v>0</v>
      </c>
      <c r="T132" s="35" t="n">
        <f aca="false">p_liq_on*(L132+M132+N132+O132+P132+Q132)</f>
        <v>270.16025277508</v>
      </c>
      <c r="U132" s="35" t="n">
        <f aca="false">g_usable*Inputs_Banks!$AG11+p_cb_on*Inputs_Banks!$AQ11+S132</f>
        <v>351.0815</v>
      </c>
      <c r="V132" s="35" t="n">
        <f aca="false">MAX(0,T132-U132)</f>
        <v>0</v>
      </c>
      <c r="W132" s="44" t="n">
        <f aca="false">IF(V132&gt;0.9*Inputs_Banks!$BB11,1,0)</f>
        <v>0</v>
      </c>
      <c r="X132" s="43" t="n">
        <f aca="false">MAX(p_htm_forced,(1-p_cb_on)*MIN(1,T132/Inputs_Banks!$AG11)*g_theta_sell)</f>
        <v>0.211614880058183</v>
      </c>
      <c r="Y132" s="35" t="n">
        <f aca="false">MAX(0,Modules!$V11-B132/(Inputs_Banks!$I11+g_del_buf))</f>
        <v>544.235847894949</v>
      </c>
      <c r="Z132" s="35" t="n">
        <f aca="false">MIN(g_del_cap*Inputs_Banks!$BB11,Y132)</f>
        <v>74.495</v>
      </c>
      <c r="AA132" s="35" t="n">
        <f aca="false">MIN(Inputs_Banks!$BB11,V132+Z132)</f>
        <v>74.495</v>
      </c>
      <c r="AB132" s="35" t="n">
        <f aca="false">$AA132*Holdings!Q11</f>
        <v>0</v>
      </c>
      <c r="AC132" s="35" t="n">
        <f aca="false">$AA132*Holdings!R11</f>
        <v>0</v>
      </c>
      <c r="AD132" s="35" t="n">
        <f aca="false">$AA132*Holdings!S11</f>
        <v>0</v>
      </c>
      <c r="AE132" s="35" t="n">
        <f aca="false">$AA132*Holdings!T11</f>
        <v>1.6275</v>
      </c>
      <c r="AF132" s="35" t="n">
        <f aca="false">$AA132*Holdings!U11</f>
        <v>11.67</v>
      </c>
      <c r="AG132" s="35" t="n">
        <f aca="false">$AA132*Holdings!V11</f>
        <v>0</v>
      </c>
      <c r="AH132" s="35" t="n">
        <f aca="false">$AA132*Holdings!W11</f>
        <v>6.04</v>
      </c>
      <c r="AI132" s="35" t="n">
        <f aca="false">$AA132*Holdings!X11</f>
        <v>0</v>
      </c>
      <c r="AJ132" s="35" t="n">
        <f aca="false">$AA132*Holdings!Y11</f>
        <v>1.3075</v>
      </c>
      <c r="AK132" s="35" t="n">
        <f aca="false">$AA132*Holdings!Z11</f>
        <v>0</v>
      </c>
      <c r="AL132" s="35" t="n">
        <f aca="false">$AA132*Holdings!AA11</f>
        <v>52.9975</v>
      </c>
      <c r="AM132" s="35" t="n">
        <f aca="false">$AA132*Holdings!AB11</f>
        <v>0</v>
      </c>
      <c r="AN132" s="35" t="n">
        <f aca="false">$AA132*Holdings!AC11</f>
        <v>0.8525</v>
      </c>
      <c r="AO132" s="43" t="n">
        <f aca="false">MIN(1,$CD$137+0.5*G132)</f>
        <v>1</v>
      </c>
      <c r="AP132" s="35" t="n">
        <f aca="false">p_liq_on*Inputs_Banks!$AP11*AO132*p_mb_psi</f>
        <v>0</v>
      </c>
      <c r="AQ132" s="44" t="n">
        <f aca="false">MAX(F132,E132,W132*(1-p_cb_on))</f>
        <v>1</v>
      </c>
      <c r="AR132" s="35" t="n">
        <f aca="false">p_ib_on*p_lgd_ib*g_s_in*g_u_ib*SUMPRODUCT(Network!H$6:H$29,$AQ$127:$AQ$150)</f>
        <v>8.85043725068811</v>
      </c>
      <c r="AS132" s="35" t="n">
        <f aca="false">p_sw_M1*(SUMPRODUCT(BDC_EAD!H$106:H$127,$BF$127:$BF$148)+SUMPRODUCT(BDC_EAD!H$131:H$152,$BG$127:$BG$148)+(Inputs_Banks!$Y11+p_ccf_bl*Inputs_Banks!$Z11)*$CD$150+Modules!$E11)</f>
        <v>24.1216345672086</v>
      </c>
      <c r="AT132" s="35" t="n">
        <f aca="false">p_sw_M3*(Inputs_Banks!$U11+p_ccf_abf*Inputs_Banks!$V11)*$CD$151</f>
        <v>0</v>
      </c>
      <c r="AU132" s="35" t="n">
        <f aca="false">p_sw_M10*Inputs_Banks!$AC11*$CD$152</f>
        <v>0</v>
      </c>
      <c r="AV132" s="35" t="n">
        <f aca="false">p_sw_M8*(Modules!$M11+Modules!$N11*IF(p_liq_on&gt;0,X132,p_htm_forced))</f>
        <v>4.83355467504518</v>
      </c>
      <c r="AW132" s="35" t="n">
        <f aca="false">SUMPRODUCT(Holdings!$C11:$O11,Holdings!$C$32:$O$32,$AB$152:$AN$152)+Inputs_Banks!$P11*$AL$152</f>
        <v>15.3298043072842</v>
      </c>
      <c r="AX132" s="35" t="n">
        <f aca="false">Modules!$T11+AS132+AT132+AU132+AV132+AW132+AR132</f>
        <v>76.5949372910787</v>
      </c>
      <c r="AY132" s="35" t="n">
        <f aca="false">Modules!$U11-(1-p_tax)*AX132</f>
        <v>12.2050627089213</v>
      </c>
      <c r="AZ132" s="39" t="n">
        <f aca="false">AY132/Modules!$V11</f>
        <v>0.0189677475490801</v>
      </c>
      <c r="BA132" s="48" t="s">
        <v>640</v>
      </c>
      <c r="BB132" s="43" t="n">
        <f aca="false">INDEX($BJ$127:$BJ$160,BDC_EAD!$B11)</f>
        <v>0.48930871061707</v>
      </c>
      <c r="BC132" s="43" t="n">
        <f aca="false">INDEX($BK$127:$BK$160,BDC_EAD!$B11)</f>
        <v>0.0620042590793056</v>
      </c>
      <c r="BD132" s="22" t="n">
        <f aca="false">INDEX(BDC!$Q$6:$Q$39,BDC_EAD!$B11)</f>
        <v>0.18126872246696</v>
      </c>
      <c r="BE132" s="43" t="n">
        <f aca="false">BB132*(1-$AK$152)-BC132-p_c_liq</f>
        <v>0.157115531760083</v>
      </c>
      <c r="BF132" s="43" t="n">
        <f aca="false">p_phi*MAX(0,p_a_spv-BE132)/p_a_spv+(1-p_phi)*MAX(0,p_a_spv-BB132)/p_a_spv</f>
        <v>0.680636903526457</v>
      </c>
      <c r="BG132" s="43" t="n">
        <f aca="false">IF(BD132&gt;0,p_phi*MAX(0,BD132-BE132)/BD132+(1-p_phi)*MAX(0,BD132-BB132)/BD132,0)</f>
        <v>0.106596175570355</v>
      </c>
      <c r="BI132" s="12" t="str">
        <f aca="false">BDC!$A$11</f>
        <v>ASIF</v>
      </c>
      <c r="BJ132" s="43" t="n">
        <f aca="false">1-((1-BDC!$D$11)*$CD$143+BDC!$D$11*$CD$144)-p_gap-$CD$133*(1-BDC!$M$11)</f>
        <v>0.404374605284367</v>
      </c>
      <c r="BK132" s="43" t="n">
        <f aca="false">(1-BDC!$D$11)*$CD$145+BDC!$D$11*$CD$146</f>
        <v>0.0611100114102059</v>
      </c>
      <c r="BL132" s="45" t="n">
        <f aca="false">BJ132/BDC!$K$11</f>
        <v>0.747064948745695</v>
      </c>
      <c r="BM132" s="35" t="n">
        <f aca="false">IF(BL132&lt;1.5,BDC!$C$11,0)</f>
        <v>21.84</v>
      </c>
      <c r="BN132" s="43" t="n">
        <f aca="false">MAX(0,1-BJ132*(1-CE_mig_hc)-p_bb_cush)*BDC!$Q$11</f>
        <v>0.166493090846723</v>
      </c>
      <c r="BO132" s="43" t="n">
        <f aca="false">MAX(0,BDC!$K$11-BJ132/1.5)</f>
        <v>0.271701333480147</v>
      </c>
      <c r="BP132" s="43" t="n">
        <f aca="false">MIN(MIN(1,BDC!$H$11*$CD$136),$CD$135)</f>
        <v>0.25</v>
      </c>
      <c r="BQ132" s="43" t="n">
        <f aca="false">BDC!$I$11*BDC!$J$11*BP132*(1-0.3)</f>
        <v>0.0802752293577982</v>
      </c>
      <c r="BR132" s="45" t="n">
        <f aca="false">BDC!$C$11*($CD$134*MAX(BN132,BO132)+BQ132)</f>
        <v>7.68716813238072</v>
      </c>
      <c r="CC132" s="10" t="s">
        <v>978</v>
      </c>
      <c r="CD132" s="35" t="n">
        <f aca="false">p_ds+p_ds_pan*$CD$130</f>
        <v>1100</v>
      </c>
    </row>
    <row r="133" customFormat="false" ht="15" hidden="false" customHeight="true" outlineLevel="0" collapsed="false">
      <c r="A133" s="10" t="s">
        <v>509</v>
      </c>
      <c r="B133" s="35" t="n">
        <f aca="false">AY93</f>
        <v>1.94809829656394</v>
      </c>
      <c r="C133" s="39" t="n">
        <f aca="false">AZ93</f>
        <v>0.00360182651565632</v>
      </c>
      <c r="D133" s="44" t="n">
        <f aca="false">IF(C133&lt;Inputs_Banks!$I12,1,0)</f>
        <v>1</v>
      </c>
      <c r="E133" s="44" t="n">
        <f aca="false">IF(C133&lt;0.045,1,0)</f>
        <v>1</v>
      </c>
      <c r="F133" s="44" t="n">
        <f aca="false">IF(B133&lt;0,1,0)</f>
        <v>0</v>
      </c>
      <c r="G133" s="44" t="n">
        <f aca="false">MIN(6,MIN(3,INT(MAX(0,Inputs_Banks!$BA12-C133)/p_notch_step))+D133+2*E133)</f>
        <v>6</v>
      </c>
      <c r="H133" s="39" t="n">
        <f aca="false">C133-Inputs_Banks!$I12</f>
        <v>-0.0663981734843437</v>
      </c>
      <c r="I133" s="44" t="n">
        <f aca="false">RANK(H133,$H$127:$H$150,1)</f>
        <v>11</v>
      </c>
      <c r="J133" s="44" t="n">
        <f aca="false">MAX(IF(I133&lt;=g_n_weak,1,0),E133)</f>
        <v>1</v>
      </c>
      <c r="K133" s="44" t="n">
        <f aca="false">IF(I133&gt;12,1,0)*(1-E133)</f>
        <v>0</v>
      </c>
      <c r="L133" s="35" t="n">
        <f aca="false">INDEX(Inputs_Banks!$AR12:$AX12,1,G133+1)</f>
        <v>2</v>
      </c>
      <c r="M133" s="35" t="n">
        <f aca="false">Inputs_Banks!$AI12*MIN(1,p_u_base+$CD$130*p_u_pan_all+J133*($CD$130*p_u_pan_weak+p_u_mda*D133)+p_u_notch*G133+p_u_fail*E133)</f>
        <v>192.606</v>
      </c>
      <c r="N133" s="35" t="n">
        <f aca="false">Inputs_Banks!$AK12*MIN(1,p_w_base+p_w_pan*$CD$130+p_w_notch*G133+0.5*D133+1*E133)</f>
        <v>2.767</v>
      </c>
      <c r="O133" s="35" t="n">
        <f aca="false">Inputs_Banks!$AO12*MIN(1,p_cp_base+p_cp_pan*$CD$130+p_cp_notch*G133)</f>
        <v>0</v>
      </c>
      <c r="P133" s="35" t="n">
        <f aca="false">Inputs_Banks!$AN12*(p_dh+p_dh_pan*$CD$130+MIN(1,0.5*$CD$137+0.25*G133))</f>
        <v>0</v>
      </c>
      <c r="Q133" s="35" t="n">
        <f aca="false">Modules!$Y12</f>
        <v>25.4204874</v>
      </c>
      <c r="R133" s="35" t="n">
        <f aca="false">Inputs_Banks!$AJ12*K133</f>
        <v>0</v>
      </c>
      <c r="S133" s="35" t="n">
        <f aca="false">p_liq_on*$CD$138*SUM($M$127:$M$150)*R133/MAX(0.000000001,SUM($R$127:$R$150))</f>
        <v>0</v>
      </c>
      <c r="T133" s="35" t="n">
        <f aca="false">p_liq_on*(L133+M133+N133+O133+P133+Q133)</f>
        <v>222.7934874</v>
      </c>
      <c r="U133" s="35" t="n">
        <f aca="false">g_usable*Inputs_Banks!$AG12+p_cb_on*Inputs_Banks!$AQ12+S133</f>
        <v>151.195</v>
      </c>
      <c r="V133" s="35" t="n">
        <f aca="false">MAX(0,T133-U133)</f>
        <v>71.5984874</v>
      </c>
      <c r="W133" s="44" t="n">
        <f aca="false">IF(V133&gt;0.9*Inputs_Banks!$BB12,1,0)</f>
        <v>1</v>
      </c>
      <c r="X133" s="43" t="n">
        <f aca="false">MAX(p_htm_forced,(1-p_cb_on)*MIN(1,T133/Inputs_Banks!$AG12)*g_theta_sell)</f>
        <v>0.25</v>
      </c>
      <c r="Y133" s="35" t="n">
        <f aca="false">MAX(0,Modules!$V12-B133/(Inputs_Banks!$I12+g_del_buf))</f>
        <v>514.889356045814</v>
      </c>
      <c r="Z133" s="35" t="n">
        <f aca="false">MIN(g_del_cap*Inputs_Banks!$BB12,Y133)</f>
        <v>2.2875</v>
      </c>
      <c r="AA133" s="35" t="n">
        <f aca="false">MIN(Inputs_Banks!$BB12,V133+Z133)</f>
        <v>9.15</v>
      </c>
      <c r="AB133" s="35" t="n">
        <f aca="false">$AA133*Holdings!Q12</f>
        <v>0</v>
      </c>
      <c r="AC133" s="35" t="n">
        <f aca="false">$AA133*Holdings!R12</f>
        <v>0</v>
      </c>
      <c r="AD133" s="35" t="n">
        <f aca="false">$AA133*Holdings!S12</f>
        <v>0</v>
      </c>
      <c r="AE133" s="35" t="n">
        <f aca="false">$AA133*Holdings!T12</f>
        <v>2.37</v>
      </c>
      <c r="AF133" s="35" t="n">
        <f aca="false">$AA133*Holdings!U12</f>
        <v>2.02</v>
      </c>
      <c r="AG133" s="35" t="n">
        <f aca="false">$AA133*Holdings!V12</f>
        <v>0</v>
      </c>
      <c r="AH133" s="35" t="n">
        <f aca="false">$AA133*Holdings!W12</f>
        <v>0.02</v>
      </c>
      <c r="AI133" s="35" t="n">
        <f aca="false">$AA133*Holdings!X12</f>
        <v>0.06</v>
      </c>
      <c r="AJ133" s="35" t="n">
        <f aca="false">$AA133*Holdings!Y12</f>
        <v>4.68</v>
      </c>
      <c r="AK133" s="35" t="n">
        <f aca="false">$AA133*Holdings!Z12</f>
        <v>0</v>
      </c>
      <c r="AL133" s="35" t="n">
        <f aca="false">$AA133*Holdings!AA12</f>
        <v>0</v>
      </c>
      <c r="AM133" s="35" t="n">
        <f aca="false">$AA133*Holdings!AB12</f>
        <v>0</v>
      </c>
      <c r="AN133" s="35" t="n">
        <f aca="false">$AA133*Holdings!AC12</f>
        <v>0</v>
      </c>
      <c r="AO133" s="43" t="n">
        <f aca="false">MIN(1,$CD$137+0.5*G133)</f>
        <v>1</v>
      </c>
      <c r="AP133" s="35" t="n">
        <f aca="false">p_liq_on*Inputs_Banks!$AP12*AO133*p_mb_psi</f>
        <v>0</v>
      </c>
      <c r="AQ133" s="44" t="n">
        <f aca="false">MAX(F133,E133,W133*(1-p_cb_on))</f>
        <v>1</v>
      </c>
      <c r="AR133" s="35" t="n">
        <f aca="false">p_ib_on*p_lgd_ib*g_s_in*g_u_ib*SUMPRODUCT(Network!I$6:I$29,$AQ$127:$AQ$150)</f>
        <v>0.553400080853143</v>
      </c>
      <c r="AS133" s="35" t="n">
        <f aca="false">p_sw_M1*(SUMPRODUCT(BDC_EAD!I$106:I$127,$BF$127:$BF$148)+SUMPRODUCT(BDC_EAD!I$131:I$152,$BG$127:$BG$148)+(Inputs_Banks!$Y12+p_ccf_bl*Inputs_Banks!$Z12)*$CD$150+Modules!$E12)</f>
        <v>37.3288498355516</v>
      </c>
      <c r="AT133" s="35" t="n">
        <f aca="false">p_sw_M3*(Inputs_Banks!$U12+p_ccf_abf*Inputs_Banks!$V12)*$CD$151</f>
        <v>0</v>
      </c>
      <c r="AU133" s="35" t="n">
        <f aca="false">p_sw_M10*Inputs_Banks!$AC12*$CD$152</f>
        <v>0</v>
      </c>
      <c r="AV133" s="35" t="n">
        <f aca="false">p_sw_M8*(Modules!$M12+Modules!$N12*IF(p_liq_on&gt;0,X133,p_htm_forced))</f>
        <v>2.868215</v>
      </c>
      <c r="AW133" s="35" t="n">
        <f aca="false">SUMPRODUCT(Holdings!$C12:$O12,Holdings!$C$32:$O$32,$AB$152:$AN$152)+Inputs_Banks!$P12*$AL$152</f>
        <v>0.917839985949254</v>
      </c>
      <c r="AX133" s="35" t="n">
        <f aca="false">Modules!$T12+AS133+AT133+AU133+AV133+AW133+AR133</f>
        <v>47.1519017034361</v>
      </c>
      <c r="AY133" s="35" t="n">
        <f aca="false">Modules!$U12-(1-p_tax)*AX133</f>
        <v>1.94809829656393</v>
      </c>
      <c r="AZ133" s="39" t="n">
        <f aca="false">AY133/Modules!$V12</f>
        <v>0.00360182651565631</v>
      </c>
      <c r="BA133" s="48" t="s">
        <v>657</v>
      </c>
      <c r="BB133" s="43" t="n">
        <f aca="false">INDEX($BJ$127:$BJ$160,BDC_EAD!$B12)</f>
        <v>0.378165749019815</v>
      </c>
      <c r="BC133" s="43" t="n">
        <f aca="false">INDEX($BK$127:$BK$160,BDC_EAD!$B12)</f>
        <v>0.0643143988911463</v>
      </c>
      <c r="BD133" s="22" t="n">
        <f aca="false">INDEX(BDC!$Q$6:$Q$39,BDC_EAD!$B12)</f>
        <v>0.295054794520548</v>
      </c>
      <c r="BE133" s="43" t="n">
        <f aca="false">BB133*(1-$AK$152)-BC133-p_c_liq</f>
        <v>0.0936767630697516</v>
      </c>
      <c r="BF133" s="43" t="n">
        <f aca="false">p_phi*MAX(0,p_a_spv-BE133)/p_a_spv+(1-p_phi)*MAX(0,p_a_spv-BB133)/p_a_spv</f>
        <v>0.784893485343194</v>
      </c>
      <c r="BG133" s="43" t="n">
        <f aca="false">IF(BD133&gt;0,p_phi*MAX(0,BD133-BE133)/BD133+(1-p_phi)*MAX(0,BD133-BB133)/BD133,0)</f>
        <v>0.546008497921283</v>
      </c>
      <c r="BI133" s="12" t="str">
        <f aca="false">BDC!$A$12</f>
        <v>GS PCC</v>
      </c>
      <c r="BJ133" s="43" t="n">
        <f aca="false">1-((1-BDC!$D$12)*$CD$143+BDC!$D$12*$CD$144)-p_gap-$CD$133*(1-BDC!$M$12)</f>
        <v>0.398087744963144</v>
      </c>
      <c r="BK133" s="43" t="n">
        <f aca="false">(1-BDC!$D$12)*$CD$145+BDC!$D$12*$CD$146</f>
        <v>0.060066722462923</v>
      </c>
      <c r="BL133" s="45" t="n">
        <f aca="false">BJ133/BDC!$K$12</f>
        <v>0.812762479299751</v>
      </c>
      <c r="BM133" s="35" t="n">
        <f aca="false">IF(BL133&lt;1.5,BDC!$C$12,0)</f>
        <v>18.19</v>
      </c>
      <c r="BN133" s="43" t="n">
        <f aca="false">MAX(0,1-BJ133*(1-CE_mig_hc)-p_bb_cush)*BDC!$Q$12</f>
        <v>0.171189689900712</v>
      </c>
      <c r="BO133" s="43" t="n">
        <f aca="false">MAX(0,BDC!$K$12-BJ133/1.5)</f>
        <v>0.224404088391918</v>
      </c>
      <c r="BP133" s="43" t="n">
        <f aca="false">MIN(MIN(1,BDC!$H$12*$CD$136),$CD$135)</f>
        <v>0.0609</v>
      </c>
      <c r="BQ133" s="43" t="n">
        <f aca="false">BDC!$I$12*BDC!$J$12*BP133*(1-0.3)</f>
        <v>0.02175</v>
      </c>
      <c r="BR133" s="45" t="n">
        <f aca="false">BDC!$C$12*($CD$134*MAX(BN133,BO133)+BQ133)</f>
        <v>4.47754286784899</v>
      </c>
      <c r="CC133" s="10" t="s">
        <v>979</v>
      </c>
      <c r="CD133" s="43" t="n">
        <f aca="false">p_w_mkt+(1-p_w_mkt)*$CD$130</f>
        <v>1</v>
      </c>
    </row>
    <row r="134" customFormat="false" ht="15" hidden="false" customHeight="true" outlineLevel="0" collapsed="false">
      <c r="A134" s="10" t="s">
        <v>510</v>
      </c>
      <c r="B134" s="35" t="n">
        <f aca="false">AY94</f>
        <v>27.938944824402</v>
      </c>
      <c r="C134" s="39" t="n">
        <f aca="false">AZ94</f>
        <v>0.0509039617393305</v>
      </c>
      <c r="D134" s="44" t="n">
        <f aca="false">IF(C134&lt;Inputs_Banks!$I13,1,0)</f>
        <v>1</v>
      </c>
      <c r="E134" s="44" t="n">
        <f aca="false">IF(C134&lt;0.045,1,0)</f>
        <v>0</v>
      </c>
      <c r="F134" s="44" t="n">
        <f aca="false">IF(B134&lt;0,1,0)</f>
        <v>0</v>
      </c>
      <c r="G134" s="44" t="n">
        <f aca="false">MIN(6,MIN(3,INT(MAX(0,Inputs_Banks!$BA13-C134)/p_notch_step))+D134+2*E134)</f>
        <v>3</v>
      </c>
      <c r="H134" s="39" t="n">
        <f aca="false">C134-Inputs_Banks!$I13</f>
        <v>-0.0200960382606695</v>
      </c>
      <c r="I134" s="44" t="n">
        <f aca="false">RANK(H134,$H$127:$H$150,1)</f>
        <v>21</v>
      </c>
      <c r="J134" s="44" t="n">
        <f aca="false">MAX(IF(I134&lt;=g_n_weak,1,0),E134)</f>
        <v>0</v>
      </c>
      <c r="K134" s="44" t="n">
        <f aca="false">IF(I134&gt;12,1,0)*(1-E134)</f>
        <v>1</v>
      </c>
      <c r="L134" s="35" t="n">
        <f aca="false">INDEX(Inputs_Banks!$AR13:$AX13,1,G134+1)</f>
        <v>0.225</v>
      </c>
      <c r="M134" s="35" t="n">
        <f aca="false">Inputs_Banks!$AI13*MIN(1,p_u_base+$CD$130*p_u_pan_all+J134*($CD$130*p_u_pan_weak+p_u_mda*D134)+p_u_notch*G134+p_u_fail*E134)</f>
        <v>76.383</v>
      </c>
      <c r="N134" s="35" t="n">
        <f aca="false">Inputs_Banks!$AK13*MIN(1,p_w_base+p_w_pan*$CD$130+p_w_notch*G134+0.5*D134+1*E134)</f>
        <v>37.337</v>
      </c>
      <c r="O134" s="35" t="n">
        <f aca="false">Inputs_Banks!$AO13*MIN(1,p_cp_base+p_cp_pan*$CD$130+p_cp_notch*G134)</f>
        <v>0</v>
      </c>
      <c r="P134" s="35" t="n">
        <f aca="false">Inputs_Banks!$AN13*(p_dh+p_dh_pan*$CD$130+MIN(1,0.5*$CD$137+0.25*G134))</f>
        <v>1.197105</v>
      </c>
      <c r="Q134" s="35" t="n">
        <f aca="false">Modules!$Y13</f>
        <v>12.7415604</v>
      </c>
      <c r="R134" s="35" t="n">
        <f aca="false">Inputs_Banks!$AJ13*K134</f>
        <v>532.066</v>
      </c>
      <c r="S134" s="35" t="n">
        <f aca="false">p_liq_on*$CD$138*SUM($M$127:$M$150)*R134/MAX(0.000000001,SUM($R$127:$R$150))</f>
        <v>110.18065138705</v>
      </c>
      <c r="T134" s="35" t="n">
        <f aca="false">p_liq_on*(L134+M134+N134+O134+P134+Q134)</f>
        <v>127.8836654</v>
      </c>
      <c r="U134" s="35" t="n">
        <f aca="false">g_usable*Inputs_Banks!$AG13+p_cb_on*Inputs_Banks!$AQ13+S134</f>
        <v>299.11655138705</v>
      </c>
      <c r="V134" s="35" t="n">
        <f aca="false">MAX(0,T134-U134)</f>
        <v>0</v>
      </c>
      <c r="W134" s="44" t="n">
        <f aca="false">IF(V134&gt;0.9*Inputs_Banks!$BB13,1,0)</f>
        <v>0</v>
      </c>
      <c r="X134" s="43" t="n">
        <f aca="false">MAX(p_htm_forced,(1-p_cb_on)*MIN(1,T134/Inputs_Banks!$AG13)*g_theta_sell)</f>
        <v>0.25</v>
      </c>
      <c r="Y134" s="35" t="n">
        <f aca="false">MAX(0,Modules!$V13-B134/(Inputs_Banks!$I13+g_del_buf))</f>
        <v>181.238304942079</v>
      </c>
      <c r="Z134" s="35" t="n">
        <f aca="false">MIN(g_del_cap*Inputs_Banks!$BB13,Y134)</f>
        <v>3.2525</v>
      </c>
      <c r="AA134" s="35" t="n">
        <f aca="false">MIN(Inputs_Banks!$BB13,V134+Z134)</f>
        <v>3.2525</v>
      </c>
      <c r="AB134" s="35" t="n">
        <f aca="false">$AA134*Holdings!Q13</f>
        <v>0</v>
      </c>
      <c r="AC134" s="35" t="n">
        <f aca="false">$AA134*Holdings!R13</f>
        <v>0</v>
      </c>
      <c r="AD134" s="35" t="n">
        <f aca="false">$AA134*Holdings!S13</f>
        <v>0</v>
      </c>
      <c r="AE134" s="35" t="n">
        <f aca="false">$AA134*Holdings!T13</f>
        <v>1.845</v>
      </c>
      <c r="AF134" s="35" t="n">
        <f aca="false">$AA134*Holdings!U13</f>
        <v>0</v>
      </c>
      <c r="AG134" s="35" t="n">
        <f aca="false">$AA134*Holdings!V13</f>
        <v>0</v>
      </c>
      <c r="AH134" s="35" t="n">
        <f aca="false">$AA134*Holdings!W13</f>
        <v>0.0225</v>
      </c>
      <c r="AI134" s="35" t="n">
        <f aca="false">$AA134*Holdings!X13</f>
        <v>1.095</v>
      </c>
      <c r="AJ134" s="35" t="n">
        <f aca="false">$AA134*Holdings!Y13</f>
        <v>0.29</v>
      </c>
      <c r="AK134" s="35" t="n">
        <f aca="false">$AA134*Holdings!Z13</f>
        <v>0</v>
      </c>
      <c r="AL134" s="35" t="n">
        <f aca="false">$AA134*Holdings!AA13</f>
        <v>0</v>
      </c>
      <c r="AM134" s="35" t="n">
        <f aca="false">$AA134*Holdings!AB13</f>
        <v>0</v>
      </c>
      <c r="AN134" s="35" t="n">
        <f aca="false">$AA134*Holdings!AC13</f>
        <v>0</v>
      </c>
      <c r="AO134" s="43" t="n">
        <f aca="false">MIN(1,$CD$137+0.5*G134)</f>
        <v>1</v>
      </c>
      <c r="AP134" s="35" t="n">
        <f aca="false">p_liq_on*Inputs_Banks!$AP13*AO134*p_mb_psi</f>
        <v>0.636</v>
      </c>
      <c r="AQ134" s="44" t="n">
        <f aca="false">MAX(F134,E134,W134*(1-p_cb_on))</f>
        <v>0</v>
      </c>
      <c r="AR134" s="35" t="n">
        <f aca="false">p_ib_on*p_lgd_ib*g_s_in*g_u_ib*SUMPRODUCT(Network!J$6:J$29,$AQ$127:$AQ$150)</f>
        <v>0.644762362033408</v>
      </c>
      <c r="AS134" s="35" t="n">
        <f aca="false">p_sw_M1*(SUMPRODUCT(BDC_EAD!J$106:J$127,$BF$127:$BF$148)+SUMPRODUCT(BDC_EAD!J$131:J$152,$BG$127:$BG$148)+(Inputs_Banks!$Y13+p_ccf_bl*Inputs_Banks!$Z13)*$CD$150+Modules!$E13)</f>
        <v>14.5195684657137</v>
      </c>
      <c r="AT134" s="35" t="n">
        <f aca="false">p_sw_M3*(Inputs_Banks!$U13+p_ccf_abf*Inputs_Banks!$V13)*$CD$151</f>
        <v>0</v>
      </c>
      <c r="AU134" s="35" t="n">
        <f aca="false">p_sw_M10*Inputs_Banks!$AC13*$CD$152</f>
        <v>0</v>
      </c>
      <c r="AV134" s="35" t="n">
        <f aca="false">p_sw_M8*(Modules!$M13+Modules!$N13*IF(p_liq_on&gt;0,X134,p_htm_forced))</f>
        <v>5.14480625</v>
      </c>
      <c r="AW134" s="35" t="n">
        <f aca="false">SUMPRODUCT(Holdings!$C13:$O13,Holdings!$C$32:$O$32,$AB$152:$AN$152)+Inputs_Banks!$P13*$AL$152</f>
        <v>1.48151506912185</v>
      </c>
      <c r="AX134" s="35" t="n">
        <f aca="false">Modules!$T13+AS134+AT134+AU134+AV134+AW134+AR134</f>
        <v>27.061055175598</v>
      </c>
      <c r="AY134" s="35" t="n">
        <f aca="false">Modules!$U13-(1-p_tax)*AX134</f>
        <v>27.938944824402</v>
      </c>
      <c r="AZ134" s="39" t="n">
        <f aca="false">AY134/Modules!$V13</f>
        <v>0.0509039617393305</v>
      </c>
      <c r="BA134" s="48" t="s">
        <v>641</v>
      </c>
      <c r="BB134" s="43" t="n">
        <f aca="false">INDEX($BJ$127:$BJ$160,BDC_EAD!$B13)</f>
        <v>0.329896338848212</v>
      </c>
      <c r="BC134" s="43" t="n">
        <f aca="false">INDEX($BK$127:$BK$160,BDC_EAD!$B13)</f>
        <v>0.0624513829138554</v>
      </c>
      <c r="BD134" s="22" t="n">
        <f aca="false">INDEX(BDC!$Q$6:$Q$39,BDC_EAD!$B13)</f>
        <v>0.167256637168142</v>
      </c>
      <c r="BE134" s="43" t="n">
        <f aca="false">BB134*(1-$AK$152)-BC134-p_c_liq</f>
        <v>0.068991603452661</v>
      </c>
      <c r="BF134" s="43" t="n">
        <f aca="false">p_phi*MAX(0,p_a_spv-BE134)/p_a_spv+(1-p_phi)*MAX(0,p_a_spv-BB134)/p_a_spv</f>
        <v>0.826896356383184</v>
      </c>
      <c r="BG134" s="43" t="n">
        <f aca="false">IF(BD134&gt;0,p_phi*MAX(0,BD134-BE134)/BD134+(1-p_phi)*MAX(0,BD134-BB134)/BD134,0)</f>
        <v>0.470008415231717</v>
      </c>
      <c r="BI134" s="12" t="str">
        <f aca="false">BDC!$A$13</f>
        <v>OBDC</v>
      </c>
      <c r="BJ134" s="43" t="n">
        <f aca="false">1-((1-BDC!$D$13)*$CD$143+BDC!$D$13*$CD$144)-p_gap-$CD$133*(1-BDC!$M$13)</f>
        <v>0.393709594067855</v>
      </c>
      <c r="BK134" s="43" t="n">
        <f aca="false">(1-BDC!$D$13)*$CD$145+BDC!$D$13*$CD$146</f>
        <v>0.0647242624061503</v>
      </c>
      <c r="BL134" s="45" t="n">
        <f aca="false">BJ134/BDC!$K$13</f>
        <v>0.745236017342725</v>
      </c>
      <c r="BM134" s="35" t="n">
        <f aca="false">IF(BL134&lt;1.5,BDC!$C$13,0)</f>
        <v>14.96</v>
      </c>
      <c r="BN134" s="43" t="n">
        <f aca="false">MAX(0,1-BJ134*(1-CE_mig_hc)-p_bb_cush)*BDC!$Q$13</f>
        <v>0.111074092527053</v>
      </c>
      <c r="BO134" s="43" t="n">
        <f aca="false">MAX(0,BDC!$K$13-BJ134/1.5)</f>
        <v>0.26582882408055</v>
      </c>
      <c r="BP134" s="43" t="n">
        <f aca="false">MIN(MIN(1,BDC!$H$13*$CD$136),$CD$135)</f>
        <v>0</v>
      </c>
      <c r="BQ134" s="43" t="n">
        <f aca="false">BDC!$I$13*BDC!$J$13*BP134*(1-0.3)</f>
        <v>0</v>
      </c>
      <c r="BR134" s="45" t="n">
        <f aca="false">BDC!$C$13*($CD$134*MAX(BN134,BO134)+BQ134)</f>
        <v>3.97679920824502</v>
      </c>
      <c r="CC134" s="10" t="s">
        <v>980</v>
      </c>
      <c r="CD134" s="43" t="n">
        <f aca="false">p_theta_lev+(1-p_theta_lev)*$CD$130</f>
        <v>1</v>
      </c>
    </row>
    <row r="135" customFormat="false" ht="15" hidden="false" customHeight="true" outlineLevel="0" collapsed="false">
      <c r="A135" s="10" t="s">
        <v>512</v>
      </c>
      <c r="B135" s="35" t="n">
        <f aca="false">AY95</f>
        <v>7.3352278932168</v>
      </c>
      <c r="C135" s="39" t="n">
        <f aca="false">AZ95</f>
        <v>0.0157292211183521</v>
      </c>
      <c r="D135" s="44" t="n">
        <f aca="false">IF(C135&lt;Inputs_Banks!$I14,1,0)</f>
        <v>1</v>
      </c>
      <c r="E135" s="44" t="n">
        <f aca="false">IF(C135&lt;0.045,1,0)</f>
        <v>1</v>
      </c>
      <c r="F135" s="44" t="n">
        <f aca="false">IF(B135&lt;0,1,0)</f>
        <v>0</v>
      </c>
      <c r="G135" s="44" t="n">
        <f aca="false">MIN(6,MIN(3,INT(MAX(0,Inputs_Banks!$BA14-C135)/p_notch_step))+D135+2*E135)</f>
        <v>6</v>
      </c>
      <c r="H135" s="39" t="n">
        <f aca="false">C135-Inputs_Banks!$I14</f>
        <v>-0.0542707788816479</v>
      </c>
      <c r="I135" s="44" t="n">
        <f aca="false">RANK(H135,$H$127:$H$150,1)</f>
        <v>15</v>
      </c>
      <c r="J135" s="44" t="n">
        <f aca="false">MAX(IF(I135&lt;=g_n_weak,1,0),E135)</f>
        <v>1</v>
      </c>
      <c r="K135" s="44" t="n">
        <f aca="false">IF(I135&gt;12,1,0)*(1-E135)</f>
        <v>0</v>
      </c>
      <c r="L135" s="35" t="n">
        <f aca="false">INDEX(Inputs_Banks!$AR14:$AX14,1,G135+1)</f>
        <v>0.5568</v>
      </c>
      <c r="M135" s="35" t="n">
        <f aca="false">Inputs_Banks!$AI14*MIN(1,p_u_base+$CD$130*p_u_pan_all+J135*($CD$130*p_u_pan_weak+p_u_mda*D135)+p_u_notch*G135+p_u_fail*E135)</f>
        <v>177.002</v>
      </c>
      <c r="N135" s="35" t="n">
        <f aca="false">Inputs_Banks!$AK14*MIN(1,p_w_base+p_w_pan*$CD$130+p_w_notch*G135+0.5*D135+1*E135)</f>
        <v>3.414</v>
      </c>
      <c r="O135" s="35" t="n">
        <f aca="false">Inputs_Banks!$AO14*MIN(1,p_cp_base+p_cp_pan*$CD$130+p_cp_notch*G135)</f>
        <v>5.98</v>
      </c>
      <c r="P135" s="35" t="n">
        <f aca="false">Inputs_Banks!$AN14*(p_dh+p_dh_pan*$CD$130+MIN(1,0.5*$CD$137+0.25*G135))</f>
        <v>0.8013915</v>
      </c>
      <c r="Q135" s="35" t="n">
        <f aca="false">Modules!$Y14</f>
        <v>19.9439417</v>
      </c>
      <c r="R135" s="35" t="n">
        <f aca="false">Inputs_Banks!$AJ14*K135</f>
        <v>0</v>
      </c>
      <c r="S135" s="35" t="n">
        <f aca="false">p_liq_on*$CD$138*SUM($M$127:$M$150)*R135/MAX(0.000000001,SUM($R$127:$R$150))</f>
        <v>0</v>
      </c>
      <c r="T135" s="35" t="n">
        <f aca="false">p_liq_on*(L135+M135+N135+O135+P135+Q135)</f>
        <v>207.6981332</v>
      </c>
      <c r="U135" s="35" t="n">
        <f aca="false">g_usable*Inputs_Banks!$AG14+p_cb_on*Inputs_Banks!$AQ14+S135</f>
        <v>133.1275</v>
      </c>
      <c r="V135" s="35" t="n">
        <f aca="false">MAX(0,T135-U135)</f>
        <v>74.5706332</v>
      </c>
      <c r="W135" s="44" t="n">
        <f aca="false">IF(V135&gt;0.9*Inputs_Banks!$BB14,1,0)</f>
        <v>1</v>
      </c>
      <c r="X135" s="43" t="n">
        <f aca="false">MAX(p_htm_forced,(1-p_cb_on)*MIN(1,T135/Inputs_Banks!$AG14)*g_theta_sell)</f>
        <v>0.25</v>
      </c>
      <c r="Y135" s="35" t="n">
        <f aca="false">MAX(0,Modules!$V14-B135/(Inputs_Banks!$I14+g_del_buf))</f>
        <v>368.540961423776</v>
      </c>
      <c r="Z135" s="35" t="n">
        <f aca="false">MIN(g_del_cap*Inputs_Banks!$BB14,Y135)</f>
        <v>1.1025</v>
      </c>
      <c r="AA135" s="35" t="n">
        <f aca="false">MIN(Inputs_Banks!$BB14,V135+Z135)</f>
        <v>4.41</v>
      </c>
      <c r="AB135" s="35" t="n">
        <f aca="false">$AA135*Holdings!Q14</f>
        <v>0</v>
      </c>
      <c r="AC135" s="35" t="n">
        <f aca="false">$AA135*Holdings!R14</f>
        <v>0</v>
      </c>
      <c r="AD135" s="35" t="n">
        <f aca="false">$AA135*Holdings!S14</f>
        <v>0</v>
      </c>
      <c r="AE135" s="35" t="n">
        <f aca="false">$AA135*Holdings!T14</f>
        <v>0.34</v>
      </c>
      <c r="AF135" s="35" t="n">
        <f aca="false">$AA135*Holdings!U14</f>
        <v>0</v>
      </c>
      <c r="AG135" s="35" t="n">
        <f aca="false">$AA135*Holdings!V14</f>
        <v>0</v>
      </c>
      <c r="AH135" s="35" t="n">
        <f aca="false">$AA135*Holdings!W14</f>
        <v>0.17</v>
      </c>
      <c r="AI135" s="35" t="n">
        <f aca="false">$AA135*Holdings!X14</f>
        <v>0</v>
      </c>
      <c r="AJ135" s="35" t="n">
        <f aca="false">$AA135*Holdings!Y14</f>
        <v>1.28</v>
      </c>
      <c r="AK135" s="35" t="n">
        <f aca="false">$AA135*Holdings!Z14</f>
        <v>0</v>
      </c>
      <c r="AL135" s="35" t="n">
        <f aca="false">$AA135*Holdings!AA14</f>
        <v>0</v>
      </c>
      <c r="AM135" s="35" t="n">
        <f aca="false">$AA135*Holdings!AB14</f>
        <v>0</v>
      </c>
      <c r="AN135" s="35" t="n">
        <f aca="false">$AA135*Holdings!AC14</f>
        <v>2.62</v>
      </c>
      <c r="AO135" s="43" t="n">
        <f aca="false">MIN(1,$CD$137+0.5*G135)</f>
        <v>1</v>
      </c>
      <c r="AP135" s="35" t="n">
        <f aca="false">p_liq_on*Inputs_Banks!$AP14*AO135*p_mb_psi</f>
        <v>0.03</v>
      </c>
      <c r="AQ135" s="44" t="n">
        <f aca="false">MAX(F135,E135,W135*(1-p_cb_on))</f>
        <v>1</v>
      </c>
      <c r="AR135" s="35" t="n">
        <f aca="false">p_ib_on*p_lgd_ib*g_s_in*g_u_ib*SUMPRODUCT(Network!K$6:K$29,$AQ$127:$AQ$150)</f>
        <v>0.4977941331784</v>
      </c>
      <c r="AS135" s="35" t="n">
        <f aca="false">p_sw_M1*(SUMPRODUCT(BDC_EAD!K$106:K$127,$BF$127:$BF$148)+SUMPRODUCT(BDC_EAD!K$131:K$152,$BG$127:$BG$148)+(Inputs_Banks!$Y14+p_ccf_bl*Inputs_Banks!$Z14)*$CD$150+Modules!$E14)</f>
        <v>29.6250912216605</v>
      </c>
      <c r="AT135" s="35" t="n">
        <f aca="false">p_sw_M3*(Inputs_Banks!$U14+p_ccf_abf*Inputs_Banks!$V14)*$CD$151</f>
        <v>0</v>
      </c>
      <c r="AU135" s="35" t="n">
        <f aca="false">p_sw_M10*Inputs_Banks!$AC14*$CD$152</f>
        <v>0</v>
      </c>
      <c r="AV135" s="35" t="n">
        <f aca="false">p_sw_M8*(Modules!$M14+Modules!$N14*IF(p_liq_on&gt;0,X135,p_htm_forced))</f>
        <v>4.33808375</v>
      </c>
      <c r="AW135" s="35" t="n">
        <f aca="false">SUMPRODUCT(Holdings!$C14:$O14,Holdings!$C$32:$O$32,$AB$152:$AN$152)+Inputs_Banks!$P14*$AL$152</f>
        <v>0.41912800194433</v>
      </c>
      <c r="AX135" s="35" t="n">
        <f aca="false">Modules!$T14+AS135+AT135+AU135+AV135+AW135+AR135</f>
        <v>38.9647721067832</v>
      </c>
      <c r="AY135" s="35" t="n">
        <f aca="false">Modules!$U14-(1-p_tax)*AX135</f>
        <v>7.3352278932168</v>
      </c>
      <c r="AZ135" s="39" t="n">
        <f aca="false">AY135/Modules!$V14</f>
        <v>0.0157292211183521</v>
      </c>
      <c r="BA135" s="48" t="s">
        <v>644</v>
      </c>
      <c r="BB135" s="43" t="n">
        <f aca="false">INDEX($BJ$127:$BJ$160,BDC_EAD!$B14)</f>
        <v>0.440432081141748</v>
      </c>
      <c r="BC135" s="43" t="n">
        <f aca="false">INDEX($BK$127:$BK$160,BDC_EAD!$B14)</f>
        <v>0.0593587763915524</v>
      </c>
      <c r="BD135" s="22" t="n">
        <f aca="false">INDEX(BDC!$Q$6:$Q$39,BDC_EAD!$B14)</f>
        <v>0.198013452914798</v>
      </c>
      <c r="BE135" s="43" t="n">
        <f aca="false">BB135*(1-$AK$152)-BC135-p_c_liq</f>
        <v>0.132878868236409</v>
      </c>
      <c r="BF135" s="43" t="n">
        <f aca="false">p_phi*MAX(0,p_a_spv-BE135)/p_a_spv+(1-p_phi)*MAX(0,p_a_spv-BB135)/p_a_spv</f>
        <v>0.722300698832176</v>
      </c>
      <c r="BG135" s="43" t="n">
        <f aca="false">IF(BD135&gt;0,p_phi*MAX(0,BD135-BE135)/BD135+(1-p_phi)*MAX(0,BD135-BB135)/BD135,0)</f>
        <v>0.26315215949056</v>
      </c>
      <c r="BI135" s="12" t="str">
        <f aca="false">BDC!$A$14</f>
        <v>OTF</v>
      </c>
      <c r="BJ135" s="43" t="n">
        <f aca="false">1-((1-BDC!$D$14)*$CD$143+BDC!$D$14*$CD$144)-p_gap-$CD$133*(1-BDC!$M$14)</f>
        <v>0.261914595446638</v>
      </c>
      <c r="BK135" s="43" t="n">
        <f aca="false">(1-BDC!$D$14)*$CD$145+BDC!$D$14*$CD$146</f>
        <v>0.0568250746624368</v>
      </c>
      <c r="BL135" s="45" t="n">
        <f aca="false">BJ135/BDC!$K$14</f>
        <v>0.537614169600993</v>
      </c>
      <c r="BM135" s="35" t="n">
        <f aca="false">IF(BL135&lt;1.5,BDC!$C$14,0)</f>
        <v>14.68</v>
      </c>
      <c r="BN135" s="43" t="n">
        <f aca="false">MAX(0,1-BJ135*(1-CE_mig_hc)-p_bb_cush)*BDC!$Q$14</f>
        <v>0.230311529202363</v>
      </c>
      <c r="BO135" s="43" t="n">
        <f aca="false">MAX(0,BDC!$K$14-BJ135/1.5)</f>
        <v>0.312569756881729</v>
      </c>
      <c r="BP135" s="43" t="n">
        <f aca="false">MIN(MIN(1,BDC!$H$14*$CD$136),$CD$135)</f>
        <v>0</v>
      </c>
      <c r="BQ135" s="43" t="n">
        <f aca="false">BDC!$I$14*BDC!$J$14*BP135*(1-0.3)</f>
        <v>0</v>
      </c>
      <c r="BR135" s="45" t="n">
        <f aca="false">BDC!$C$14*($CD$134*MAX(BN135,BO135)+BQ135)</f>
        <v>4.58852403102378</v>
      </c>
      <c r="CC135" s="10" t="s">
        <v>981</v>
      </c>
      <c r="CD135" s="43" t="n">
        <f aca="false">p_red_rate+p_red_pan*$CD$130</f>
        <v>0.25</v>
      </c>
    </row>
    <row r="136" customFormat="false" ht="15" hidden="false" customHeight="true" outlineLevel="0" collapsed="false">
      <c r="A136" s="10" t="s">
        <v>514</v>
      </c>
      <c r="B136" s="35" t="n">
        <f aca="false">AY96</f>
        <v>-17.14502991394</v>
      </c>
      <c r="C136" s="39" t="n">
        <f aca="false">AZ96</f>
        <v>-0.112909158592408</v>
      </c>
      <c r="D136" s="44" t="n">
        <f aca="false">IF(C136&lt;Inputs_Banks!$I15,1,0)</f>
        <v>1</v>
      </c>
      <c r="E136" s="44" t="n">
        <f aca="false">IF(C136&lt;0.045,1,0)</f>
        <v>1</v>
      </c>
      <c r="F136" s="44" t="n">
        <f aca="false">IF(B136&lt;0,1,0)</f>
        <v>1</v>
      </c>
      <c r="G136" s="44" t="n">
        <f aca="false">MIN(6,MIN(3,INT(MAX(0,Inputs_Banks!$BA15-C136)/p_notch_step))+D136+2*E136)</f>
        <v>6</v>
      </c>
      <c r="H136" s="39" t="n">
        <f aca="false">C136-Inputs_Banks!$I15</f>
        <v>-0.192909158592408</v>
      </c>
      <c r="I136" s="44" t="n">
        <f aca="false">RANK(H136,$H$127:$H$150,1)</f>
        <v>1</v>
      </c>
      <c r="J136" s="44" t="n">
        <f aca="false">MAX(IF(I136&lt;=g_n_weak,1,0),E136)</f>
        <v>1</v>
      </c>
      <c r="K136" s="44" t="n">
        <f aca="false">IF(I136&gt;12,1,0)*(1-E136)</f>
        <v>0</v>
      </c>
      <c r="L136" s="35" t="n">
        <f aca="false">INDEX(Inputs_Banks!$AR15:$AX15,1,G136+1)</f>
        <v>1.65</v>
      </c>
      <c r="M136" s="35" t="n">
        <f aca="false">Inputs_Banks!$AI15*MIN(1,p_u_base+$CD$130*p_u_pan_all+J136*($CD$130*p_u_pan_weak+p_u_mda*D136)+p_u_notch*G136+p_u_fail*E136)</f>
        <v>232.74682</v>
      </c>
      <c r="N136" s="35" t="n">
        <f aca="false">Inputs_Banks!$AK15*MIN(1,p_w_base+p_w_pan*$CD$130+p_w_notch*G136+0.5*D136+1*E136)</f>
        <v>4.372</v>
      </c>
      <c r="O136" s="35" t="n">
        <f aca="false">Inputs_Banks!$AO15*MIN(1,p_cp_base+p_cp_pan*$CD$130+p_cp_notch*G136)</f>
        <v>0</v>
      </c>
      <c r="P136" s="35" t="n">
        <f aca="false">Inputs_Banks!$AN15*(p_dh+p_dh_pan*$CD$130+MIN(1,0.5*$CD$137+0.25*G136))</f>
        <v>0.076848062953995</v>
      </c>
      <c r="Q136" s="35" t="n">
        <f aca="false">Modules!$Y15</f>
        <v>9.3479398</v>
      </c>
      <c r="R136" s="35" t="n">
        <f aca="false">Inputs_Banks!$AJ15*K136</f>
        <v>0</v>
      </c>
      <c r="S136" s="35" t="n">
        <f aca="false">p_liq_on*$CD$138*SUM($M$127:$M$150)*R136/MAX(0.000000001,SUM($R$127:$R$150))</f>
        <v>0</v>
      </c>
      <c r="T136" s="35" t="n">
        <f aca="false">p_liq_on*(L136+M136+N136+O136+P136+Q136)</f>
        <v>248.193607862954</v>
      </c>
      <c r="U136" s="35" t="n">
        <f aca="false">g_usable*Inputs_Banks!$AG15+p_cb_on*Inputs_Banks!$AQ15+S136</f>
        <v>131.22555</v>
      </c>
      <c r="V136" s="35" t="n">
        <f aca="false">MAX(0,T136-U136)</f>
        <v>116.968057862954</v>
      </c>
      <c r="W136" s="44" t="n">
        <f aca="false">IF(V136&gt;0.9*Inputs_Banks!$BB15,1,0)</f>
        <v>1</v>
      </c>
      <c r="X136" s="43" t="n">
        <f aca="false">MAX(p_htm_forced,(1-p_cb_on)*MIN(1,T136/Inputs_Banks!$AG15)*g_theta_sell)</f>
        <v>0.25</v>
      </c>
      <c r="Y136" s="35" t="n">
        <f aca="false">MAX(0,Modules!$V15-B136/(Inputs_Banks!$I15+g_del_buf))</f>
        <v>353.554234281647</v>
      </c>
      <c r="Z136" s="35" t="n">
        <f aca="false">MIN(g_del_cap*Inputs_Banks!$BB15,Y136)</f>
        <v>4.0175</v>
      </c>
      <c r="AA136" s="35" t="n">
        <f aca="false">MIN(Inputs_Banks!$BB15,V136+Z136)</f>
        <v>16.07</v>
      </c>
      <c r="AB136" s="35" t="n">
        <f aca="false">$AA136*Holdings!Q15</f>
        <v>0</v>
      </c>
      <c r="AC136" s="35" t="n">
        <f aca="false">$AA136*Holdings!R15</f>
        <v>0</v>
      </c>
      <c r="AD136" s="35" t="n">
        <f aca="false">$AA136*Holdings!S15</f>
        <v>0</v>
      </c>
      <c r="AE136" s="35" t="n">
        <f aca="false">$AA136*Holdings!T15</f>
        <v>0.03</v>
      </c>
      <c r="AF136" s="35" t="n">
        <f aca="false">$AA136*Holdings!U15</f>
        <v>0.12</v>
      </c>
      <c r="AG136" s="35" t="n">
        <f aca="false">$AA136*Holdings!V15</f>
        <v>0</v>
      </c>
      <c r="AH136" s="35" t="n">
        <f aca="false">$AA136*Holdings!W15</f>
        <v>0</v>
      </c>
      <c r="AI136" s="35" t="n">
        <f aca="false">$AA136*Holdings!X15</f>
        <v>4.01</v>
      </c>
      <c r="AJ136" s="35" t="n">
        <f aca="false">$AA136*Holdings!Y15</f>
        <v>11.79</v>
      </c>
      <c r="AK136" s="35" t="n">
        <f aca="false">$AA136*Holdings!Z15</f>
        <v>0</v>
      </c>
      <c r="AL136" s="35" t="n">
        <f aca="false">$AA136*Holdings!AA15</f>
        <v>0</v>
      </c>
      <c r="AM136" s="35" t="n">
        <f aca="false">$AA136*Holdings!AB15</f>
        <v>0</v>
      </c>
      <c r="AN136" s="35" t="n">
        <f aca="false">$AA136*Holdings!AC15</f>
        <v>0.12</v>
      </c>
      <c r="AO136" s="43" t="n">
        <f aca="false">MIN(1,$CD$137+0.5*G136)</f>
        <v>1</v>
      </c>
      <c r="AP136" s="35" t="n">
        <f aca="false">p_liq_on*Inputs_Banks!$AP15*AO136*p_mb_psi</f>
        <v>0</v>
      </c>
      <c r="AQ136" s="44" t="n">
        <f aca="false">MAX(F136,E136,W136*(1-p_cb_on))</f>
        <v>1</v>
      </c>
      <c r="AR136" s="35" t="n">
        <f aca="false">p_ib_on*p_lgd_ib*g_s_in*g_u_ib*SUMPRODUCT(Network!L$6:L$29,$AQ$127:$AQ$150)</f>
        <v>2.98883625010824</v>
      </c>
      <c r="AS136" s="35" t="n">
        <f aca="false">p_sw_M1*(SUMPRODUCT(BDC_EAD!L$106:L$127,$BF$127:$BF$148)+SUMPRODUCT(BDC_EAD!L$131:L$152,$BG$127:$BG$148)+(Inputs_Banks!$Y15+p_ccf_bl*Inputs_Banks!$Z15)*$CD$150+Modules!$E15)</f>
        <v>21.1544650700422</v>
      </c>
      <c r="AT136" s="35" t="n">
        <f aca="false">p_sw_M3*(Inputs_Banks!$U15+p_ccf_abf*Inputs_Banks!$V15)*$CD$151</f>
        <v>0</v>
      </c>
      <c r="AU136" s="35" t="n">
        <f aca="false">p_sw_M10*Inputs_Banks!$AC15*$CD$152</f>
        <v>0</v>
      </c>
      <c r="AV136" s="35" t="n">
        <f aca="false">p_sw_M8*(Modules!$M15+Modules!$N15*IF(p_liq_on&gt;0,X136,p_htm_forced))</f>
        <v>3.383275</v>
      </c>
      <c r="AW136" s="35" t="n">
        <f aca="false">SUMPRODUCT(Holdings!$C15:$O15,Holdings!$C$32:$O$32,$AB$152:$AN$152)+Inputs_Banks!$P15*$AL$152</f>
        <v>2.55458359378958</v>
      </c>
      <c r="AX136" s="35" t="n">
        <f aca="false">Modules!$T15+AS136+AT136+AU136+AV136+AW136+AR136</f>
        <v>32.54502991394</v>
      </c>
      <c r="AY136" s="35" t="n">
        <f aca="false">Modules!$U15-(1-p_tax)*AX136</f>
        <v>-17.14502991394</v>
      </c>
      <c r="AZ136" s="39" t="n">
        <f aca="false">AY136/Modules!$V15</f>
        <v>-0.112909158592408</v>
      </c>
      <c r="BA136" s="48" t="s">
        <v>654</v>
      </c>
      <c r="BB136" s="43" t="n">
        <f aca="false">INDEX($BJ$127:$BJ$160,BDC_EAD!$B15)</f>
        <v>0.402673902876419</v>
      </c>
      <c r="BC136" s="43" t="n">
        <f aca="false">INDEX($BK$127:$BK$160,BDC_EAD!$B15)</f>
        <v>0.0617434368424848</v>
      </c>
      <c r="BD136" s="22" t="n">
        <f aca="false">INDEX(BDC!$Q$6:$Q$39,BDC_EAD!$B15)</f>
        <v>0.211491525423729</v>
      </c>
      <c r="BE136" s="43" t="n">
        <f aca="false">BB136*(1-$AK$152)-BC136-p_c_liq</f>
        <v>0.109727209739546</v>
      </c>
      <c r="BF136" s="43" t="n">
        <f aca="false">p_phi*MAX(0,p_a_spv-BE136)/p_a_spv+(1-p_phi)*MAX(0,p_a_spv-BB136)/p_a_spv</f>
        <v>0.759547788047257</v>
      </c>
      <c r="BG136" s="43" t="n">
        <f aca="false">IF(BD136&gt;0,p_phi*MAX(0,BD136-BE136)/BD136+(1-p_phi)*MAX(0,BD136-BB136)/BD136,0)</f>
        <v>0.384939549630826</v>
      </c>
      <c r="BI136" s="12" t="str">
        <f aca="false">BDC!$A$15</f>
        <v>BXSL</v>
      </c>
      <c r="BJ136" s="43" t="n">
        <f aca="false">1-((1-BDC!$D$15)*$CD$143+BDC!$D$15*$CD$144)-p_gap-$CD$133*(1-BDC!$M$15)</f>
        <v>0.48930871061707</v>
      </c>
      <c r="BK136" s="43" t="n">
        <f aca="false">(1-BDC!$D$15)*$CD$145+BDC!$D$15*$CD$146</f>
        <v>0.0620042590793056</v>
      </c>
      <c r="BL136" s="45" t="n">
        <f aca="false">BJ136/BDC!$K$15</f>
        <v>0.874591159921849</v>
      </c>
      <c r="BM136" s="35" t="n">
        <f aca="false">IF(BL136&lt;1.5,BDC!$C$15,0)</f>
        <v>13.36</v>
      </c>
      <c r="BN136" s="43" t="n">
        <f aca="false">MAX(0,1-BJ136*(1-CE_mig_hc)-p_bb_cush)*BDC!$Q$15</f>
        <v>0.0982736463037332</v>
      </c>
      <c r="BO136" s="43" t="n">
        <f aca="false">MAX(0,BDC!$K$15-BJ136/1.5)</f>
        <v>0.23326555856072</v>
      </c>
      <c r="BP136" s="43" t="n">
        <f aca="false">MIN(MIN(1,BDC!$H$15*$CD$136),$CD$135)</f>
        <v>0</v>
      </c>
      <c r="BQ136" s="43" t="n">
        <f aca="false">BDC!$I$15*BDC!$J$15*BP136*(1-0.3)</f>
        <v>0</v>
      </c>
      <c r="BR136" s="45" t="n">
        <f aca="false">BDC!$C$15*($CD$134*MAX(BN136,BO136)+BQ136)</f>
        <v>3.11642786237122</v>
      </c>
      <c r="CC136" s="10" t="s">
        <v>982</v>
      </c>
      <c r="CD136" s="45" t="n">
        <f aca="false">1+p_req_pan*$CD$130</f>
        <v>3</v>
      </c>
    </row>
    <row r="137" customFormat="false" ht="15" hidden="false" customHeight="true" outlineLevel="0" collapsed="false">
      <c r="A137" s="10" t="s">
        <v>516</v>
      </c>
      <c r="B137" s="35" t="n">
        <f aca="false">AY97</f>
        <v>6.93301753118636</v>
      </c>
      <c r="C137" s="39" t="n">
        <f aca="false">AZ97</f>
        <v>0.0334695551461126</v>
      </c>
      <c r="D137" s="44" t="n">
        <f aca="false">IF(C137&lt;Inputs_Banks!$I16,1,0)</f>
        <v>1</v>
      </c>
      <c r="E137" s="44" t="n">
        <f aca="false">IF(C137&lt;0.045,1,0)</f>
        <v>1</v>
      </c>
      <c r="F137" s="44" t="n">
        <f aca="false">IF(B137&lt;0,1,0)</f>
        <v>0</v>
      </c>
      <c r="G137" s="44" t="n">
        <f aca="false">MIN(6,MIN(3,INT(MAX(0,Inputs_Banks!$BA16-C137)/p_notch_step))+D137+2*E137)</f>
        <v>6</v>
      </c>
      <c r="H137" s="39" t="n">
        <f aca="false">C137-Inputs_Banks!$I16</f>
        <v>-0.0515304448538874</v>
      </c>
      <c r="I137" s="44" t="n">
        <f aca="false">RANK(H137,$H$127:$H$150,1)</f>
        <v>16</v>
      </c>
      <c r="J137" s="44" t="n">
        <f aca="false">MAX(IF(I137&lt;=g_n_weak,1,0),E137)</f>
        <v>1</v>
      </c>
      <c r="K137" s="44" t="n">
        <f aca="false">IF(I137&gt;12,1,0)*(1-E137)</f>
        <v>0</v>
      </c>
      <c r="L137" s="35" t="n">
        <f aca="false">INDEX(Inputs_Banks!$AR16:$AX16,1,G137+1)</f>
        <v>0.099</v>
      </c>
      <c r="M137" s="35" t="n">
        <f aca="false">Inputs_Banks!$AI16*MIN(1,p_u_base+$CD$130*p_u_pan_all+J137*($CD$130*p_u_pan_weak+p_u_mda*D137)+p_u_notch*G137+p_u_fail*E137)</f>
        <v>238.80042</v>
      </c>
      <c r="N137" s="35" t="n">
        <f aca="false">Inputs_Banks!$AK16*MIN(1,p_w_base+p_w_pan*$CD$130+p_w_notch*G137+0.5*D137+1*E137)</f>
        <v>5.217</v>
      </c>
      <c r="O137" s="35" t="n">
        <f aca="false">Inputs_Banks!$AO16*MIN(1,p_cp_base+p_cp_pan*$CD$130+p_cp_notch*G137)</f>
        <v>0</v>
      </c>
      <c r="P137" s="35" t="n">
        <f aca="false">Inputs_Banks!$AN16*(p_dh+p_dh_pan*$CD$130+MIN(1,0.5*$CD$137+0.25*G137))</f>
        <v>5.66399469476295</v>
      </c>
      <c r="Q137" s="35" t="n">
        <f aca="false">Modules!$Y16</f>
        <v>2.4536497</v>
      </c>
      <c r="R137" s="35" t="n">
        <f aca="false">Inputs_Banks!$AJ16*K137</f>
        <v>0</v>
      </c>
      <c r="S137" s="35" t="n">
        <f aca="false">p_liq_on*$CD$138*SUM($M$127:$M$150)*R137/MAX(0.000000001,SUM($R$127:$R$150))</f>
        <v>0</v>
      </c>
      <c r="T137" s="35" t="n">
        <f aca="false">p_liq_on*(L137+M137+N137+O137+P137+Q137)</f>
        <v>252.234064394763</v>
      </c>
      <c r="U137" s="35" t="n">
        <f aca="false">g_usable*Inputs_Banks!$AG16+p_cb_on*Inputs_Banks!$AQ16+S137</f>
        <v>166.7</v>
      </c>
      <c r="V137" s="35" t="n">
        <f aca="false">MAX(0,T137-U137)</f>
        <v>85.534064394763</v>
      </c>
      <c r="W137" s="44" t="n">
        <f aca="false">IF(V137&gt;0.9*Inputs_Banks!$BB16,1,0)</f>
        <v>1</v>
      </c>
      <c r="X137" s="43" t="n">
        <f aca="false">MAX(p_htm_forced,(1-p_cb_on)*MIN(1,T137/Inputs_Banks!$AG16)*g_theta_sell)</f>
        <v>0.25</v>
      </c>
      <c r="Y137" s="35" t="n">
        <f aca="false">MAX(0,Modules!$V16-B137/(Inputs_Banks!$I16+g_del_buf))</f>
        <v>130.110471875707</v>
      </c>
      <c r="Z137" s="35" t="n">
        <f aca="false">MIN(g_del_cap*Inputs_Banks!$BB16,Y137)</f>
        <v>6.73</v>
      </c>
      <c r="AA137" s="35" t="n">
        <f aca="false">MIN(Inputs_Banks!$BB16,V137+Z137)</f>
        <v>26.92</v>
      </c>
      <c r="AB137" s="35" t="n">
        <f aca="false">$AA137*Holdings!Q16</f>
        <v>0</v>
      </c>
      <c r="AC137" s="35" t="n">
        <f aca="false">$AA137*Holdings!R16</f>
        <v>0</v>
      </c>
      <c r="AD137" s="35" t="n">
        <f aca="false">$AA137*Holdings!S16</f>
        <v>0</v>
      </c>
      <c r="AE137" s="35" t="n">
        <f aca="false">$AA137*Holdings!T16</f>
        <v>0.01</v>
      </c>
      <c r="AF137" s="35" t="n">
        <f aca="false">$AA137*Holdings!U16</f>
        <v>8.57</v>
      </c>
      <c r="AG137" s="35" t="n">
        <f aca="false">$AA137*Holdings!V16</f>
        <v>0</v>
      </c>
      <c r="AH137" s="35" t="n">
        <f aca="false">$AA137*Holdings!W16</f>
        <v>0</v>
      </c>
      <c r="AI137" s="35" t="n">
        <f aca="false">$AA137*Holdings!X16</f>
        <v>8.85</v>
      </c>
      <c r="AJ137" s="35" t="n">
        <f aca="false">$AA137*Holdings!Y16</f>
        <v>3.8</v>
      </c>
      <c r="AK137" s="35" t="n">
        <f aca="false">$AA137*Holdings!Z16</f>
        <v>0</v>
      </c>
      <c r="AL137" s="35" t="n">
        <f aca="false">$AA137*Holdings!AA16</f>
        <v>0</v>
      </c>
      <c r="AM137" s="35" t="n">
        <f aca="false">$AA137*Holdings!AB16</f>
        <v>0</v>
      </c>
      <c r="AN137" s="35" t="n">
        <f aca="false">$AA137*Holdings!AC16</f>
        <v>5.69</v>
      </c>
      <c r="AO137" s="43" t="n">
        <f aca="false">MIN(1,$CD$137+0.5*G137)</f>
        <v>1</v>
      </c>
      <c r="AP137" s="35" t="n">
        <f aca="false">p_liq_on*Inputs_Banks!$AP16*AO137*p_mb_psi</f>
        <v>0.42</v>
      </c>
      <c r="AQ137" s="44" t="n">
        <f aca="false">MAX(F137,E137,W137*(1-p_cb_on))</f>
        <v>1</v>
      </c>
      <c r="AR137" s="35" t="n">
        <f aca="false">p_ib_on*p_lgd_ib*g_s_in*g_u_ib*SUMPRODUCT(Network!M$6:M$29,$AQ$127:$AQ$150)</f>
        <v>2.72751307306586</v>
      </c>
      <c r="AS137" s="35" t="n">
        <f aca="false">p_sw_M1*(SUMPRODUCT(BDC_EAD!M$106:M$127,$BF$127:$BF$148)+SUMPRODUCT(BDC_EAD!M$131:M$152,$BG$127:$BG$148)+(Inputs_Banks!$Y16+p_ccf_bl*Inputs_Banks!$Z16)*$CD$150+Modules!$E16)</f>
        <v>0.407121874997196</v>
      </c>
      <c r="AT137" s="35" t="n">
        <f aca="false">p_sw_M3*(Inputs_Banks!$U16+p_ccf_abf*Inputs_Banks!$V16)*$CD$151</f>
        <v>0</v>
      </c>
      <c r="AU137" s="35" t="n">
        <f aca="false">p_sw_M10*Inputs_Banks!$AC16*$CD$152</f>
        <v>0</v>
      </c>
      <c r="AV137" s="35" t="n">
        <f aca="false">p_sw_M8*(Modules!$M16+Modules!$N16*IF(p_liq_on&gt;0,X137,p_htm_forced))</f>
        <v>4.143335</v>
      </c>
      <c r="AW137" s="35" t="n">
        <f aca="false">SUMPRODUCT(Holdings!$C16:$O16,Holdings!$C$32:$O$32,$AB$152:$AN$152)+Inputs_Banks!$P16*$AL$152</f>
        <v>3.32048302075058</v>
      </c>
      <c r="AX137" s="35" t="n">
        <f aca="false">Modules!$T16+AS137+AT137+AU137+AV137+AW137+AR137</f>
        <v>14.0669824688136</v>
      </c>
      <c r="AY137" s="35" t="n">
        <f aca="false">Modules!$U16-(1-p_tax)*AX137</f>
        <v>6.93301753118636</v>
      </c>
      <c r="AZ137" s="39" t="n">
        <f aca="false">AY137/Modules!$V16</f>
        <v>0.0334695551461126</v>
      </c>
      <c r="BA137" s="48" t="s">
        <v>635</v>
      </c>
      <c r="BB137" s="43" t="n">
        <f aca="false">INDEX($BJ$127:$BJ$160,BDC_EAD!$B16)</f>
        <v>0.412682242137413</v>
      </c>
      <c r="BC137" s="43" t="n">
        <f aca="false">INDEX($BK$127:$BK$160,BDC_EAD!$B16)</f>
        <v>0.0624886432334012</v>
      </c>
      <c r="BD137" s="22" t="n">
        <f aca="false">INDEX(BDC!$Q$6:$Q$39,BDC_EAD!$B16)</f>
        <v>0.274</v>
      </c>
      <c r="BE137" s="43" t="n">
        <f aca="false">BB137*(1-$AK$152)-BC137-p_c_liq</f>
        <v>0.114486589942176</v>
      </c>
      <c r="BF137" s="43" t="n">
        <f aca="false">p_phi*MAX(0,p_a_spv-BE137)/p_a_spv+(1-p_phi)*MAX(0,p_a_spv-BB137)/p_a_spv</f>
        <v>0.751248970883967</v>
      </c>
      <c r="BG137" s="43" t="n">
        <f aca="false">IF(BD137&gt;0,p_phi*MAX(0,BD137-BE137)/BD137+(1-p_phi)*MAX(0,BD137-BB137)/BD137,0)</f>
        <v>0.465732584110435</v>
      </c>
      <c r="BI137" s="12" t="str">
        <f aca="false">BDC!$A$16</f>
        <v>FSK</v>
      </c>
      <c r="BJ137" s="43" t="n">
        <f aca="false">1-((1-BDC!$D$16)*$CD$143+BDC!$D$16*$CD$144)-p_gap-$CD$133*(1-BDC!$M$16)</f>
        <v>0.329896338848212</v>
      </c>
      <c r="BK137" s="43" t="n">
        <f aca="false">(1-BDC!$D$16)*$CD$145+BDC!$D$16*$CD$146</f>
        <v>0.0624513829138554</v>
      </c>
      <c r="BL137" s="45" t="n">
        <f aca="false">BJ137/BDC!$K$16</f>
        <v>0.591718829997586</v>
      </c>
      <c r="BM137" s="35" t="n">
        <f aca="false">IF(BL137&lt;1.5,BDC!$C$16,0)</f>
        <v>11.42</v>
      </c>
      <c r="BN137" s="43" t="n">
        <f aca="false">MAX(0,1-BJ137*(1-CE_mig_hc)-p_bb_cush)*BDC!$Q$16</f>
        <v>0.113991293243687</v>
      </c>
      <c r="BO137" s="43" t="n">
        <f aca="false">MAX(0,BDC!$K$16-BJ137/1.5)</f>
        <v>0.337591231328331</v>
      </c>
      <c r="BP137" s="43" t="n">
        <f aca="false">MIN(MIN(1,BDC!$H$16*$CD$136),$CD$135)</f>
        <v>0</v>
      </c>
      <c r="BQ137" s="43" t="n">
        <f aca="false">BDC!$I$16*BDC!$J$16*BP137*(1-0.3)</f>
        <v>0</v>
      </c>
      <c r="BR137" s="45" t="n">
        <f aca="false">BDC!$C$16*($CD$134*MAX(BN137,BO137)+BQ137)</f>
        <v>3.85529186176954</v>
      </c>
      <c r="CC137" s="10" t="s">
        <v>983</v>
      </c>
      <c r="CD137" s="43" t="n">
        <f aca="false">p_pull_base+p_pull_pan*$CD$130</f>
        <v>1.25</v>
      </c>
    </row>
    <row r="138" customFormat="false" ht="15" hidden="false" customHeight="true" outlineLevel="0" collapsed="false">
      <c r="A138" s="10" t="s">
        <v>518</v>
      </c>
      <c r="B138" s="35" t="n">
        <f aca="false">AY98</f>
        <v>11.8616115947604</v>
      </c>
      <c r="C138" s="39" t="n">
        <f aca="false">AZ98</f>
        <v>0.0594960655409115</v>
      </c>
      <c r="D138" s="44" t="n">
        <f aca="false">IF(C138&lt;Inputs_Banks!$I17,1,0)</f>
        <v>1</v>
      </c>
      <c r="E138" s="44" t="n">
        <f aca="false">IF(C138&lt;0.045,1,0)</f>
        <v>0</v>
      </c>
      <c r="F138" s="44" t="n">
        <f aca="false">IF(B138&lt;0,1,0)</f>
        <v>0</v>
      </c>
      <c r="G138" s="44" t="n">
        <f aca="false">MIN(6,MIN(3,INT(MAX(0,Inputs_Banks!$BA17-C138)/p_notch_step))+D138+2*E138)</f>
        <v>2</v>
      </c>
      <c r="H138" s="39" t="n">
        <f aca="false">C138-Inputs_Banks!$I17</f>
        <v>-0.0105039344590885</v>
      </c>
      <c r="I138" s="44" t="n">
        <f aca="false">RANK(H138,$H$127:$H$150,1)</f>
        <v>24</v>
      </c>
      <c r="J138" s="44" t="n">
        <f aca="false">MAX(IF(I138&lt;=g_n_weak,1,0),E138)</f>
        <v>0</v>
      </c>
      <c r="K138" s="44" t="n">
        <f aca="false">IF(I138&gt;12,1,0)*(1-E138)</f>
        <v>1</v>
      </c>
      <c r="L138" s="35" t="n">
        <f aca="false">INDEX(Inputs_Banks!$AR17:$AX17,1,G138+1)</f>
        <v>0.11828</v>
      </c>
      <c r="M138" s="35" t="n">
        <f aca="false">Inputs_Banks!$AI17*MIN(1,p_u_base+$CD$130*p_u_pan_all+J138*($CD$130*p_u_pan_weak+p_u_mda*D138)+p_u_notch*G138+p_u_fail*E138)</f>
        <v>14.9638</v>
      </c>
      <c r="N138" s="35" t="n">
        <f aca="false">Inputs_Banks!$AK17*MIN(1,p_w_base+p_w_pan*$CD$130+p_w_notch*G138+0.5*D138+1*E138)</f>
        <v>0</v>
      </c>
      <c r="O138" s="35" t="n">
        <f aca="false">Inputs_Banks!$AO17*MIN(1,p_cp_base+p_cp_pan*$CD$130+p_cp_notch*G138)</f>
        <v>0</v>
      </c>
      <c r="P138" s="35" t="n">
        <f aca="false">Inputs_Banks!$AN17*(p_dh+p_dh_pan*$CD$130+MIN(1,0.5*$CD$137+0.25*G138))</f>
        <v>0.020748</v>
      </c>
      <c r="Q138" s="35" t="n">
        <f aca="false">Modules!$Y17</f>
        <v>9.4376065</v>
      </c>
      <c r="R138" s="35" t="n">
        <f aca="false">Inputs_Banks!$AJ17*K138</f>
        <v>173.427</v>
      </c>
      <c r="S138" s="35" t="n">
        <f aca="false">p_liq_on*$CD$138*SUM($M$127:$M$150)*R138/MAX(0.000000001,SUM($R$127:$R$150))</f>
        <v>35.9134013977626</v>
      </c>
      <c r="T138" s="35" t="n">
        <f aca="false">p_liq_on*(L138+M138+N138+O138+P138+Q138)</f>
        <v>24.5404345</v>
      </c>
      <c r="U138" s="35" t="n">
        <f aca="false">g_usable*Inputs_Banks!$AG17+p_cb_on*Inputs_Banks!$AQ17+S138</f>
        <v>101.442401397763</v>
      </c>
      <c r="V138" s="35" t="n">
        <f aca="false">MAX(0,T138-U138)</f>
        <v>0</v>
      </c>
      <c r="W138" s="44" t="n">
        <f aca="false">IF(V138&gt;0.9*Inputs_Banks!$BB17,1,0)</f>
        <v>0</v>
      </c>
      <c r="X138" s="43" t="n">
        <f aca="false">MAX(p_htm_forced,(1-p_cb_on)*MIN(1,T138/Inputs_Banks!$AG17)*g_theta_sell)</f>
        <v>0.103738732245519</v>
      </c>
      <c r="Y138" s="35" t="n">
        <f aca="false">MAX(0,Modules!$V17-B138/(Inputs_Banks!$I17+g_del_buf))</f>
        <v>41.2131787365274</v>
      </c>
      <c r="Z138" s="35" t="n">
        <f aca="false">MIN(g_del_cap*Inputs_Banks!$BB17,Y138)</f>
        <v>0.04</v>
      </c>
      <c r="AA138" s="35" t="n">
        <f aca="false">MIN(Inputs_Banks!$BB17,V138+Z138)</f>
        <v>0.04</v>
      </c>
      <c r="AB138" s="35" t="n">
        <f aca="false">$AA138*Holdings!Q17</f>
        <v>0</v>
      </c>
      <c r="AC138" s="35" t="n">
        <f aca="false">$AA138*Holdings!R17</f>
        <v>0</v>
      </c>
      <c r="AD138" s="35" t="n">
        <f aca="false">$AA138*Holdings!S17</f>
        <v>0</v>
      </c>
      <c r="AE138" s="35" t="n">
        <f aca="false">$AA138*Holdings!T17</f>
        <v>0.0025</v>
      </c>
      <c r="AF138" s="35" t="n">
        <f aca="false">$AA138*Holdings!U17</f>
        <v>0.0325</v>
      </c>
      <c r="AG138" s="35" t="n">
        <f aca="false">$AA138*Holdings!V17</f>
        <v>0</v>
      </c>
      <c r="AH138" s="35" t="n">
        <f aca="false">$AA138*Holdings!W17</f>
        <v>0</v>
      </c>
      <c r="AI138" s="35" t="n">
        <f aca="false">$AA138*Holdings!X17</f>
        <v>0</v>
      </c>
      <c r="AJ138" s="35" t="n">
        <f aca="false">$AA138*Holdings!Y17</f>
        <v>0.005</v>
      </c>
      <c r="AK138" s="35" t="n">
        <f aca="false">$AA138*Holdings!Z17</f>
        <v>0</v>
      </c>
      <c r="AL138" s="35" t="n">
        <f aca="false">$AA138*Holdings!AA17</f>
        <v>0</v>
      </c>
      <c r="AM138" s="35" t="n">
        <f aca="false">$AA138*Holdings!AB17</f>
        <v>0</v>
      </c>
      <c r="AN138" s="35" t="n">
        <f aca="false">$AA138*Holdings!AC17</f>
        <v>0</v>
      </c>
      <c r="AO138" s="43" t="n">
        <f aca="false">MIN(1,$CD$137+0.5*G138)</f>
        <v>1</v>
      </c>
      <c r="AP138" s="35" t="n">
        <f aca="false">p_liq_on*Inputs_Banks!$AP17*AO138*p_mb_psi</f>
        <v>0</v>
      </c>
      <c r="AQ138" s="44" t="n">
        <f aca="false">MAX(F138,E138,W138*(1-p_cb_on))</f>
        <v>0</v>
      </c>
      <c r="AR138" s="35" t="n">
        <f aca="false">p_ib_on*p_lgd_ib*g_s_in*g_u_ib*SUMPRODUCT(Network!N$6:N$29,$AQ$127:$AQ$150)</f>
        <v>0.21536570652345</v>
      </c>
      <c r="AS138" s="35" t="n">
        <f aca="false">p_sw_M1*(SUMPRODUCT(BDC_EAD!N$106:N$127,$BF$127:$BF$148)+SUMPRODUCT(BDC_EAD!N$131:N$152,$BG$127:$BG$148)+(Inputs_Banks!$Y17+p_ccf_bl*Inputs_Banks!$Z17)*$CD$150+Modules!$E17)</f>
        <v>2.93860692950688</v>
      </c>
      <c r="AT138" s="35" t="n">
        <f aca="false">p_sw_M3*(Inputs_Banks!$U17+p_ccf_abf*Inputs_Banks!$V17)*$CD$151</f>
        <v>0</v>
      </c>
      <c r="AU138" s="35" t="n">
        <f aca="false">p_sw_M10*Inputs_Banks!$AC17*$CD$152</f>
        <v>0</v>
      </c>
      <c r="AV138" s="35" t="n">
        <f aca="false">p_sw_M8*(Modules!$M17+Modules!$N17*IF(p_liq_on&gt;0,X138,p_htm_forced))</f>
        <v>0.326326261781778</v>
      </c>
      <c r="AW138" s="35" t="n">
        <f aca="false">SUMPRODUCT(Holdings!$C17:$O17,Holdings!$C$32:$O$32,$AB$152:$AN$152)+Inputs_Banks!$P17*$AL$152</f>
        <v>0.0407895074274526</v>
      </c>
      <c r="AX138" s="35" t="n">
        <f aca="false">Modules!$T17+AS138+AT138+AU138+AV138+AW138+AR138</f>
        <v>8.02338840523956</v>
      </c>
      <c r="AY138" s="35" t="n">
        <f aca="false">Modules!$U17-(1-p_tax)*AX138</f>
        <v>11.8616115947604</v>
      </c>
      <c r="AZ138" s="39" t="n">
        <f aca="false">AY138/Modules!$V17</f>
        <v>0.0594960655409115</v>
      </c>
      <c r="BA138" s="48" t="s">
        <v>651</v>
      </c>
      <c r="BB138" s="43" t="n">
        <f aca="false">INDEX($BJ$127:$BJ$160,BDC_EAD!$B17)</f>
        <v>0.49422228775433</v>
      </c>
      <c r="BC138" s="43" t="n">
        <f aca="false">INDEX($BK$127:$BK$160,BDC_EAD!$B17)</f>
        <v>0.0568250746624368</v>
      </c>
      <c r="BD138" s="22" t="n">
        <f aca="false">INDEX(BDC!$Q$6:$Q$39,BDC_EAD!$B17)</f>
        <v>0.253694581280788</v>
      </c>
      <c r="BE138" s="43" t="n">
        <f aca="false">BB138*(1-$AK$152)-BC138-p_c_liq</f>
        <v>0.164997183602445</v>
      </c>
      <c r="BF138" s="43" t="n">
        <f aca="false">p_phi*MAX(0,p_a_spv-BE138)/p_a_spv+(1-p_phi)*MAX(0,p_a_spv-BB138)/p_a_spv</f>
        <v>0.670225422238826</v>
      </c>
      <c r="BG138" s="43" t="n">
        <f aca="false">IF(BD138&gt;0,p_phi*MAX(0,BD138-BE138)/BD138+(1-p_phi)*MAX(0,BD138-BB138)/BD138,0)</f>
        <v>0.279698201610932</v>
      </c>
      <c r="BI138" s="12" t="str">
        <f aca="false">BDC!$A$17</f>
        <v>GCRED</v>
      </c>
      <c r="BJ138" s="43" t="n">
        <f aca="false">1-((1-BDC!$D$17)*$CD$143+BDC!$D$17*$CD$144)-p_gap-$CD$133*(1-BDC!$M$17)</f>
        <v>0.405048197461641</v>
      </c>
      <c r="BK138" s="43" t="n">
        <f aca="false">(1-BDC!$D$17)*$CD$145+BDC!$D$17*$CD$146</f>
        <v>0.0612217923688434</v>
      </c>
      <c r="BL138" s="45" t="n">
        <f aca="false">BJ138/BDC!$K$17</f>
        <v>0.757264021341329</v>
      </c>
      <c r="BM138" s="35" t="n">
        <f aca="false">IF(BL138&lt;1.5,BDC!$C$17,0)</f>
        <v>9.62</v>
      </c>
      <c r="BN138" s="43" t="n">
        <f aca="false">MAX(0,1-BJ138*(1-CE_mig_hc)-p_bb_cush)*BDC!$Q$17</f>
        <v>0.180836754320013</v>
      </c>
      <c r="BO138" s="43" t="n">
        <f aca="false">MAX(0,BDC!$K$17-BJ138/1.5)</f>
        <v>0.264851589289138</v>
      </c>
      <c r="BP138" s="43" t="n">
        <f aca="false">MIN(MIN(1,BDC!$H$17*$CD$136),$CD$135)</f>
        <v>0.15</v>
      </c>
      <c r="BQ138" s="43" t="n">
        <f aca="false">BDC!$I$17*BDC!$J$17*BP138*(1-0.3)</f>
        <v>0.0488372093023256</v>
      </c>
      <c r="BR138" s="45" t="n">
        <f aca="false">BDC!$C$17*($CD$134*MAX(BN138,BO138)+BQ138)</f>
        <v>3.01768624244988</v>
      </c>
      <c r="CC138" s="10" t="s">
        <v>984</v>
      </c>
      <c r="CD138" s="43" t="n">
        <f aca="false">p_recyc*(1-p_rec_pan*$CD$130)</f>
        <v>0.225</v>
      </c>
    </row>
    <row r="139" customFormat="false" ht="15" hidden="false" customHeight="true" outlineLevel="0" collapsed="false">
      <c r="A139" s="10" t="s">
        <v>520</v>
      </c>
      <c r="B139" s="35" t="n">
        <f aca="false">AY99</f>
        <v>7.58803884672162</v>
      </c>
      <c r="C139" s="39" t="n">
        <f aca="false">AZ99</f>
        <v>0.0396275346594056</v>
      </c>
      <c r="D139" s="44" t="n">
        <f aca="false">IF(C139&lt;Inputs_Banks!$I18,1,0)</f>
        <v>1</v>
      </c>
      <c r="E139" s="44" t="n">
        <f aca="false">IF(C139&lt;0.045,1,0)</f>
        <v>1</v>
      </c>
      <c r="F139" s="44" t="n">
        <f aca="false">IF(B139&lt;0,1,0)</f>
        <v>0</v>
      </c>
      <c r="G139" s="44" t="n">
        <f aca="false">MIN(6,MIN(3,INT(MAX(0,Inputs_Banks!$BA18-C139)/p_notch_step))+D139+2*E139)</f>
        <v>5</v>
      </c>
      <c r="H139" s="39" t="n">
        <f aca="false">C139-Inputs_Banks!$I18</f>
        <v>-0.0503724653405944</v>
      </c>
      <c r="I139" s="44" t="n">
        <f aca="false">RANK(H139,$H$127:$H$150,1)</f>
        <v>17</v>
      </c>
      <c r="J139" s="44" t="n">
        <f aca="false">MAX(IF(I139&lt;=g_n_weak,1,0),E139)</f>
        <v>1</v>
      </c>
      <c r="K139" s="44" t="n">
        <f aca="false">IF(I139&gt;12,1,0)*(1-E139)</f>
        <v>0</v>
      </c>
      <c r="L139" s="35" t="n">
        <f aca="false">INDEX(Inputs_Banks!$AR18:$AX18,1,G139+1)</f>
        <v>0.2565</v>
      </c>
      <c r="M139" s="35" t="n">
        <f aca="false">Inputs_Banks!$AI18*MIN(1,p_u_base+$CD$130*p_u_pan_all+J139*($CD$130*p_u_pan_weak+p_u_mda*D139)+p_u_notch*G139+p_u_fail*E139)</f>
        <v>80.6553</v>
      </c>
      <c r="N139" s="35" t="n">
        <f aca="false">Inputs_Banks!$AK18*MIN(1,p_w_base+p_w_pan*$CD$130+p_w_notch*G139+0.5*D139+1*E139)</f>
        <v>1.159</v>
      </c>
      <c r="O139" s="35" t="n">
        <f aca="false">Inputs_Banks!$AO18*MIN(1,p_cp_base+p_cp_pan*$CD$130+p_cp_notch*G139)</f>
        <v>0</v>
      </c>
      <c r="P139" s="35" t="n">
        <f aca="false">Inputs_Banks!$AN18*(p_dh+p_dh_pan*$CD$130+MIN(1,0.5*$CD$137+0.25*G139))</f>
        <v>0</v>
      </c>
      <c r="Q139" s="35" t="n">
        <f aca="false">Modules!$Y18</f>
        <v>9.1258367</v>
      </c>
      <c r="R139" s="35" t="n">
        <f aca="false">Inputs_Banks!$AJ18*K139</f>
        <v>0</v>
      </c>
      <c r="S139" s="35" t="n">
        <f aca="false">p_liq_on*$CD$138*SUM($M$127:$M$150)*R139/MAX(0.000000001,SUM($R$127:$R$150))</f>
        <v>0</v>
      </c>
      <c r="T139" s="35" t="n">
        <f aca="false">p_liq_on*(L139+M139+N139+O139+P139+Q139)</f>
        <v>91.1966367</v>
      </c>
      <c r="U139" s="35" t="n">
        <f aca="false">g_usable*Inputs_Banks!$AG18+p_cb_on*Inputs_Banks!$AQ18+S139</f>
        <v>82.755</v>
      </c>
      <c r="V139" s="35" t="n">
        <f aca="false">MAX(0,T139-U139)</f>
        <v>8.44163670000003</v>
      </c>
      <c r="W139" s="44" t="n">
        <f aca="false">IF(V139&gt;0.9*Inputs_Banks!$BB18,1,0)</f>
        <v>1</v>
      </c>
      <c r="X139" s="43" t="n">
        <f aca="false">MAX(p_htm_forced,(1-p_cb_on)*MIN(1,T139/Inputs_Banks!$AG18)*g_theta_sell)</f>
        <v>0.25</v>
      </c>
      <c r="Y139" s="35" t="n">
        <f aca="false">MAX(0,Modules!$V18-B139/(Inputs_Banks!$I18+g_del_buf))</f>
        <v>111.609906876615</v>
      </c>
      <c r="Z139" s="35" t="n">
        <f aca="false">MIN(g_del_cap*Inputs_Banks!$BB18,Y139)</f>
        <v>0.1825</v>
      </c>
      <c r="AA139" s="35" t="n">
        <f aca="false">MIN(Inputs_Banks!$BB18,V139+Z139)</f>
        <v>0.73</v>
      </c>
      <c r="AB139" s="35" t="n">
        <f aca="false">$AA139*Holdings!Q18</f>
        <v>0</v>
      </c>
      <c r="AC139" s="35" t="n">
        <f aca="false">$AA139*Holdings!R18</f>
        <v>0</v>
      </c>
      <c r="AD139" s="35" t="n">
        <f aca="false">$AA139*Holdings!S18</f>
        <v>0</v>
      </c>
      <c r="AE139" s="35" t="n">
        <f aca="false">$AA139*Holdings!T18</f>
        <v>0</v>
      </c>
      <c r="AF139" s="35" t="n">
        <f aca="false">$AA139*Holdings!U18</f>
        <v>0</v>
      </c>
      <c r="AG139" s="35" t="n">
        <f aca="false">$AA139*Holdings!V18</f>
        <v>0</v>
      </c>
      <c r="AH139" s="35" t="n">
        <f aca="false">$AA139*Holdings!W18</f>
        <v>0.15</v>
      </c>
      <c r="AI139" s="35" t="n">
        <f aca="false">$AA139*Holdings!X18</f>
        <v>0.04</v>
      </c>
      <c r="AJ139" s="35" t="n">
        <f aca="false">$AA139*Holdings!Y18</f>
        <v>0.54</v>
      </c>
      <c r="AK139" s="35" t="n">
        <f aca="false">$AA139*Holdings!Z18</f>
        <v>0</v>
      </c>
      <c r="AL139" s="35" t="n">
        <f aca="false">$AA139*Holdings!AA18</f>
        <v>0</v>
      </c>
      <c r="AM139" s="35" t="n">
        <f aca="false">$AA139*Holdings!AB18</f>
        <v>0</v>
      </c>
      <c r="AN139" s="35" t="n">
        <f aca="false">$AA139*Holdings!AC18</f>
        <v>0</v>
      </c>
      <c r="AO139" s="43" t="n">
        <f aca="false">MIN(1,$CD$137+0.5*G139)</f>
        <v>1</v>
      </c>
      <c r="AP139" s="35" t="n">
        <f aca="false">p_liq_on*Inputs_Banks!$AP18*AO139*p_mb_psi</f>
        <v>0</v>
      </c>
      <c r="AQ139" s="44" t="n">
        <f aca="false">MAX(F139,E139,W139*(1-p_cb_on))</f>
        <v>1</v>
      </c>
      <c r="AR139" s="35" t="n">
        <f aca="false">p_ib_on*p_lgd_ib*g_s_in*g_u_ib*SUMPRODUCT(Network!O$6:O$29,$AQ$127:$AQ$150)</f>
        <v>0.211388228855768</v>
      </c>
      <c r="AS139" s="35" t="n">
        <f aca="false">p_sw_M1*(SUMPRODUCT(BDC_EAD!O$106:O$127,$BF$127:$BF$148)+SUMPRODUCT(BDC_EAD!O$131:O$152,$BG$127:$BG$148)+(Inputs_Banks!$Y18+p_ccf_bl*Inputs_Banks!$Z18)*$CD$150+Modules!$E18)</f>
        <v>7.14534260130844</v>
      </c>
      <c r="AT139" s="35" t="n">
        <f aca="false">p_sw_M3*(Inputs_Banks!$U18+p_ccf_abf*Inputs_Banks!$V18)*$CD$151</f>
        <v>0</v>
      </c>
      <c r="AU139" s="35" t="n">
        <f aca="false">p_sw_M10*Inputs_Banks!$AC18*$CD$152</f>
        <v>0</v>
      </c>
      <c r="AV139" s="35" t="n">
        <f aca="false">p_sw_M8*(Modules!$M18+Modules!$N18*IF(p_liq_on&gt;0,X139,p_htm_forced))</f>
        <v>0.93737</v>
      </c>
      <c r="AW139" s="35" t="n">
        <f aca="false">SUMPRODUCT(Holdings!$C18:$O18,Holdings!$C$32:$O$32,$AB$152:$AN$152)+Inputs_Banks!$P18*$AL$152</f>
        <v>0.18056032311418</v>
      </c>
      <c r="AX139" s="35" t="n">
        <f aca="false">Modules!$T18+AS139+AT139+AU139+AV139+AW139+AR139</f>
        <v>11.1119611532784</v>
      </c>
      <c r="AY139" s="35" t="n">
        <f aca="false">Modules!$U18-(1-p_tax)*AX139</f>
        <v>7.58803884672162</v>
      </c>
      <c r="AZ139" s="39" t="n">
        <f aca="false">AY139/Modules!$V18</f>
        <v>0.0396275346594056</v>
      </c>
      <c r="BA139" s="48" t="s">
        <v>648</v>
      </c>
      <c r="BB139" s="43" t="n">
        <f aca="false">INDEX($BJ$127:$BJ$160,BDC_EAD!$B18)</f>
        <v>0.556417298789294</v>
      </c>
      <c r="BC139" s="43" t="n">
        <f aca="false">INDEX($BK$127:$BK$160,BDC_EAD!$B18)</f>
        <v>0.0671461831766286</v>
      </c>
      <c r="BD139" s="22" t="n">
        <f aca="false">INDEX(BDC!$Q$6:$Q$39,BDC_EAD!$B18)</f>
        <v>0.103555555555556</v>
      </c>
      <c r="BE139" s="43" t="n">
        <f aca="false">BB139*(1-$AK$152)-BC139-p_c_liq</f>
        <v>0.188883331157483</v>
      </c>
      <c r="BF139" s="43" t="n">
        <f aca="false">p_phi*MAX(0,p_a_spv-BE139)/p_a_spv+(1-p_phi)*MAX(0,p_a_spv-BB139)/p_a_spv</f>
        <v>0.625156964737364</v>
      </c>
      <c r="BG139" s="43" t="n">
        <f aca="false">IF(BD139&gt;0,p_phi*MAX(0,BD139-BE139)/BD139+(1-p_phi)*MAX(0,BD139-BB139)/BD139,0)</f>
        <v>0</v>
      </c>
      <c r="BI139" s="12" t="str">
        <f aca="false">BDC!$A$18</f>
        <v>SSLP</v>
      </c>
      <c r="BJ139" s="43" t="n">
        <f aca="false">1-((1-BDC!$D$18)*$CD$143+BDC!$D$18*$CD$144)-p_gap-$CD$133*(1-BDC!$M$18)</f>
        <v>0.432216415278359</v>
      </c>
      <c r="BK139" s="43" t="n">
        <f aca="false">(1-BDC!$D$18)*$CD$145+BDC!$D$18*$CD$146</f>
        <v>0.0657302910338875</v>
      </c>
      <c r="BL139" s="45" t="n">
        <f aca="false">BJ139/BDC!$K$18</f>
        <v>0.90717950899084</v>
      </c>
      <c r="BM139" s="35" t="n">
        <f aca="false">IF(BL139&lt;1.5,BDC!$C$18,0)</f>
        <v>8.65</v>
      </c>
      <c r="BN139" s="43" t="n">
        <f aca="false">MAX(0,1-BJ139*(1-CE_mig_hc)-p_bb_cush)*BDC!$Q$18</f>
        <v>0.139067200512426</v>
      </c>
      <c r="BO139" s="43" t="n">
        <f aca="false">MAX(0,BDC!$K$18-BJ139/1.5)</f>
        <v>0.188295513723677</v>
      </c>
      <c r="BP139" s="43" t="n">
        <f aca="false">MIN(MIN(1,BDC!$H$18*$CD$136),$CD$135)</f>
        <v>0</v>
      </c>
      <c r="BQ139" s="43" t="n">
        <f aca="false">BDC!$I$18*BDC!$J$18*BP139*(1-0.3)</f>
        <v>0</v>
      </c>
      <c r="BR139" s="45" t="n">
        <f aca="false">BDC!$C$18*($CD$134*MAX(BN139,BO139)+BQ139)</f>
        <v>1.62875619370981</v>
      </c>
      <c r="CC139" s="10" t="s">
        <v>985</v>
      </c>
      <c r="CD139" s="45" t="n">
        <f aca="false">p_dealer_mult*(1+p_dm_pan*$CD$130)</f>
        <v>10</v>
      </c>
    </row>
    <row r="140" customFormat="false" ht="15" hidden="false" customHeight="true" outlineLevel="0" collapsed="false">
      <c r="A140" s="10" t="s">
        <v>522</v>
      </c>
      <c r="B140" s="35" t="n">
        <f aca="false">AY100</f>
        <v>-11.0481129610457</v>
      </c>
      <c r="C140" s="39" t="n">
        <f aca="false">AZ100</f>
        <v>-0.0211494340470956</v>
      </c>
      <c r="D140" s="44" t="n">
        <f aca="false">IF(C140&lt;Inputs_Banks!$I19,1,0)</f>
        <v>1</v>
      </c>
      <c r="E140" s="44" t="n">
        <f aca="false">IF(C140&lt;0.045,1,0)</f>
        <v>1</v>
      </c>
      <c r="F140" s="44" t="n">
        <f aca="false">IF(B140&lt;0,1,0)</f>
        <v>1</v>
      </c>
      <c r="G140" s="44" t="n">
        <f aca="false">MIN(6,MIN(3,INT(MAX(0,Inputs_Banks!$BA19-C140)/p_notch_step))+D140+2*E140)</f>
        <v>6</v>
      </c>
      <c r="H140" s="39" t="n">
        <f aca="false">C140-Inputs_Banks!$I19</f>
        <v>-0.143149434047096</v>
      </c>
      <c r="I140" s="44" t="n">
        <f aca="false">RANK(H140,$H$127:$H$150,1)</f>
        <v>2</v>
      </c>
      <c r="J140" s="44" t="n">
        <f aca="false">MAX(IF(I140&lt;=g_n_weak,1,0),E140)</f>
        <v>1</v>
      </c>
      <c r="K140" s="44" t="n">
        <f aca="false">IF(I140&gt;12,1,0)*(1-E140)</f>
        <v>0</v>
      </c>
      <c r="L140" s="35" t="n">
        <f aca="false">INDEX(Inputs_Banks!$AR19:$AX19,1,G140+1)</f>
        <v>14.916375</v>
      </c>
      <c r="M140" s="35" t="n">
        <f aca="false">Inputs_Banks!$AI19*MIN(1,p_u_base+$CD$130*p_u_pan_all+J140*($CD$130*p_u_pan_weak+p_u_mda*D140)+p_u_notch*G140+p_u_fail*E140)</f>
        <v>333.3485112849</v>
      </c>
      <c r="N140" s="35" t="n">
        <f aca="false">Inputs_Banks!$AK19*MIN(1,p_w_base+p_w_pan*$CD$130+p_w_notch*G140+0.5*D140+1*E140)</f>
        <v>103.81797</v>
      </c>
      <c r="O140" s="35" t="n">
        <f aca="false">Inputs_Banks!$AO19*MIN(1,p_cp_base+p_cp_pan*$CD$130+p_cp_notch*G140)</f>
        <v>30.26</v>
      </c>
      <c r="P140" s="35" t="n">
        <f aca="false">Inputs_Banks!$AN19*(p_dh+p_dh_pan*$CD$130+MIN(1,0.5*$CD$137+0.25*G140))</f>
        <v>159.617894592383</v>
      </c>
      <c r="Q140" s="35" t="n">
        <f aca="false">Modules!$Y19</f>
        <v>26.8418486</v>
      </c>
      <c r="R140" s="35" t="n">
        <f aca="false">Inputs_Banks!$AJ19*K140</f>
        <v>0</v>
      </c>
      <c r="S140" s="35" t="n">
        <f aca="false">p_liq_on*$CD$138*SUM($M$127:$M$150)*R140/MAX(0.000000001,SUM($R$127:$R$150))</f>
        <v>0</v>
      </c>
      <c r="T140" s="35" t="n">
        <f aca="false">p_liq_on*(L140+M140+N140+O140+P140+Q140)</f>
        <v>668.802599477283</v>
      </c>
      <c r="U140" s="35" t="n">
        <f aca="false">g_usable*Inputs_Banks!$AG19+p_cb_on*Inputs_Banks!$AQ19+S140</f>
        <v>591.841983</v>
      </c>
      <c r="V140" s="35" t="n">
        <f aca="false">MAX(0,T140-U140)</f>
        <v>76.9606164772833</v>
      </c>
      <c r="W140" s="44" t="n">
        <f aca="false">IF(V140&gt;0.9*Inputs_Banks!$BB19,1,0)</f>
        <v>0</v>
      </c>
      <c r="X140" s="43" t="n">
        <f aca="false">MAX(p_htm_forced,(1-p_cb_on)*MIN(1,T140/Inputs_Banks!$AG19)*g_theta_sell)</f>
        <v>0.25</v>
      </c>
      <c r="Y140" s="35" t="n">
        <f aca="false">MAX(0,Modules!$V19-B140/(Inputs_Banks!$I19+g_del_buf))</f>
        <v>609.376401041305</v>
      </c>
      <c r="Z140" s="35" t="n">
        <f aca="false">MIN(g_del_cap*Inputs_Banks!$BB19,Y140)</f>
        <v>55.795</v>
      </c>
      <c r="AA140" s="35" t="n">
        <f aca="false">MIN(Inputs_Banks!$BB19,V140+Z140)</f>
        <v>132.755616477283</v>
      </c>
      <c r="AB140" s="35" t="n">
        <f aca="false">$AA140*Holdings!Q19</f>
        <v>0</v>
      </c>
      <c r="AC140" s="35" t="n">
        <f aca="false">$AA140*Holdings!R19</f>
        <v>0</v>
      </c>
      <c r="AD140" s="35" t="n">
        <f aca="false">$AA140*Holdings!S19</f>
        <v>0</v>
      </c>
      <c r="AE140" s="35" t="n">
        <f aca="false">$AA140*Holdings!T19</f>
        <v>0</v>
      </c>
      <c r="AF140" s="35" t="n">
        <f aca="false">$AA140*Holdings!U19</f>
        <v>35.993558352184</v>
      </c>
      <c r="AG140" s="35" t="n">
        <f aca="false">$AA140*Holdings!V19</f>
        <v>0</v>
      </c>
      <c r="AH140" s="35" t="n">
        <f aca="false">$AA140*Holdings!W19</f>
        <v>9.66014522623479</v>
      </c>
      <c r="AI140" s="35" t="n">
        <f aca="false">$AA140*Holdings!X19</f>
        <v>0</v>
      </c>
      <c r="AJ140" s="35" t="n">
        <f aca="false">$AA140*Holdings!Y19</f>
        <v>21.2832509972094</v>
      </c>
      <c r="AK140" s="35" t="n">
        <f aca="false">$AA140*Holdings!Z19</f>
        <v>0</v>
      </c>
      <c r="AL140" s="35" t="n">
        <f aca="false">$AA140*Holdings!AA19</f>
        <v>65.6521076736167</v>
      </c>
      <c r="AM140" s="35" t="n">
        <f aca="false">$AA140*Holdings!AB19</f>
        <v>0</v>
      </c>
      <c r="AN140" s="35" t="n">
        <f aca="false">$AA140*Holdings!AC19</f>
        <v>0.166554228038531</v>
      </c>
      <c r="AO140" s="43" t="n">
        <f aca="false">MIN(1,$CD$137+0.5*G140)</f>
        <v>1</v>
      </c>
      <c r="AP140" s="35" t="n">
        <f aca="false">p_liq_on*Inputs_Banks!$AP19*AO140*p_mb_psi</f>
        <v>1.692</v>
      </c>
      <c r="AQ140" s="44" t="n">
        <f aca="false">MAX(F140,E140,W140*(1-p_cb_on))</f>
        <v>1</v>
      </c>
      <c r="AR140" s="35" t="n">
        <f aca="false">p_ib_on*p_lgd_ib*g_s_in*g_u_ib*SUMPRODUCT(Network!P$6:P$29,$AQ$127:$AQ$150)</f>
        <v>7.22507743441053</v>
      </c>
      <c r="AS140" s="35" t="n">
        <f aca="false">p_sw_M1*(SUMPRODUCT(BDC_EAD!P$106:P$127,$BF$127:$BF$148)+SUMPRODUCT(BDC_EAD!P$131:P$152,$BG$127:$BG$148)+(Inputs_Banks!$Y19+p_ccf_bl*Inputs_Banks!$Z19)*$CD$150+Modules!$E19)</f>
        <v>20.643374291426</v>
      </c>
      <c r="AT140" s="35" t="n">
        <f aca="false">p_sw_M3*(Inputs_Banks!$U19+p_ccf_abf*Inputs_Banks!$V19)*$CD$151</f>
        <v>14.3395683697332</v>
      </c>
      <c r="AU140" s="35" t="n">
        <f aca="false">p_sw_M10*Inputs_Banks!$AC19*$CD$152</f>
        <v>0</v>
      </c>
      <c r="AV140" s="35" t="n">
        <f aca="false">p_sw_M8*(Modules!$M19+Modules!$N19*IF(p_liq_on&gt;0,X140,p_htm_forced))</f>
        <v>2.742</v>
      </c>
      <c r="AW140" s="35" t="n">
        <f aca="false">SUMPRODUCT(Holdings!$C19:$O19,Holdings!$C$32:$O$32,$AB$152:$AN$152)+Inputs_Banks!$P19*$AL$152</f>
        <v>16.082128119204</v>
      </c>
      <c r="AX140" s="35" t="n">
        <f aca="false">Modules!$T19+AS140+AT140+AU140+AV140+AW140+AR140</f>
        <v>80.2600929610457</v>
      </c>
      <c r="AY140" s="35" t="n">
        <f aca="false">Modules!$U19-(1-p_tax)*AX140</f>
        <v>-11.0481129610457</v>
      </c>
      <c r="AZ140" s="39" t="n">
        <f aca="false">AY140/Modules!$V19</f>
        <v>-0.0211494340470956</v>
      </c>
      <c r="BA140" s="48" t="s">
        <v>652</v>
      </c>
      <c r="BB140" s="43" t="n">
        <f aca="false">INDEX($BJ$127:$BJ$160,BDC_EAD!$B19)</f>
        <v>0.363449670124075</v>
      </c>
      <c r="BC140" s="43" t="n">
        <f aca="false">INDEX($BK$127:$BK$160,BDC_EAD!$B19)</f>
        <v>0.0611472717297517</v>
      </c>
      <c r="BD140" s="22" t="n">
        <f aca="false">INDEX(BDC!$Q$6:$Q$39,BDC_EAD!$B19)</f>
        <v>0.238909090909091</v>
      </c>
      <c r="BE140" s="43" t="n">
        <f aca="false">BB140*(1-$AK$152)-BC140-p_c_liq</f>
        <v>0.0887500468384897</v>
      </c>
      <c r="BF140" s="43" t="n">
        <f aca="false">p_phi*MAX(0,p_a_spv-BE140)/p_a_spv+(1-p_phi)*MAX(0,p_a_spv-BB140)/p_a_spv</f>
        <v>0.794728612149133</v>
      </c>
      <c r="BG140" s="43" t="n">
        <f aca="false">IF(BD140&gt;0,p_phi*MAX(0,BD140-BE140)/BD140+(1-p_phi)*MAX(0,BD140-BB140)/BD140,0)</f>
        <v>0.502815672686945</v>
      </c>
      <c r="BI140" s="12" t="str">
        <f aca="false">BDC!$A$19</f>
        <v>GBDC</v>
      </c>
      <c r="BJ140" s="43" t="n">
        <f aca="false">1-((1-BDC!$D$19)*$CD$143+BDC!$D$19*$CD$144)-p_gap-$CD$133*(1-BDC!$M$19)</f>
        <v>0.440432081141748</v>
      </c>
      <c r="BK140" s="43" t="n">
        <f aca="false">(1-BDC!$D$19)*$CD$145+BDC!$D$19*$CD$146</f>
        <v>0.0593587763915524</v>
      </c>
      <c r="BL140" s="45" t="n">
        <f aca="false">BJ140/BDC!$K$19</f>
        <v>0.798506943858616</v>
      </c>
      <c r="BM140" s="35" t="n">
        <f aca="false">IF(BL140&lt;1.5,BDC!$C$19,0)</f>
        <v>8.2</v>
      </c>
      <c r="BN140" s="43" t="n">
        <f aca="false">MAX(0,1-BJ140*(1-CE_mig_hc)-p_bb_cush)*BDC!$Q$19</f>
        <v>0.115814435932283</v>
      </c>
      <c r="BO140" s="43" t="n">
        <f aca="false">MAX(0,BDC!$K$19-BJ140/1.5)</f>
        <v>0.257948119298626</v>
      </c>
      <c r="BP140" s="43" t="n">
        <f aca="false">MIN(MIN(1,BDC!$H$19*$CD$136),$CD$135)</f>
        <v>0</v>
      </c>
      <c r="BQ140" s="43" t="n">
        <f aca="false">BDC!$I$19*BDC!$J$19*BP140*(1-0.3)</f>
        <v>0</v>
      </c>
      <c r="BR140" s="45" t="n">
        <f aca="false">BDC!$C$19*($CD$134*MAX(BN140,BO140)+BQ140)</f>
        <v>2.11517457824873</v>
      </c>
      <c r="CC140" s="10" t="s">
        <v>871</v>
      </c>
      <c r="CD140" s="35" t="n">
        <f aca="false">MIN(1,p_ins_run+p_ins_pan*$CD$130)*(g_fabr+g_fabn_6m)</f>
        <v>47.3</v>
      </c>
    </row>
    <row r="141" customFormat="false" ht="15" hidden="false" customHeight="true" outlineLevel="0" collapsed="false">
      <c r="A141" s="10" t="s">
        <v>525</v>
      </c>
      <c r="B141" s="35" t="n">
        <f aca="false">AY101</f>
        <v>73.9341946596885</v>
      </c>
      <c r="C141" s="39" t="n">
        <f aca="false">AZ101</f>
        <v>0.0755269060545672</v>
      </c>
      <c r="D141" s="44" t="n">
        <f aca="false">IF(C141&lt;Inputs_Banks!$I20,1,0)</f>
        <v>1</v>
      </c>
      <c r="E141" s="44" t="n">
        <f aca="false">IF(C141&lt;0.045,1,0)</f>
        <v>0</v>
      </c>
      <c r="F141" s="44" t="n">
        <f aca="false">IF(B141&lt;0,1,0)</f>
        <v>0</v>
      </c>
      <c r="G141" s="44" t="n">
        <f aca="false">MIN(6,MIN(3,INT(MAX(0,Inputs_Banks!$BA20-C141)/p_notch_step))+D141+2*E141)</f>
        <v>3</v>
      </c>
      <c r="H141" s="39" t="n">
        <f aca="false">C141-Inputs_Banks!$I20</f>
        <v>-0.0364730939454328</v>
      </c>
      <c r="I141" s="44" t="n">
        <f aca="false">RANK(H141,$H$127:$H$150,1)</f>
        <v>18</v>
      </c>
      <c r="J141" s="44" t="n">
        <f aca="false">MAX(IF(I141&lt;=g_n_weak,1,0),E141)</f>
        <v>0</v>
      </c>
      <c r="K141" s="44" t="n">
        <f aca="false">IF(I141&gt;12,1,0)*(1-E141)</f>
        <v>1</v>
      </c>
      <c r="L141" s="35" t="n">
        <f aca="false">INDEX(Inputs_Banks!$AR20:$AX20,1,G141+1)</f>
        <v>0.18</v>
      </c>
      <c r="M141" s="35" t="n">
        <f aca="false">Inputs_Banks!$AI20*MIN(1,p_u_base+$CD$130*p_u_pan_all+J141*($CD$130*p_u_pan_weak+p_u_mda*D141)+p_u_notch*G141+p_u_fail*E141)</f>
        <v>256.5027</v>
      </c>
      <c r="N141" s="35" t="n">
        <f aca="false">Inputs_Banks!$AK20*MIN(1,p_w_base+p_w_pan*$CD$130+p_w_notch*G141+0.5*D141+1*E141)</f>
        <v>0</v>
      </c>
      <c r="O141" s="35" t="n">
        <f aca="false">Inputs_Banks!$AO20*MIN(1,p_cp_base+p_cp_pan*$CD$130+p_cp_notch*G141)</f>
        <v>0</v>
      </c>
      <c r="P141" s="35" t="n">
        <f aca="false">Inputs_Banks!$AN20*(p_dh+p_dh_pan*$CD$130+MIN(1,0.5*$CD$137+0.25*G141))</f>
        <v>143.147499934354</v>
      </c>
      <c r="Q141" s="35" t="n">
        <f aca="false">Modules!$Y20</f>
        <v>5.4922829</v>
      </c>
      <c r="R141" s="35" t="n">
        <f aca="false">Inputs_Banks!$AJ20*K141</f>
        <v>1919.104</v>
      </c>
      <c r="S141" s="35" t="n">
        <f aca="false">p_liq_on*$CD$138*SUM($M$127:$M$150)*R141/MAX(0.000000001,SUM($R$127:$R$150))</f>
        <v>397.409586027849</v>
      </c>
      <c r="T141" s="35" t="n">
        <f aca="false">p_liq_on*(L141+M141+N141+O141+P141+Q141)</f>
        <v>405.322482834355</v>
      </c>
      <c r="U141" s="35" t="n">
        <f aca="false">g_usable*Inputs_Banks!$AG20+p_cb_on*Inputs_Banks!$AQ20+S141</f>
        <v>1182.44548602785</v>
      </c>
      <c r="V141" s="35" t="n">
        <f aca="false">MAX(0,T141-U141)</f>
        <v>0</v>
      </c>
      <c r="W141" s="44" t="n">
        <f aca="false">IF(V141&gt;0.9*Inputs_Banks!$BB20,1,0)</f>
        <v>0</v>
      </c>
      <c r="X141" s="43" t="n">
        <f aca="false">MAX(p_htm_forced,(1-p_cb_on)*MIN(1,T141/Inputs_Banks!$AG20)*g_theta_sell)</f>
        <v>0.14198545923753</v>
      </c>
      <c r="Y141" s="35" t="n">
        <f aca="false">MAX(0,Modules!$V20-B141/(Inputs_Banks!$I20+g_del_buf))</f>
        <v>346.995806327449</v>
      </c>
      <c r="Z141" s="35" t="n">
        <f aca="false">MIN(g_del_cap*Inputs_Banks!$BB20,Y141)</f>
        <v>81.9675</v>
      </c>
      <c r="AA141" s="35" t="n">
        <f aca="false">MIN(Inputs_Banks!$BB20,V141+Z141)</f>
        <v>81.9675</v>
      </c>
      <c r="AB141" s="35" t="n">
        <f aca="false">$AA141*Holdings!Q20</f>
        <v>0</v>
      </c>
      <c r="AC141" s="35" t="n">
        <f aca="false">$AA141*Holdings!R20</f>
        <v>0</v>
      </c>
      <c r="AD141" s="35" t="n">
        <f aca="false">$AA141*Holdings!S20</f>
        <v>0</v>
      </c>
      <c r="AE141" s="35" t="n">
        <f aca="false">$AA141*Holdings!T20</f>
        <v>0</v>
      </c>
      <c r="AF141" s="35" t="n">
        <f aca="false">$AA141*Holdings!U20</f>
        <v>0</v>
      </c>
      <c r="AG141" s="35" t="n">
        <f aca="false">$AA141*Holdings!V20</f>
        <v>0</v>
      </c>
      <c r="AH141" s="35" t="n">
        <f aca="false">$AA141*Holdings!W20</f>
        <v>0</v>
      </c>
      <c r="AI141" s="35" t="n">
        <f aca="false">$AA141*Holdings!X20</f>
        <v>0.0525</v>
      </c>
      <c r="AJ141" s="35" t="n">
        <f aca="false">$AA141*Holdings!Y20</f>
        <v>0.02</v>
      </c>
      <c r="AK141" s="35" t="n">
        <f aca="false">$AA141*Holdings!Z20</f>
        <v>0</v>
      </c>
      <c r="AL141" s="35" t="n">
        <f aca="false">$AA141*Holdings!AA20</f>
        <v>44.0775</v>
      </c>
      <c r="AM141" s="35" t="n">
        <f aca="false">$AA141*Holdings!AB20</f>
        <v>0</v>
      </c>
      <c r="AN141" s="35" t="n">
        <f aca="false">$AA141*Holdings!AC20</f>
        <v>37.8175</v>
      </c>
      <c r="AO141" s="43" t="n">
        <f aca="false">MIN(1,$CD$137+0.5*G141)</f>
        <v>1</v>
      </c>
      <c r="AP141" s="35" t="n">
        <f aca="false">p_liq_on*Inputs_Banks!$AP20*AO141*p_mb_psi</f>
        <v>1.272</v>
      </c>
      <c r="AQ141" s="44" t="n">
        <f aca="false">MAX(F141,E141,W141*(1-p_cb_on))</f>
        <v>0</v>
      </c>
      <c r="AR141" s="35" t="n">
        <f aca="false">p_ib_on*p_lgd_ib*g_s_in*g_u_ib*SUMPRODUCT(Network!Q$6:Q$29,$AQ$127:$AQ$150)</f>
        <v>10.8845927122174</v>
      </c>
      <c r="AS141" s="35" t="n">
        <f aca="false">p_sw_M1*(SUMPRODUCT(BDC_EAD!Q$106:Q$127,$BF$127:$BF$148)+SUMPRODUCT(BDC_EAD!Q$131:Q$152,$BG$127:$BG$148)+(Inputs_Banks!$Y20+p_ccf_bl*Inputs_Banks!$Z20)*$CD$150+Modules!$E20)</f>
        <v>16.3815151661489</v>
      </c>
      <c r="AT141" s="35" t="n">
        <f aca="false">p_sw_M3*(Inputs_Banks!$U20+p_ccf_abf*Inputs_Banks!$V20)*$CD$151</f>
        <v>6.71968055027487</v>
      </c>
      <c r="AU141" s="35" t="n">
        <f aca="false">p_sw_M10*Inputs_Banks!$AC20*$CD$152</f>
        <v>0</v>
      </c>
      <c r="AV141" s="35" t="n">
        <f aca="false">p_sw_M8*(Modules!$M20+Modules!$N20*IF(p_liq_on&gt;0,X141,p_htm_forced))</f>
        <v>4.87915345185631</v>
      </c>
      <c r="AW141" s="35" t="n">
        <f aca="false">SUMPRODUCT(Holdings!$C20:$O20,Holdings!$C$32:$O$32,$AB$152:$AN$152)+Inputs_Banks!$P20*$AL$152</f>
        <v>6.49948178004504</v>
      </c>
      <c r="AX141" s="35" t="n">
        <f aca="false">Modules!$T20+AS141+AT141+AU141+AV141+AW141+AR141</f>
        <v>53.7658053403115</v>
      </c>
      <c r="AY141" s="35" t="n">
        <f aca="false">Modules!$U20-(1-p_tax)*AX141</f>
        <v>73.9341946596885</v>
      </c>
      <c r="AZ141" s="39" t="n">
        <f aca="false">AY141/Modules!$V20</f>
        <v>0.0755269060545672</v>
      </c>
      <c r="BA141" s="48" t="s">
        <v>647</v>
      </c>
      <c r="BB141" s="43" t="n">
        <f aca="false">INDEX($BJ$127:$BJ$160,BDC_EAD!$B20)</f>
        <v>0.401231175123755</v>
      </c>
      <c r="BC141" s="43" t="n">
        <f aca="false">INDEX($BK$127:$BK$160,BDC_EAD!$B20)</f>
        <v>0.0605883669365645</v>
      </c>
      <c r="BD141" s="22" t="n">
        <f aca="false">INDEX(BDC!$Q$6:$Q$39,BDC_EAD!$B20)</f>
        <v>0.244897959183673</v>
      </c>
      <c r="BE141" s="43" t="n">
        <f aca="false">BB141*(1-$AK$152)-BC141-p_c_liq</f>
        <v>0.110088779381501</v>
      </c>
      <c r="BF141" s="43" t="n">
        <f aca="false">p_phi*MAX(0,p_a_spv-BE141)/p_a_spv+(1-p_phi)*MAX(0,p_a_spv-BB141)/p_a_spv</f>
        <v>0.75954677352864</v>
      </c>
      <c r="BG141" s="43" t="n">
        <f aca="false">IF(BD141&gt;0,p_phi*MAX(0,BD141-BE141)/BD141+(1-p_phi)*MAX(0,BD141-BB141)/BD141,0)</f>
        <v>0.44037665402043</v>
      </c>
      <c r="BI141" s="12" t="str">
        <f aca="false">BDC!$A$20</f>
        <v>OSCF</v>
      </c>
      <c r="BJ141" s="43" t="n">
        <f aca="false">1-((1-BDC!$D$20)*$CD$143+BDC!$D$20*$CD$144)-p_gap-$CD$133*(1-BDC!$M$20)</f>
        <v>0.413355834314687</v>
      </c>
      <c r="BK141" s="43" t="n">
        <f aca="false">(1-BDC!$D$20)*$CD$145+BDC!$D$20*$CD$146</f>
        <v>0.0626004241920387</v>
      </c>
      <c r="BL141" s="45" t="n">
        <f aca="false">BJ141/BDC!$K$20</f>
        <v>1.09098834958467</v>
      </c>
      <c r="BM141" s="35" t="n">
        <f aca="false">IF(BL141&lt;1.5,BDC!$C$20,0)</f>
        <v>6.8</v>
      </c>
      <c r="BN141" s="43" t="n">
        <f aca="false">MAX(0,1-BJ141*(1-CE_mig_hc)-p_bb_cush)*BDC!$Q$20</f>
        <v>0.129350577017109</v>
      </c>
      <c r="BO141" s="43" t="n">
        <f aca="false">MAX(0,BDC!$K$20-BJ141/1.5)</f>
        <v>0.103311431367848</v>
      </c>
      <c r="BP141" s="43" t="n">
        <f aca="false">MIN(MIN(1,BDC!$H$20*$CD$136),$CD$135)</f>
        <v>0.114</v>
      </c>
      <c r="BQ141" s="43" t="n">
        <f aca="false">BDC!$I$20*BDC!$J$20*BP141*(1-0.3)</f>
        <v>0.0495652173913043</v>
      </c>
      <c r="BR141" s="45" t="n">
        <f aca="false">BDC!$C$20*($CD$134*MAX(BN141,BO141)+BQ141)</f>
        <v>1.21662740197721</v>
      </c>
      <c r="CC141" s="10" t="s">
        <v>986</v>
      </c>
      <c r="CD141" s="43" t="n">
        <f aca="false">SUMPRODUCT(CreditEngine!$B$6:$B$10,$BU$127:$BU$131)</f>
        <v>0.790768304625863</v>
      </c>
    </row>
    <row r="142" customFormat="false" ht="15" hidden="false" customHeight="true" outlineLevel="0" collapsed="false">
      <c r="A142" s="10" t="s">
        <v>527</v>
      </c>
      <c r="B142" s="35" t="n">
        <f aca="false">AY102</f>
        <v>-9.28772691434691</v>
      </c>
      <c r="C142" s="39" t="n">
        <f aca="false">AZ102</f>
        <v>-0.0205130863573703</v>
      </c>
      <c r="D142" s="44" t="n">
        <f aca="false">IF(C142&lt;Inputs_Banks!$I21,1,0)</f>
        <v>1</v>
      </c>
      <c r="E142" s="44" t="n">
        <f aca="false">IF(C142&lt;0.045,1,0)</f>
        <v>1</v>
      </c>
      <c r="F142" s="44" t="n">
        <f aca="false">IF(B142&lt;0,1,0)</f>
        <v>1</v>
      </c>
      <c r="G142" s="44" t="n">
        <f aca="false">MIN(6,MIN(3,INT(MAX(0,Inputs_Banks!$BA21-C142)/p_notch_step))+D142+2*E142)</f>
        <v>6</v>
      </c>
      <c r="H142" s="39" t="n">
        <f aca="false">C142-Inputs_Banks!$I21</f>
        <v>-0.13251308635737</v>
      </c>
      <c r="I142" s="44" t="n">
        <f aca="false">RANK(H142,$H$127:$H$150,1)</f>
        <v>3</v>
      </c>
      <c r="J142" s="44" t="n">
        <f aca="false">MAX(IF(I142&lt;=g_n_weak,1,0),E142)</f>
        <v>1</v>
      </c>
      <c r="K142" s="44" t="n">
        <f aca="false">IF(I142&gt;12,1,0)*(1-E142)</f>
        <v>0</v>
      </c>
      <c r="L142" s="35" t="n">
        <f aca="false">INDEX(Inputs_Banks!$AR21:$AX21,1,G142+1)</f>
        <v>0.9076515</v>
      </c>
      <c r="M142" s="35" t="n">
        <f aca="false">Inputs_Banks!$AI21*MIN(1,p_u_base+$CD$130*p_u_pan_all+J142*($CD$130*p_u_pan_weak+p_u_mda*D142)+p_u_notch*G142+p_u_fail*E142)</f>
        <v>279.352366202</v>
      </c>
      <c r="N142" s="35" t="n">
        <f aca="false">Inputs_Banks!$AK21*MIN(1,p_w_base+p_w_pan*$CD$130+p_w_notch*G142+0.5*D142+1*E142)</f>
        <v>28.371245</v>
      </c>
      <c r="O142" s="35" t="n">
        <f aca="false">Inputs_Banks!$AO21*MIN(1,p_cp_base+p_cp_pan*$CD$130+p_cp_notch*G142)</f>
        <v>5.15</v>
      </c>
      <c r="P142" s="35" t="n">
        <f aca="false">Inputs_Banks!$AN21*(p_dh+p_dh_pan*$CD$130+MIN(1,0.5*$CD$137+0.25*G142))</f>
        <v>44.8565902707607</v>
      </c>
      <c r="Q142" s="35" t="n">
        <f aca="false">Modules!$Y21</f>
        <v>9.2558384</v>
      </c>
      <c r="R142" s="35" t="n">
        <f aca="false">Inputs_Banks!$AJ21*K142</f>
        <v>0</v>
      </c>
      <c r="S142" s="35" t="n">
        <f aca="false">p_liq_on*$CD$138*SUM($M$127:$M$150)*R142/MAX(0.000000001,SUM($R$127:$R$150))</f>
        <v>0</v>
      </c>
      <c r="T142" s="35" t="n">
        <f aca="false">p_liq_on*(L142+M142+N142+O142+P142+Q142)</f>
        <v>367.893691372761</v>
      </c>
      <c r="U142" s="35" t="n">
        <f aca="false">g_usable*Inputs_Banks!$AG21+p_cb_on*Inputs_Banks!$AQ21+S142</f>
        <v>309.53302303</v>
      </c>
      <c r="V142" s="35" t="n">
        <f aca="false">MAX(0,T142-U142)</f>
        <v>58.3606683427607</v>
      </c>
      <c r="W142" s="44" t="n">
        <f aca="false">IF(V142&gt;0.9*Inputs_Banks!$BB21,1,0)</f>
        <v>0</v>
      </c>
      <c r="X142" s="43" t="n">
        <f aca="false">MAX(p_htm_forced,(1-p_cb_on)*MIN(1,T142/Inputs_Banks!$AG21)*g_theta_sell)</f>
        <v>0.25</v>
      </c>
      <c r="Y142" s="35" t="n">
        <f aca="false">MAX(0,Modules!$V21-B142/(Inputs_Banks!$I21+g_del_buf))</f>
        <v>532.153100519204</v>
      </c>
      <c r="Z142" s="35" t="n">
        <f aca="false">MIN(g_del_cap*Inputs_Banks!$BB21,Y142)</f>
        <v>21.8225</v>
      </c>
      <c r="AA142" s="35" t="n">
        <f aca="false">MIN(Inputs_Banks!$BB21,V142+Z142)</f>
        <v>80.1831683427607</v>
      </c>
      <c r="AB142" s="35" t="n">
        <f aca="false">$AA142*Holdings!Q21</f>
        <v>0</v>
      </c>
      <c r="AC142" s="35" t="n">
        <f aca="false">$AA142*Holdings!R21</f>
        <v>0</v>
      </c>
      <c r="AD142" s="35" t="n">
        <f aca="false">$AA142*Holdings!S21</f>
        <v>0</v>
      </c>
      <c r="AE142" s="35" t="n">
        <f aca="false">$AA142*Holdings!T21</f>
        <v>1.42380468474372</v>
      </c>
      <c r="AF142" s="35" t="n">
        <f aca="false">$AA142*Holdings!U21</f>
        <v>63.4006447361364</v>
      </c>
      <c r="AG142" s="35" t="n">
        <f aca="false">$AA142*Holdings!V21</f>
        <v>0</v>
      </c>
      <c r="AH142" s="35" t="n">
        <f aca="false">$AA142*Holdings!W21</f>
        <v>13.420507383294</v>
      </c>
      <c r="AI142" s="35" t="n">
        <f aca="false">$AA142*Holdings!X21</f>
        <v>0</v>
      </c>
      <c r="AJ142" s="35" t="n">
        <f aca="false">$AA142*Holdings!Y21</f>
        <v>0</v>
      </c>
      <c r="AK142" s="35" t="n">
        <f aca="false">$AA142*Holdings!Z21</f>
        <v>0</v>
      </c>
      <c r="AL142" s="35" t="n">
        <f aca="false">$AA142*Holdings!AA21</f>
        <v>1.93821153858661</v>
      </c>
      <c r="AM142" s="35" t="n">
        <f aca="false">$AA142*Holdings!AB21</f>
        <v>0</v>
      </c>
      <c r="AN142" s="35" t="n">
        <f aca="false">$AA142*Holdings!AC21</f>
        <v>0</v>
      </c>
      <c r="AO142" s="43" t="n">
        <f aca="false">MIN(1,$CD$137+0.5*G142)</f>
        <v>1</v>
      </c>
      <c r="AP142" s="35" t="n">
        <f aca="false">p_liq_on*Inputs_Banks!$AP21*AO142*p_mb_psi</f>
        <v>0</v>
      </c>
      <c r="AQ142" s="44" t="n">
        <f aca="false">MAX(F142,E142,W142*(1-p_cb_on))</f>
        <v>1</v>
      </c>
      <c r="AR142" s="35" t="n">
        <f aca="false">p_ib_on*p_lgd_ib*g_s_in*g_u_ib*SUMPRODUCT(Network!R$6:R$29,$AQ$127:$AQ$150)</f>
        <v>4.21649398828672</v>
      </c>
      <c r="AS142" s="35" t="n">
        <f aca="false">p_sw_M1*(SUMPRODUCT(BDC_EAD!R$106:R$127,$BF$127:$BF$148)+SUMPRODUCT(BDC_EAD!R$131:R$152,$BG$127:$BG$148)+(Inputs_Banks!$Y21+p_ccf_bl*Inputs_Banks!$Z21)*$CD$150+Modules!$E21)</f>
        <v>28.674151775399</v>
      </c>
      <c r="AT142" s="35" t="n">
        <f aca="false">p_sw_M3*(Inputs_Banks!$U21+p_ccf_abf*Inputs_Banks!$V21)*$CD$151</f>
        <v>10.6062570749984</v>
      </c>
      <c r="AU142" s="35" t="n">
        <f aca="false">p_sw_M10*Inputs_Banks!$AC21*$CD$152</f>
        <v>0</v>
      </c>
      <c r="AV142" s="35" t="n">
        <f aca="false">p_sw_M8*(Modules!$M21+Modules!$N21*IF(p_liq_on&gt;0,X142,p_htm_forced))</f>
        <v>2.171</v>
      </c>
      <c r="AW142" s="35" t="n">
        <f aca="false">SUMPRODUCT(Holdings!$C21:$O21,Holdings!$C$32:$O$32,$AB$152:$AN$152)+Inputs_Banks!$P21*$AL$152</f>
        <v>10.5166125128823</v>
      </c>
      <c r="AX142" s="35" t="n">
        <f aca="false">Modules!$T21+AS142+AT142+AU142+AV142+AW142+AR142</f>
        <v>67.6274552143469</v>
      </c>
      <c r="AY142" s="35" t="n">
        <f aca="false">Modules!$U21-(1-p_tax)*AX142</f>
        <v>-9.28772691434693</v>
      </c>
      <c r="AZ142" s="39" t="n">
        <f aca="false">AY142/Modules!$V21</f>
        <v>-0.0205130863573704</v>
      </c>
      <c r="BA142" s="48" t="s">
        <v>659</v>
      </c>
      <c r="BB142" s="43" t="n">
        <f aca="false">INDEX($BJ$127:$BJ$160,BDC_EAD!$B21)</f>
        <v>0.361123826355913</v>
      </c>
      <c r="BC142" s="43" t="n">
        <f aca="false">INDEX($BK$127:$BK$160,BDC_EAD!$B21)</f>
        <v>0.0628985067484052</v>
      </c>
      <c r="BD142" s="22" t="n">
        <f aca="false">INDEX(BDC!$Q$6:$Q$39,BDC_EAD!$B21)</f>
        <v>0.239316017316017</v>
      </c>
      <c r="BE142" s="43" t="n">
        <f aca="false">BB142*(1-$AK$152)-BC142-p_c_liq</f>
        <v>0.085719597747347</v>
      </c>
      <c r="BF142" s="43" t="n">
        <f aca="false">p_phi*MAX(0,p_a_spv-BE142)/p_a_spv+(1-p_phi)*MAX(0,p_a_spv-BB142)/p_a_spv</f>
        <v>0.798856509329914</v>
      </c>
      <c r="BG142" s="43" t="n">
        <f aca="false">IF(BD142&gt;0,p_phi*MAX(0,BD142-BE142)/BD142+(1-p_phi)*MAX(0,BD142-BB142)/BD142,0)</f>
        <v>0.513451364572379</v>
      </c>
      <c r="BI142" s="12" t="str">
        <f aca="false">BDC!$A$21</f>
        <v>PSEC</v>
      </c>
      <c r="BJ142" s="43" t="n">
        <f aca="false">1-((1-BDC!$D$21)*$CD$143+BDC!$D$21*$CD$144)-p_gap-$CD$133*(1-BDC!$M$21)</f>
        <v>0.113624404509291</v>
      </c>
      <c r="BK142" s="43" t="n">
        <f aca="false">(1-BDC!$D$21)*$CD$145+BDC!$D$21*$CD$146</f>
        <v>0.0681894721239115</v>
      </c>
      <c r="BL142" s="45" t="n">
        <f aca="false">BJ142/BDC!$K$21</f>
        <v>0.293980602143086</v>
      </c>
      <c r="BM142" s="35" t="n">
        <f aca="false">IF(BL142&lt;1.5,BDC!$C$21,0)</f>
        <v>6.34</v>
      </c>
      <c r="BN142" s="43" t="n">
        <f aca="false">MAX(0,1-BJ142*(1-CE_mig_hc)-p_bb_cush)*BDC!$Q$21</f>
        <v>0.168253607408428</v>
      </c>
      <c r="BO142" s="43" t="n">
        <f aca="false">MAX(0,BDC!$K$21-BJ142/1.5)</f>
        <v>0.310753464478469</v>
      </c>
      <c r="BP142" s="43" t="n">
        <f aca="false">MIN(MIN(1,BDC!$H$21*$CD$136),$CD$135)</f>
        <v>0</v>
      </c>
      <c r="BQ142" s="43" t="n">
        <f aca="false">BDC!$I$21*BDC!$J$21*BP142*(1-0.3)</f>
        <v>0</v>
      </c>
      <c r="BR142" s="45" t="n">
        <f aca="false">BDC!$C$21*($CD$134*MAX(BN142,BO142)+BQ142)</f>
        <v>1.97017696479349</v>
      </c>
      <c r="CC142" s="10" t="s">
        <v>987</v>
      </c>
      <c r="CD142" s="43" t="n">
        <f aca="false">SUMPRODUCT(CreditEngine!$B$6:$B$10,$BV$127:$BV$131)</f>
        <v>0.924318714457985</v>
      </c>
    </row>
    <row r="143" customFormat="false" ht="15" hidden="false" customHeight="true" outlineLevel="0" collapsed="false">
      <c r="A143" s="10" t="s">
        <v>530</v>
      </c>
      <c r="B143" s="35" t="n">
        <f aca="false">AY103</f>
        <v>36.664953036146</v>
      </c>
      <c r="C143" s="39" t="n">
        <f aca="false">AZ103</f>
        <v>0.0374031559348759</v>
      </c>
      <c r="D143" s="44" t="n">
        <f aca="false">IF(C143&lt;Inputs_Banks!$I22,1,0)</f>
        <v>1</v>
      </c>
      <c r="E143" s="44" t="n">
        <f aca="false">IF(C143&lt;0.045,1,0)</f>
        <v>1</v>
      </c>
      <c r="F143" s="44" t="n">
        <f aca="false">IF(B143&lt;0,1,0)</f>
        <v>0</v>
      </c>
      <c r="G143" s="44" t="n">
        <f aca="false">MIN(6,MIN(3,INT(MAX(0,Inputs_Banks!$BA22-C143)/p_notch_step))+D143+2*E143)</f>
        <v>6</v>
      </c>
      <c r="H143" s="39" t="n">
        <f aca="false">C143-Inputs_Banks!$I22</f>
        <v>-0.0668968440651241</v>
      </c>
      <c r="I143" s="44" t="n">
        <f aca="false">RANK(H143,$H$127:$H$150,1)</f>
        <v>10</v>
      </c>
      <c r="J143" s="44" t="n">
        <f aca="false">MAX(IF(I143&lt;=g_n_weak,1,0),E143)</f>
        <v>1</v>
      </c>
      <c r="K143" s="44" t="n">
        <f aca="false">IF(I143&gt;12,1,0)*(1-E143)</f>
        <v>0</v>
      </c>
      <c r="L143" s="35" t="n">
        <f aca="false">INDEX(Inputs_Banks!$AR22:$AX22,1,G143+1)</f>
        <v>2.945586</v>
      </c>
      <c r="M143" s="35" t="n">
        <f aca="false">Inputs_Banks!$AI22*MIN(1,p_u_base+$CD$130*p_u_pan_all+J143*($CD$130*p_u_pan_weak+p_u_mda*D143)+p_u_notch*G143+p_u_fail*E143)</f>
        <v>546.513203124</v>
      </c>
      <c r="N143" s="35" t="n">
        <f aca="false">Inputs_Banks!$AK22*MIN(1,p_w_base+p_w_pan*$CD$130+p_w_notch*G143+0.5*D143+1*E143)</f>
        <v>28.3758118</v>
      </c>
      <c r="O143" s="35" t="n">
        <f aca="false">Inputs_Banks!$AO22*MIN(1,p_cp_base+p_cp_pan*$CD$130+p_cp_notch*G143)</f>
        <v>6.01</v>
      </c>
      <c r="P143" s="35" t="n">
        <f aca="false">Inputs_Banks!$AN22*(p_dh+p_dh_pan*$CD$130+MIN(1,0.5*$CD$137+0.25*G143))</f>
        <v>327.022854105455</v>
      </c>
      <c r="Q143" s="35" t="n">
        <f aca="false">Modules!$Y22</f>
        <v>9.7948712</v>
      </c>
      <c r="R143" s="35" t="n">
        <f aca="false">Inputs_Banks!$AJ22*K143</f>
        <v>0</v>
      </c>
      <c r="S143" s="35" t="n">
        <f aca="false">p_liq_on*$CD$138*SUM($M$127:$M$150)*R143/MAX(0.000000001,SUM($R$127:$R$150))</f>
        <v>0</v>
      </c>
      <c r="T143" s="35" t="n">
        <f aca="false">p_liq_on*(L143+M143+N143+O143+P143+Q143)</f>
        <v>920.662326229455</v>
      </c>
      <c r="U143" s="35" t="n">
        <f aca="false">g_usable*Inputs_Banks!$AG22+p_cb_on*Inputs_Banks!$AQ22+S143</f>
        <v>714.7042</v>
      </c>
      <c r="V143" s="35" t="n">
        <f aca="false">MAX(0,T143-U143)</f>
        <v>205.958126229456</v>
      </c>
      <c r="W143" s="44" t="n">
        <f aca="false">IF(V143&gt;0.9*Inputs_Banks!$BB22,1,0)</f>
        <v>0</v>
      </c>
      <c r="X143" s="43" t="n">
        <f aca="false">MAX(p_htm_forced,(1-p_cb_on)*MIN(1,T143/Inputs_Banks!$AG22)*g_theta_sell)</f>
        <v>0.25</v>
      </c>
      <c r="Y143" s="35" t="n">
        <f aca="false">MAX(0,Modules!$V22-B143/(Inputs_Banks!$I22+g_del_buf))</f>
        <v>644.811167702233</v>
      </c>
      <c r="Z143" s="35" t="n">
        <f aca="false">MIN(g_del_cap*Inputs_Banks!$BB22,Y143)</f>
        <v>88.1275</v>
      </c>
      <c r="AA143" s="35" t="n">
        <f aca="false">MIN(Inputs_Banks!$BB22,V143+Z143)</f>
        <v>294.085626229456</v>
      </c>
      <c r="AB143" s="35" t="n">
        <f aca="false">$AA143*Holdings!Q22</f>
        <v>0</v>
      </c>
      <c r="AC143" s="35" t="n">
        <f aca="false">$AA143*Holdings!R22</f>
        <v>0</v>
      </c>
      <c r="AD143" s="35" t="n">
        <f aca="false">$AA143*Holdings!S22</f>
        <v>0</v>
      </c>
      <c r="AE143" s="35" t="n">
        <f aca="false">$AA143*Holdings!T22</f>
        <v>0</v>
      </c>
      <c r="AF143" s="35" t="n">
        <f aca="false">$AA143*Holdings!U22</f>
        <v>121.243267027678</v>
      </c>
      <c r="AG143" s="35" t="n">
        <f aca="false">$AA143*Holdings!V22</f>
        <v>0</v>
      </c>
      <c r="AH143" s="35" t="n">
        <f aca="false">$AA143*Holdings!W22</f>
        <v>11.2291637940724</v>
      </c>
      <c r="AI143" s="35" t="n">
        <f aca="false">$AA143*Holdings!X22</f>
        <v>0</v>
      </c>
      <c r="AJ143" s="35" t="n">
        <f aca="false">$AA143*Holdings!Y22</f>
        <v>0</v>
      </c>
      <c r="AK143" s="35" t="n">
        <f aca="false">$AA143*Holdings!Z22</f>
        <v>0</v>
      </c>
      <c r="AL143" s="35" t="n">
        <f aca="false">$AA143*Holdings!AA22</f>
        <v>161.613195407705</v>
      </c>
      <c r="AM143" s="35" t="n">
        <f aca="false">$AA143*Holdings!AB22</f>
        <v>0</v>
      </c>
      <c r="AN143" s="35" t="n">
        <f aca="false">$AA143*Holdings!AC22</f>
        <v>0</v>
      </c>
      <c r="AO143" s="43" t="n">
        <f aca="false">MIN(1,$CD$137+0.5*G143)</f>
        <v>1</v>
      </c>
      <c r="AP143" s="35" t="n">
        <f aca="false">p_liq_on*Inputs_Banks!$AP22*AO143*p_mb_psi</f>
        <v>11.592</v>
      </c>
      <c r="AQ143" s="44" t="n">
        <f aca="false">MAX(F143,E143,W143*(1-p_cb_on))</f>
        <v>1</v>
      </c>
      <c r="AR143" s="35" t="n">
        <f aca="false">p_ib_on*p_lgd_ib*g_s_in*g_u_ib*SUMPRODUCT(Network!S$6:S$29,$AQ$127:$AQ$150)</f>
        <v>12.8576723198117</v>
      </c>
      <c r="AS143" s="35" t="n">
        <f aca="false">p_sw_M1*(SUMPRODUCT(BDC_EAD!S$106:S$127,$BF$127:$BF$148)+SUMPRODUCT(BDC_EAD!S$131:S$152,$BG$127:$BG$148)+(Inputs_Banks!$Y22+p_ccf_bl*Inputs_Banks!$Z22)*$CD$150+Modules!$E22)</f>
        <v>23.7487346889017</v>
      </c>
      <c r="AT143" s="35" t="n">
        <f aca="false">p_sw_M3*(Inputs_Banks!$U22+p_ccf_abf*Inputs_Banks!$V22)*$CD$151</f>
        <v>3.81118170894942</v>
      </c>
      <c r="AU143" s="35" t="n">
        <f aca="false">p_sw_M10*Inputs_Banks!$AC22*$CD$152</f>
        <v>0</v>
      </c>
      <c r="AV143" s="35" t="n">
        <f aca="false">p_sw_M8*(Modules!$M22+Modules!$N22*IF(p_liq_on&gt;0,X143,p_htm_forced))</f>
        <v>4.40625</v>
      </c>
      <c r="AW143" s="35" t="n">
        <f aca="false">SUMPRODUCT(Holdings!$C22:$O22,Holdings!$C$32:$O$32,$AB$152:$AN$152)+Inputs_Banks!$P22*$AL$152</f>
        <v>16.3242704898486</v>
      </c>
      <c r="AX143" s="35" t="n">
        <f aca="false">Modules!$T22+AS143+AT143+AU143+AV143+AW143+AR143</f>
        <v>81.1584869638541</v>
      </c>
      <c r="AY143" s="35" t="n">
        <f aca="false">Modules!$U22-(1-p_tax)*AX143</f>
        <v>36.664953036146</v>
      </c>
      <c r="AZ143" s="39" t="n">
        <f aca="false">AY143/Modules!$V22</f>
        <v>0.0374031559348759</v>
      </c>
      <c r="BA143" s="48" t="s">
        <v>638</v>
      </c>
      <c r="BB143" s="43" t="n">
        <f aca="false">INDEX($BJ$127:$BJ$160,BDC_EAD!$B22)</f>
        <v>0.393709594067855</v>
      </c>
      <c r="BC143" s="43" t="n">
        <f aca="false">INDEX($BK$127:$BK$160,BDC_EAD!$B22)</f>
        <v>0.0647242624061503</v>
      </c>
      <c r="BD143" s="22" t="n">
        <f aca="false">INDEX(BDC!$Q$6:$Q$39,BDC_EAD!$B22)</f>
        <v>0.177509433962264</v>
      </c>
      <c r="BE143" s="43" t="n">
        <f aca="false">BB143*(1-$AK$152)-BC143-p_c_liq</f>
        <v>0.10181601433117</v>
      </c>
      <c r="BF143" s="43" t="n">
        <f aca="false">p_phi*MAX(0,p_a_spv-BE143)/p_a_spv+(1-p_phi)*MAX(0,p_a_spv-BB143)/p_a_spv</f>
        <v>0.771150385316419</v>
      </c>
      <c r="BG143" s="43" t="n">
        <f aca="false">IF(BD143&gt;0,p_phi*MAX(0,BD143-BE143)/BD143+(1-p_phi)*MAX(0,BD143-BB143)/BD143,0)</f>
        <v>0.341135309561905</v>
      </c>
      <c r="BI143" s="12" t="str">
        <f aca="false">BDC!$A$22</f>
        <v>NHPIF</v>
      </c>
      <c r="BJ143" s="43" t="n">
        <f aca="false">1-((1-BDC!$D$22)*$CD$143+BDC!$D$22*$CD$144)-p_gap-$CD$133*(1-BDC!$M$22)</f>
        <v>0.401231175123755</v>
      </c>
      <c r="BK143" s="43" t="n">
        <f aca="false">(1-BDC!$D$22)*$CD$145+BDC!$D$22*$CD$146</f>
        <v>0.0605883669365645</v>
      </c>
      <c r="BL143" s="45" t="n">
        <f aca="false">BJ143/BDC!$K$22</f>
        <v>0.819180315877667</v>
      </c>
      <c r="BM143" s="35" t="n">
        <f aca="false">IF(BL143&lt;1.5,BDC!$C$22,0)</f>
        <v>5.98</v>
      </c>
      <c r="BN143" s="43" t="n">
        <f aca="false">MAX(0,1-BJ143*(1-CE_mig_hc)-p_bb_cush)*BDC!$Q$22</f>
        <v>0.151630856363478</v>
      </c>
      <c r="BO143" s="43" t="n">
        <f aca="false">MAX(0,BDC!$K$22-BJ143/1.5)</f>
        <v>0.222308468284843</v>
      </c>
      <c r="BP143" s="43" t="n">
        <f aca="false">MIN(MIN(1,BDC!$H$22*$CD$136),$CD$135)</f>
        <v>0.25</v>
      </c>
      <c r="BQ143" s="43" t="n">
        <f aca="false">BDC!$I$22*BDC!$J$22*BP143*(1-0.3)</f>
        <v>0.0892857142857143</v>
      </c>
      <c r="BR143" s="45" t="n">
        <f aca="false">BDC!$C$22*($CD$134*MAX(BN143,BO143)+BQ143)</f>
        <v>1.86333321177194</v>
      </c>
      <c r="CC143" s="10" t="s">
        <v>988</v>
      </c>
      <c r="CD143" s="43" t="n">
        <f aca="false">$CD$141*p_lgd_gen-CE_PDb*g_lgd_gen_b</f>
        <v>0.332131634197048</v>
      </c>
    </row>
    <row r="144" customFormat="false" ht="15" hidden="false" customHeight="true" outlineLevel="0" collapsed="false">
      <c r="A144" s="10" t="s">
        <v>532</v>
      </c>
      <c r="B144" s="35" t="n">
        <f aca="false">AY104</f>
        <v>23.6598018358836</v>
      </c>
      <c r="C144" s="39" t="n">
        <f aca="false">AZ104</f>
        <v>0.0472616971280715</v>
      </c>
      <c r="D144" s="44" t="n">
        <f aca="false">IF(C144&lt;Inputs_Banks!$I23,1,0)</f>
        <v>1</v>
      </c>
      <c r="E144" s="44" t="n">
        <f aca="false">IF(C144&lt;0.045,1,0)</f>
        <v>0</v>
      </c>
      <c r="F144" s="44" t="n">
        <f aca="false">IF(B144&lt;0,1,0)</f>
        <v>0</v>
      </c>
      <c r="G144" s="44" t="n">
        <f aca="false">MIN(6,MIN(3,INT(MAX(0,Inputs_Banks!$BA23-C144)/p_notch_step))+D144+2*E144)</f>
        <v>4</v>
      </c>
      <c r="H144" s="39" t="n">
        <f aca="false">C144-Inputs_Banks!$I23</f>
        <v>-0.0553383028719285</v>
      </c>
      <c r="I144" s="44" t="n">
        <f aca="false">RANK(H144,$H$127:$H$150,1)</f>
        <v>13</v>
      </c>
      <c r="J144" s="44" t="n">
        <f aca="false">MAX(IF(I144&lt;=g_n_weak,1,0),E144)</f>
        <v>0</v>
      </c>
      <c r="K144" s="44" t="n">
        <f aca="false">IF(I144&gt;12,1,0)*(1-E144)</f>
        <v>1</v>
      </c>
      <c r="L144" s="35" t="n">
        <f aca="false">INDEX(Inputs_Banks!$AR23:$AX23,1,G144+1)</f>
        <v>1.2010684</v>
      </c>
      <c r="M144" s="35" t="n">
        <f aca="false">Inputs_Banks!$AI23*MIN(1,p_u_base+$CD$130*p_u_pan_all+J144*($CD$130*p_u_pan_weak+p_u_mda*D144)+p_u_notch*G144+p_u_fail*E144)</f>
        <v>85.2942480453</v>
      </c>
      <c r="N144" s="35" t="n">
        <f aca="false">Inputs_Banks!$AK23*MIN(1,p_w_base+p_w_pan*$CD$130+p_w_notch*G144+0.5*D144+1*E144)</f>
        <v>0</v>
      </c>
      <c r="O144" s="35" t="n">
        <f aca="false">Inputs_Banks!$AO23*MIN(1,p_cp_base+p_cp_pan*$CD$130+p_cp_notch*G144)</f>
        <v>3.8</v>
      </c>
      <c r="P144" s="35" t="n">
        <f aca="false">Inputs_Banks!$AN23*(p_dh+p_dh_pan*$CD$130+MIN(1,0.5*$CD$137+0.25*G144))</f>
        <v>128.300227265032</v>
      </c>
      <c r="Q144" s="35" t="n">
        <f aca="false">Modules!$Y23</f>
        <v>3.506521</v>
      </c>
      <c r="R144" s="35" t="n">
        <f aca="false">Inputs_Banks!$AJ23*K144</f>
        <v>611.4283014</v>
      </c>
      <c r="S144" s="35" t="n">
        <f aca="false">p_liq_on*$CD$138*SUM($M$127:$M$150)*R144/MAX(0.000000001,SUM($R$127:$R$150))</f>
        <v>126.615060020241</v>
      </c>
      <c r="T144" s="35" t="n">
        <f aca="false">p_liq_on*(L144+M144+N144+O144+P144+Q144)</f>
        <v>222.102064710332</v>
      </c>
      <c r="U144" s="35" t="n">
        <f aca="false">g_usable*Inputs_Banks!$AG23+p_cb_on*Inputs_Banks!$AQ23+S144</f>
        <v>563.372395020241</v>
      </c>
      <c r="V144" s="35" t="n">
        <f aca="false">MAX(0,T144-U144)</f>
        <v>0</v>
      </c>
      <c r="W144" s="44" t="n">
        <f aca="false">IF(V144&gt;0.9*Inputs_Banks!$BB23,1,0)</f>
        <v>0</v>
      </c>
      <c r="X144" s="43" t="n">
        <f aca="false">MAX(p_htm_forced,(1-p_cb_on)*MIN(1,T144/Inputs_Banks!$AG23)*g_theta_sell)</f>
        <v>0.184920413117464</v>
      </c>
      <c r="Y144" s="35" t="n">
        <f aca="false">MAX(0,Modules!$V23-B144/(Inputs_Banks!$I23+g_del_buf))</f>
        <v>280.725981837513</v>
      </c>
      <c r="Z144" s="35" t="n">
        <f aca="false">MIN(g_del_cap*Inputs_Banks!$BB23,Y144)</f>
        <v>40.9075</v>
      </c>
      <c r="AA144" s="35" t="n">
        <f aca="false">MIN(Inputs_Banks!$BB23,V144+Z144)</f>
        <v>40.9075</v>
      </c>
      <c r="AB144" s="35" t="n">
        <f aca="false">$AA144*Holdings!Q23</f>
        <v>0</v>
      </c>
      <c r="AC144" s="35" t="n">
        <f aca="false">$AA144*Holdings!R23</f>
        <v>0</v>
      </c>
      <c r="AD144" s="35" t="n">
        <f aca="false">$AA144*Holdings!S23</f>
        <v>0</v>
      </c>
      <c r="AE144" s="35" t="n">
        <f aca="false">$AA144*Holdings!T23</f>
        <v>0</v>
      </c>
      <c r="AF144" s="35" t="n">
        <f aca="false">$AA144*Holdings!U23</f>
        <v>6.4975</v>
      </c>
      <c r="AG144" s="35" t="n">
        <f aca="false">$AA144*Holdings!V23</f>
        <v>0</v>
      </c>
      <c r="AH144" s="35" t="n">
        <f aca="false">$AA144*Holdings!W23</f>
        <v>2.6375</v>
      </c>
      <c r="AI144" s="35" t="n">
        <f aca="false">$AA144*Holdings!X23</f>
        <v>0</v>
      </c>
      <c r="AJ144" s="35" t="n">
        <f aca="false">$AA144*Holdings!Y23</f>
        <v>0</v>
      </c>
      <c r="AK144" s="35" t="n">
        <f aca="false">$AA144*Holdings!Z23</f>
        <v>0</v>
      </c>
      <c r="AL144" s="35" t="n">
        <f aca="false">$AA144*Holdings!AA23</f>
        <v>31.7725</v>
      </c>
      <c r="AM144" s="35" t="n">
        <f aca="false">$AA144*Holdings!AB23</f>
        <v>0</v>
      </c>
      <c r="AN144" s="35" t="n">
        <f aca="false">$AA144*Holdings!AC23</f>
        <v>0</v>
      </c>
      <c r="AO144" s="43" t="n">
        <f aca="false">MIN(1,$CD$137+0.5*G144)</f>
        <v>1</v>
      </c>
      <c r="AP144" s="35" t="n">
        <f aca="false">p_liq_on*Inputs_Banks!$AP23*AO144*p_mb_psi</f>
        <v>5.856</v>
      </c>
      <c r="AQ144" s="44" t="n">
        <f aca="false">MAX(F144,E144,W144*(1-p_cb_on))</f>
        <v>0</v>
      </c>
      <c r="AR144" s="35" t="n">
        <f aca="false">p_ib_on*p_lgd_ib*g_s_in*g_u_ib*SUMPRODUCT(Network!T$6:T$29,$AQ$127:$AQ$150)</f>
        <v>9.57333551838029</v>
      </c>
      <c r="AS144" s="35" t="n">
        <f aca="false">p_sw_M1*(SUMPRODUCT(BDC_EAD!T$106:T$127,$BF$127:$BF$148)+SUMPRODUCT(BDC_EAD!T$131:T$152,$BG$127:$BG$148)+(Inputs_Banks!$Y23+p_ccf_bl*Inputs_Banks!$Z23)*$CD$150+Modules!$E23)</f>
        <v>11.9173703231754</v>
      </c>
      <c r="AT144" s="35" t="n">
        <f aca="false">p_sw_M3*(Inputs_Banks!$U23+p_ccf_abf*Inputs_Banks!$V23)*$CD$151</f>
        <v>0</v>
      </c>
      <c r="AU144" s="35" t="n">
        <f aca="false">p_sw_M10*Inputs_Banks!$AC23*$CD$152</f>
        <v>0</v>
      </c>
      <c r="AV144" s="35" t="n">
        <f aca="false">p_sw_M8*(Modules!$M23+Modules!$N23*IF(p_liq_on&gt;0,X144,p_htm_forced))</f>
        <v>1.51600832932119</v>
      </c>
      <c r="AW144" s="35" t="n">
        <f aca="false">SUMPRODUCT(Holdings!$C23:$O23,Holdings!$C$32:$O$32,$AB$152:$AN$152)+Inputs_Banks!$P23*$AL$152</f>
        <v>6.94276181715746</v>
      </c>
      <c r="AX144" s="35" t="n">
        <f aca="false">Modules!$T23+AS144+AT144+AU144+AV144+AW144+AR144</f>
        <v>37.4211481641164</v>
      </c>
      <c r="AY144" s="35" t="n">
        <f aca="false">Modules!$U23-(1-p_tax)*AX144</f>
        <v>23.6598018358836</v>
      </c>
      <c r="AZ144" s="39" t="n">
        <f aca="false">AY144/Modules!$V23</f>
        <v>0.0472616971280715</v>
      </c>
      <c r="BA144" s="48" t="s">
        <v>631</v>
      </c>
      <c r="BB144" s="43" t="n">
        <f aca="false">INDEX($BJ$127:$BJ$160,BDC_EAD!$B23)</f>
        <v>0.421663471167733</v>
      </c>
      <c r="BC144" s="43" t="n">
        <f aca="false">INDEX($BK$127:$BK$160,BDC_EAD!$B23)</f>
        <v>0.063979056015234</v>
      </c>
      <c r="BD144" s="22" t="n">
        <f aca="false">INDEX(BDC!$Q$6:$Q$39,BDC_EAD!$B23)</f>
        <v>0.276335078534031</v>
      </c>
      <c r="BE144" s="43" t="n">
        <f aca="false">BB144*(1-$AK$152)-BC144-p_c_liq</f>
        <v>0.117935853127019</v>
      </c>
      <c r="BF144" s="43" t="n">
        <f aca="false">p_phi*MAX(0,p_a_spv-BE144)/p_a_spv+(1-p_phi)*MAX(0,p_a_spv-BB144)/p_a_spv</f>
        <v>0.74474089037834</v>
      </c>
      <c r="BG144" s="43" t="n">
        <f aca="false">IF(BD144&gt;0,p_phi*MAX(0,BD144-BE144)/BD144+(1-p_phi)*MAX(0,BD144-BB144)/BD144,0)</f>
        <v>0.458571459685326</v>
      </c>
      <c r="BI144" s="12" t="str">
        <f aca="false">BDC!$A$23</f>
        <v>MAIN</v>
      </c>
      <c r="BJ144" s="43" t="n">
        <f aca="false">1-((1-BDC!$D$23)*$CD$143+BDC!$D$23*$CD$144)-p_gap-$CD$133*(1-BDC!$M$23)</f>
        <v>0.556417298789294</v>
      </c>
      <c r="BK144" s="43" t="n">
        <f aca="false">(1-BDC!$D$23)*$CD$145+BDC!$D$23*$CD$146</f>
        <v>0.0671461831766286</v>
      </c>
      <c r="BL144" s="45" t="n">
        <f aca="false">BJ144/BDC!$K$23</f>
        <v>1.25193892227591</v>
      </c>
      <c r="BM144" s="35" t="n">
        <f aca="false">IF(BL144&lt;1.5,BDC!$C$23,0)</f>
        <v>5.75</v>
      </c>
      <c r="BN144" s="43" t="n">
        <f aca="false">MAX(0,1-BJ144*(1-CE_mig_hc)-p_bb_cush)*BDC!$Q$23</f>
        <v>0.050065278117532</v>
      </c>
      <c r="BO144" s="43" t="n">
        <f aca="false">MAX(0,BDC!$K$23-BJ144/1.5)</f>
        <v>0.0734995785849151</v>
      </c>
      <c r="BP144" s="43" t="n">
        <f aca="false">MIN(MIN(1,BDC!$H$23*$CD$136),$CD$135)</f>
        <v>0</v>
      </c>
      <c r="BQ144" s="43" t="n">
        <f aca="false">BDC!$I$23*BDC!$J$23*BP144*(1-0.3)</f>
        <v>0</v>
      </c>
      <c r="BR144" s="45" t="n">
        <f aca="false">BDC!$C$23*($CD$134*MAX(BN144,BO144)+BQ144)</f>
        <v>0.422622576863262</v>
      </c>
      <c r="CC144" s="10" t="s">
        <v>989</v>
      </c>
      <c r="CD144" s="43" t="n">
        <f aca="false">$CD$142*p_lgd_sw-CE_PDb*g_lgd_sw_b</f>
        <v>0.556662359955042</v>
      </c>
    </row>
    <row r="145" customFormat="false" ht="15" hidden="false" customHeight="true" outlineLevel="0" collapsed="false">
      <c r="A145" s="10" t="s">
        <v>534</v>
      </c>
      <c r="B145" s="35" t="n">
        <f aca="false">AY105</f>
        <v>43.1850972513385</v>
      </c>
      <c r="C145" s="39" t="n">
        <f aca="false">AZ105</f>
        <v>0.0793534454428393</v>
      </c>
      <c r="D145" s="44" t="n">
        <f aca="false">IF(C145&lt;Inputs_Banks!$I24,1,0)</f>
        <v>1</v>
      </c>
      <c r="E145" s="44" t="n">
        <f aca="false">IF(C145&lt;0.045,1,0)</f>
        <v>0</v>
      </c>
      <c r="F145" s="44" t="n">
        <f aca="false">IF(B145&lt;0,1,0)</f>
        <v>0</v>
      </c>
      <c r="G145" s="44" t="n">
        <f aca="false">MIN(6,MIN(3,INT(MAX(0,Inputs_Banks!$BA24-C145)/p_notch_step))+D145+2*E145)</f>
        <v>3</v>
      </c>
      <c r="H145" s="39" t="n">
        <f aca="false">C145-Inputs_Banks!$I24</f>
        <v>-0.0289465545571607</v>
      </c>
      <c r="I145" s="44" t="n">
        <f aca="false">RANK(H145,$H$127:$H$150,1)</f>
        <v>20</v>
      </c>
      <c r="J145" s="44" t="n">
        <f aca="false">MAX(IF(I145&lt;=g_n_weak,1,0),E145)</f>
        <v>0</v>
      </c>
      <c r="K145" s="44" t="n">
        <f aca="false">IF(I145&gt;12,1,0)*(1-E145)</f>
        <v>1</v>
      </c>
      <c r="L145" s="35" t="n">
        <f aca="false">INDEX(Inputs_Banks!$AR24:$AX24,1,G145+1)</f>
        <v>1.0254</v>
      </c>
      <c r="M145" s="35" t="n">
        <f aca="false">Inputs_Banks!$AI24*MIN(1,p_u_base+$CD$130*p_u_pan_all+J145*($CD$130*p_u_pan_weak+p_u_mda*D145)+p_u_notch*G145+p_u_fail*E145)</f>
        <v>98.681085</v>
      </c>
      <c r="N145" s="35" t="n">
        <f aca="false">Inputs_Banks!$AK24*MIN(1,p_w_base+p_w_pan*$CD$130+p_w_notch*G145+0.5*D145+1*E145)</f>
        <v>44.031</v>
      </c>
      <c r="O145" s="35" t="n">
        <f aca="false">Inputs_Banks!$AO24*MIN(1,p_cp_base+p_cp_pan*$CD$130+p_cp_notch*G145)</f>
        <v>6.29</v>
      </c>
      <c r="P145" s="35" t="n">
        <f aca="false">Inputs_Banks!$AN24*(p_dh+p_dh_pan*$CD$130+MIN(1,0.5*$CD$137+0.25*G145))</f>
        <v>21.26696</v>
      </c>
      <c r="Q145" s="35" t="n">
        <f aca="false">Modules!$Y24</f>
        <v>0.730916</v>
      </c>
      <c r="R145" s="35" t="n">
        <f aca="false">Inputs_Banks!$AJ24*K145</f>
        <v>812.19</v>
      </c>
      <c r="S145" s="35" t="n">
        <f aca="false">p_liq_on*$CD$138*SUM($M$127:$M$150)*R145/MAX(0.000000001,SUM($R$127:$R$150))</f>
        <v>168.188952592438</v>
      </c>
      <c r="T145" s="35" t="n">
        <f aca="false">p_liq_on*(L145+M145+N145+O145+P145+Q145)</f>
        <v>172.025361</v>
      </c>
      <c r="U145" s="35" t="n">
        <f aca="false">g_usable*Inputs_Banks!$AG24+p_cb_on*Inputs_Banks!$AQ24+S145</f>
        <v>544.168952592438</v>
      </c>
      <c r="V145" s="35" t="n">
        <f aca="false">MAX(0,T145-U145)</f>
        <v>0</v>
      </c>
      <c r="W145" s="44" t="n">
        <f aca="false">IF(V145&gt;0.9*Inputs_Banks!$BB24,1,0)</f>
        <v>0</v>
      </c>
      <c r="X145" s="43" t="n">
        <f aca="false">MAX(p_htm_forced,(1-p_cb_on)*MIN(1,T145/Inputs_Banks!$AG24)*g_theta_sell)</f>
        <v>0.125823113662961</v>
      </c>
      <c r="Y145" s="35" t="n">
        <f aca="false">MAX(0,Modules!$V24-B145/(Inputs_Banks!$I24+g_del_buf))</f>
        <v>163.05491922914</v>
      </c>
      <c r="Z145" s="35" t="n">
        <f aca="false">MIN(g_del_cap*Inputs_Banks!$BB24,Y145)</f>
        <v>63.9425</v>
      </c>
      <c r="AA145" s="35" t="n">
        <f aca="false">MIN(Inputs_Banks!$BB24,V145+Z145)</f>
        <v>63.9425</v>
      </c>
      <c r="AB145" s="35" t="n">
        <f aca="false">$AA145*Holdings!Q24</f>
        <v>0</v>
      </c>
      <c r="AC145" s="35" t="n">
        <f aca="false">$AA145*Holdings!R24</f>
        <v>0</v>
      </c>
      <c r="AD145" s="35" t="n">
        <f aca="false">$AA145*Holdings!S24</f>
        <v>0</v>
      </c>
      <c r="AE145" s="35" t="n">
        <f aca="false">$AA145*Holdings!T24</f>
        <v>0</v>
      </c>
      <c r="AF145" s="35" t="n">
        <f aca="false">$AA145*Holdings!U24</f>
        <v>10.3475</v>
      </c>
      <c r="AG145" s="35" t="n">
        <f aca="false">$AA145*Holdings!V24</f>
        <v>0</v>
      </c>
      <c r="AH145" s="35" t="n">
        <f aca="false">$AA145*Holdings!W24</f>
        <v>0.915</v>
      </c>
      <c r="AI145" s="35" t="n">
        <f aca="false">$AA145*Holdings!X24</f>
        <v>0</v>
      </c>
      <c r="AJ145" s="35" t="n">
        <f aca="false">$AA145*Holdings!Y24</f>
        <v>0.535</v>
      </c>
      <c r="AK145" s="35" t="n">
        <f aca="false">$AA145*Holdings!Z24</f>
        <v>0</v>
      </c>
      <c r="AL145" s="35" t="n">
        <f aca="false">$AA145*Holdings!AA24</f>
        <v>32.3075</v>
      </c>
      <c r="AM145" s="35" t="n">
        <f aca="false">$AA145*Holdings!AB24</f>
        <v>0</v>
      </c>
      <c r="AN145" s="35" t="n">
        <f aca="false">$AA145*Holdings!AC24</f>
        <v>19.8375</v>
      </c>
      <c r="AO145" s="43" t="n">
        <f aca="false">MIN(1,$CD$137+0.5*G145)</f>
        <v>1</v>
      </c>
      <c r="AP145" s="35" t="n">
        <f aca="false">p_liq_on*Inputs_Banks!$AP24*AO145*p_mb_psi</f>
        <v>0.18</v>
      </c>
      <c r="AQ145" s="44" t="n">
        <f aca="false">MAX(F145,E145,W145*(1-p_cb_on))</f>
        <v>0</v>
      </c>
      <c r="AR145" s="35" t="n">
        <f aca="false">p_ib_on*p_lgd_ib*g_s_in*g_u_ib*SUMPRODUCT(Network!U$6:U$29,$AQ$127:$AQ$150)</f>
        <v>10.91666863851</v>
      </c>
      <c r="AS145" s="35" t="n">
        <f aca="false">p_sw_M1*(SUMPRODUCT(BDC_EAD!U$106:U$127,$BF$127:$BF$148)+SUMPRODUCT(BDC_EAD!U$131:U$152,$BG$127:$BG$148)+(Inputs_Banks!$Y24+p_ccf_bl*Inputs_Banks!$Z24)*$CD$150+Modules!$E24)</f>
        <v>0.0607767881736133</v>
      </c>
      <c r="AT145" s="35" t="n">
        <f aca="false">p_sw_M3*(Inputs_Banks!$U24+p_ccf_abf*Inputs_Banks!$V24)*$CD$151</f>
        <v>0</v>
      </c>
      <c r="AU145" s="35" t="n">
        <f aca="false">p_sw_M10*Inputs_Banks!$AC24*$CD$152</f>
        <v>0</v>
      </c>
      <c r="AV145" s="35" t="n">
        <f aca="false">p_sw_M8*(Modules!$M24+Modules!$N24*IF(p_liq_on&gt;0,X145,p_htm_forced))</f>
        <v>0.542714787401624</v>
      </c>
      <c r="AW145" s="35" t="n">
        <f aca="false">SUMPRODUCT(Holdings!$C24:$O24,Holdings!$C$32:$O$32,$AB$152:$AN$152)+Inputs_Banks!$P24*$AL$152</f>
        <v>7.60623973690638</v>
      </c>
      <c r="AX145" s="35" t="n">
        <f aca="false">Modules!$T24+AS145+AT145+AU145+AV145+AW145+AR145</f>
        <v>29.2789027486616</v>
      </c>
      <c r="AY145" s="35" t="n">
        <f aca="false">Modules!$U24-(1-p_tax)*AX145</f>
        <v>43.1850972513385</v>
      </c>
      <c r="AZ145" s="39" t="n">
        <f aca="false">AY145/Modules!$V24</f>
        <v>0.0793534454428393</v>
      </c>
      <c r="BA145" s="48" t="s">
        <v>655</v>
      </c>
      <c r="BB145" s="43" t="n">
        <f aca="false">INDEX($BJ$127:$BJ$160,BDC_EAD!$B24)</f>
        <v>0.392098725301358</v>
      </c>
      <c r="BC145" s="43" t="n">
        <f aca="false">INDEX($BK$127:$BK$160,BDC_EAD!$B24)</f>
        <v>0.0620042590793056</v>
      </c>
      <c r="BD145" s="22" t="n">
        <f aca="false">INDEX(BDC!$Q$6:$Q$39,BDC_EAD!$B24)</f>
        <v>0.254901960784314</v>
      </c>
      <c r="BE145" s="43" t="n">
        <f aca="false">BB145*(1-$AK$152)-BC145-p_c_liq</f>
        <v>0.103650039836441</v>
      </c>
      <c r="BF145" s="43" t="n">
        <f aca="false">p_phi*MAX(0,p_a_spv-BE145)/p_a_spv+(1-p_phi)*MAX(0,p_a_spv-BB145)/p_a_spv</f>
        <v>0.769514604386537</v>
      </c>
      <c r="BG145" s="43" t="n">
        <f aca="false">IF(BD145&gt;0,p_phi*MAX(0,BD145-BE145)/BD145+(1-p_phi)*MAX(0,BD145-BB145)/BD145,0)</f>
        <v>0.474698336513323</v>
      </c>
      <c r="BI145" s="12" t="str">
        <f aca="false">BDC!$A$24</f>
        <v>OTIC</v>
      </c>
      <c r="BJ145" s="43" t="n">
        <f aca="false">1-((1-BDC!$D$24)*$CD$143+BDC!$D$24*$CD$144)-p_gap-$CD$133*(1-BDC!$M$24)</f>
        <v>0.384840432143422</v>
      </c>
      <c r="BK145" s="43" t="n">
        <f aca="false">(1-BDC!$D$24)*$CD$145+BDC!$D$24*$CD$146</f>
        <v>0.0578683636097197</v>
      </c>
      <c r="BL145" s="45" t="n">
        <f aca="false">BJ145/BDC!$K$24</f>
        <v>0.832329306728796</v>
      </c>
      <c r="BM145" s="35" t="n">
        <f aca="false">IF(BL145&lt;1.5,BDC!$C$24,0)</f>
        <v>5.06</v>
      </c>
      <c r="BN145" s="43" t="n">
        <f aca="false">MAX(0,1-BJ145*(1-CE_mig_hc)-p_bb_cush)*BDC!$Q$24</f>
        <v>0.270936849243253</v>
      </c>
      <c r="BO145" s="43" t="n">
        <f aca="false">MAX(0,BDC!$K$24-BJ145/1.5)</f>
        <v>0.205805303302235</v>
      </c>
      <c r="BP145" s="43" t="n">
        <f aca="false">MIN(MIN(1,BDC!$H$24*$CD$136),$CD$135)</f>
        <v>0.25</v>
      </c>
      <c r="BQ145" s="43" t="n">
        <f aca="false">BDC!$I$24*BDC!$J$24*BP145*(1-0.3)</f>
        <v>0.0940860215053764</v>
      </c>
      <c r="BR145" s="45" t="n">
        <f aca="false">BDC!$C$24*($CD$134*MAX(BN145,BO145)+BQ145)</f>
        <v>1.84701572598807</v>
      </c>
      <c r="CC145" s="10" t="s">
        <v>990</v>
      </c>
      <c r="CD145" s="43" t="n">
        <f aca="false">(1-$CD$141)*$CD$132/10000*g_dur_s</f>
        <v>0.0690464594734653</v>
      </c>
    </row>
    <row r="146" customFormat="false" ht="15" hidden="false" customHeight="true" outlineLevel="0" collapsed="false">
      <c r="A146" s="10" t="s">
        <v>535</v>
      </c>
      <c r="B146" s="35" t="n">
        <f aca="false">AY106</f>
        <v>2.33549298402799</v>
      </c>
      <c r="C146" s="39" t="n">
        <f aca="false">AZ106</f>
        <v>0.00281267876952756</v>
      </c>
      <c r="D146" s="44" t="n">
        <f aca="false">IF(C146&lt;Inputs_Banks!$I25,1,0)</f>
        <v>1</v>
      </c>
      <c r="E146" s="44" t="n">
        <f aca="false">IF(C146&lt;0.045,1,0)</f>
        <v>1</v>
      </c>
      <c r="F146" s="44" t="n">
        <f aca="false">IF(B146&lt;0,1,0)</f>
        <v>0</v>
      </c>
      <c r="G146" s="44" t="n">
        <f aca="false">MIN(6,MIN(3,INT(MAX(0,Inputs_Banks!$BA25-C146)/p_notch_step))+D146+2*E146)</f>
        <v>6</v>
      </c>
      <c r="H146" s="39" t="n">
        <f aca="false">C146-Inputs_Banks!$I25</f>
        <v>-0.0840873212304724</v>
      </c>
      <c r="I146" s="44" t="n">
        <f aca="false">RANK(H146,$H$127:$H$150,1)</f>
        <v>6</v>
      </c>
      <c r="J146" s="44" t="n">
        <f aca="false">MAX(IF(I146&lt;=g_n_weak,1,0),E146)</f>
        <v>1</v>
      </c>
      <c r="K146" s="44" t="n">
        <f aca="false">IF(I146&gt;12,1,0)*(1-E146)</f>
        <v>0</v>
      </c>
      <c r="L146" s="35" t="n">
        <f aca="false">INDEX(Inputs_Banks!$AR25:$AX25,1,G146+1)</f>
        <v>0.817907877744296</v>
      </c>
      <c r="M146" s="35" t="n">
        <f aca="false">Inputs_Banks!$AI25*MIN(1,p_u_base+$CD$130*p_u_pan_all+J146*($CD$130*p_u_pan_weak+p_u_mda*D146)+p_u_notch*G146+p_u_fail*E146)</f>
        <v>715.108384601193</v>
      </c>
      <c r="N146" s="35" t="n">
        <f aca="false">Inputs_Banks!$AK25*MIN(1,p_w_base+p_w_pan*$CD$130+p_w_notch*G146+0.5*D146+1*E146)</f>
        <v>111.414716192116</v>
      </c>
      <c r="O146" s="35" t="n">
        <f aca="false">Inputs_Banks!$AO25*MIN(1,p_cp_base+p_cp_pan*$CD$130+p_cp_notch*G146)</f>
        <v>32.9</v>
      </c>
      <c r="P146" s="35" t="n">
        <f aca="false">Inputs_Banks!$AN25*(p_dh+p_dh_pan*$CD$130+MIN(1,0.5*$CD$137+0.25*G146))</f>
        <v>76.0290509481086</v>
      </c>
      <c r="Q146" s="35" t="n">
        <f aca="false">Modules!$Y25</f>
        <v>21.0243399144764</v>
      </c>
      <c r="R146" s="35" t="n">
        <f aca="false">Inputs_Banks!$AJ25*K146</f>
        <v>0</v>
      </c>
      <c r="S146" s="35" t="n">
        <f aca="false">p_liq_on*$CD$138*SUM($M$127:$M$150)*R146/MAX(0.000000001,SUM($R$127:$R$150))</f>
        <v>0</v>
      </c>
      <c r="T146" s="35" t="n">
        <f aca="false">p_liq_on*(L146+M146+N146+O146+P146+Q146)</f>
        <v>957.294399533638</v>
      </c>
      <c r="U146" s="35" t="n">
        <f aca="false">g_usable*Inputs_Banks!$AG25+p_cb_on*Inputs_Banks!$AQ25+S146</f>
        <v>834.979565832359</v>
      </c>
      <c r="V146" s="35" t="n">
        <f aca="false">MAX(0,T146-U146)</f>
        <v>122.314833701279</v>
      </c>
      <c r="W146" s="44" t="n">
        <f aca="false">IF(V146&gt;0.9*Inputs_Banks!$BB25,1,0)</f>
        <v>0</v>
      </c>
      <c r="X146" s="43" t="n">
        <f aca="false">MAX(p_htm_forced,(1-p_cb_on)*MIN(1,T146/Inputs_Banks!$AG25)*g_theta_sell)</f>
        <v>0.25</v>
      </c>
      <c r="Y146" s="35" t="n">
        <f aca="false">MAX(0,Modules!$V25-B146/(Inputs_Banks!$I25+g_del_buf))</f>
        <v>804.93131006303</v>
      </c>
      <c r="Z146" s="35" t="n">
        <f aca="false">MIN(g_del_cap*Inputs_Banks!$BB25,Y146)</f>
        <v>34.975</v>
      </c>
      <c r="AA146" s="35" t="n">
        <f aca="false">MIN(Inputs_Banks!$BB25,V146+Z146)</f>
        <v>139.9</v>
      </c>
      <c r="AB146" s="35" t="n">
        <f aca="false">$AA146*Holdings!Q25</f>
        <v>0</v>
      </c>
      <c r="AC146" s="35" t="n">
        <f aca="false">$AA146*Holdings!R25</f>
        <v>0</v>
      </c>
      <c r="AD146" s="35" t="n">
        <f aca="false">$AA146*Holdings!S25</f>
        <v>0</v>
      </c>
      <c r="AE146" s="35" t="n">
        <f aca="false">$AA146*Holdings!T25</f>
        <v>0</v>
      </c>
      <c r="AF146" s="35" t="n">
        <f aca="false">$AA146*Holdings!U25</f>
        <v>24.89</v>
      </c>
      <c r="AG146" s="35" t="n">
        <f aca="false">$AA146*Holdings!V25</f>
        <v>0</v>
      </c>
      <c r="AH146" s="35" t="n">
        <f aca="false">$AA146*Holdings!W25</f>
        <v>0</v>
      </c>
      <c r="AI146" s="35" t="n">
        <f aca="false">$AA146*Holdings!X25</f>
        <v>42.43</v>
      </c>
      <c r="AJ146" s="35" t="n">
        <f aca="false">$AA146*Holdings!Y25</f>
        <v>0</v>
      </c>
      <c r="AK146" s="35" t="n">
        <f aca="false">$AA146*Holdings!Z25</f>
        <v>0</v>
      </c>
      <c r="AL146" s="35" t="n">
        <f aca="false">$AA146*Holdings!AA25</f>
        <v>33.46</v>
      </c>
      <c r="AM146" s="35" t="n">
        <f aca="false">$AA146*Holdings!AB25</f>
        <v>0</v>
      </c>
      <c r="AN146" s="35" t="n">
        <f aca="false">$AA146*Holdings!AC25</f>
        <v>39.12</v>
      </c>
      <c r="AO146" s="43" t="n">
        <f aca="false">MIN(1,$CD$137+0.5*G146)</f>
        <v>1</v>
      </c>
      <c r="AP146" s="35" t="n">
        <f aca="false">p_liq_on*Inputs_Banks!$AP25*AO146*p_mb_psi</f>
        <v>1.674</v>
      </c>
      <c r="AQ146" s="44" t="n">
        <f aca="false">MAX(F146,E146,W146*(1-p_cb_on))</f>
        <v>1</v>
      </c>
      <c r="AR146" s="35" t="n">
        <f aca="false">p_ib_on*p_lgd_ib*g_s_in*g_u_ib*SUMPRODUCT(Network!V$6:V$29,$AQ$127:$AQ$150)</f>
        <v>9.81310841621088</v>
      </c>
      <c r="AS146" s="35" t="n">
        <f aca="false">p_sw_M1*(SUMPRODUCT(BDC_EAD!V$106:V$127,$BF$127:$BF$148)+SUMPRODUCT(BDC_EAD!V$131:V$152,$BG$127:$BG$148)+(Inputs_Banks!$Y25+p_ccf_bl*Inputs_Banks!$Z25)*$CD$150+Modules!$E25)</f>
        <v>28.8226410800686</v>
      </c>
      <c r="AT146" s="35" t="n">
        <f aca="false">p_sw_M3*(Inputs_Banks!$U25+p_ccf_abf*Inputs_Banks!$V25)*$CD$151</f>
        <v>0</v>
      </c>
      <c r="AU146" s="35" t="n">
        <f aca="false">p_sw_M10*Inputs_Banks!$AC25*$CD$152</f>
        <v>0</v>
      </c>
      <c r="AV146" s="35" t="n">
        <f aca="false">p_sw_M8*(Modules!$M25+Modules!$N25*IF(p_liq_on&gt;0,X146,p_htm_forced))</f>
        <v>7.68041297429432</v>
      </c>
      <c r="AW146" s="35" t="n">
        <f aca="false">SUMPRODUCT(Holdings!$C25:$O25,Holdings!$C$32:$O$32,$AB$152:$AN$152)+Inputs_Banks!$P25*$AL$152</f>
        <v>22.2442070071431</v>
      </c>
      <c r="AX146" s="35" t="n">
        <f aca="false">Modules!$T25+AS146+AT146+AU146+AV146+AW146+AR146</f>
        <v>97.3022906701138</v>
      </c>
      <c r="AY146" s="35" t="n">
        <f aca="false">Modules!$U25-(1-p_tax)*AX146</f>
        <v>2.33549298402798</v>
      </c>
      <c r="AZ146" s="39" t="n">
        <f aca="false">AY146/Modules!$V25</f>
        <v>0.00281267876952754</v>
      </c>
      <c r="BA146" s="48" t="s">
        <v>645</v>
      </c>
      <c r="BB146" s="43" t="n">
        <f aca="false">INDEX($BJ$127:$BJ$160,BDC_EAD!$B25)</f>
        <v>0.413355834314687</v>
      </c>
      <c r="BC146" s="43" t="n">
        <f aca="false">INDEX($BK$127:$BK$160,BDC_EAD!$B25)</f>
        <v>0.0626004241920387</v>
      </c>
      <c r="BD146" s="22" t="n">
        <f aca="false">INDEX(BDC!$Q$6:$Q$39,BDC_EAD!$B25)</f>
        <v>0.212552795031056</v>
      </c>
      <c r="BE146" s="43" t="n">
        <f aca="false">BB146*(1-$AK$152)-BC146-p_c_liq</f>
        <v>0.114745284681039</v>
      </c>
      <c r="BF146" s="43" t="n">
        <f aca="false">p_phi*MAX(0,p_a_spv-BE146)/p_a_spv+(1-p_phi)*MAX(0,p_a_spv-BB146)/p_a_spv</f>
        <v>0.750760864846045</v>
      </c>
      <c r="BG146" s="43" t="n">
        <f aca="false">IF(BD146&gt;0,p_phi*MAX(0,BD146-BE146)/BD146+(1-p_phi)*MAX(0,BD146-BB146)/BD146,0)</f>
        <v>0.368125049913274</v>
      </c>
      <c r="BI146" s="12" t="str">
        <f aca="false">BDC!$A$25</f>
        <v>ASCF</v>
      </c>
      <c r="BJ146" s="43" t="n">
        <f aca="false">1-((1-BDC!$D$25)*$CD$143+BDC!$D$25*$CD$144)-p_gap-$CD$133*(1-BDC!$M$25)</f>
        <v>0.410212404154075</v>
      </c>
      <c r="BK146" s="43" t="n">
        <f aca="false">(1-BDC!$D$25)*$CD$145+BDC!$D$25*$CD$146</f>
        <v>0.0620787797183972</v>
      </c>
      <c r="BL146" s="45" t="n">
        <f aca="false">BJ146/BDC!$K$25</f>
        <v>0.760821296593456</v>
      </c>
      <c r="BM146" s="35" t="n">
        <f aca="false">IF(BL146&lt;1.5,BDC!$C$25,0)</f>
        <v>4.62</v>
      </c>
      <c r="BN146" s="43" t="n">
        <f aca="false">MAX(0,1-BJ146*(1-CE_mig_hc)-p_bb_cush)*BDC!$Q$25</f>
        <v>0.164799096707034</v>
      </c>
      <c r="BO146" s="43" t="n">
        <f aca="false">MAX(0,BDC!$K$25-BJ146/1.5)</f>
        <v>0.265695570809726</v>
      </c>
      <c r="BP146" s="43" t="n">
        <f aca="false">MIN(MIN(1,BDC!$H$25*$CD$136),$CD$135)</f>
        <v>0.25</v>
      </c>
      <c r="BQ146" s="43" t="n">
        <f aca="false">BDC!$I$25*BDC!$J$25*BP146*(1-0.3)</f>
        <v>0.0806451612903226</v>
      </c>
      <c r="BR146" s="45" t="n">
        <f aca="false">BDC!$C$25*($CD$134*MAX(BN146,BO146)+BQ146)</f>
        <v>1.60009418230222</v>
      </c>
      <c r="CC146" s="10" t="s">
        <v>991</v>
      </c>
      <c r="CD146" s="43" t="n">
        <f aca="false">(1-$CD$142)*($CD$132+p_ds_sw)/10000*g_dur_s</f>
        <v>0.0317861399276465</v>
      </c>
    </row>
    <row r="147" customFormat="false" ht="15" hidden="false" customHeight="true" outlineLevel="0" collapsed="false">
      <c r="A147" s="10" t="s">
        <v>537</v>
      </c>
      <c r="B147" s="35" t="n">
        <f aca="false">AY107</f>
        <v>31.5148936903485</v>
      </c>
      <c r="C147" s="39" t="n">
        <f aca="false">AZ107</f>
        <v>0.0464615466873585</v>
      </c>
      <c r="D147" s="44" t="n">
        <f aca="false">IF(C147&lt;Inputs_Banks!$I26,1,0)</f>
        <v>1</v>
      </c>
      <c r="E147" s="44" t="n">
        <f aca="false">IF(C147&lt;0.045,1,0)</f>
        <v>0</v>
      </c>
      <c r="F147" s="44" t="n">
        <f aca="false">IF(B147&lt;0,1,0)</f>
        <v>0</v>
      </c>
      <c r="G147" s="44" t="n">
        <f aca="false">MIN(6,MIN(3,INT(MAX(0,Inputs_Banks!$BA26-C147)/p_notch_step))+D147+2*E147)</f>
        <v>4</v>
      </c>
      <c r="H147" s="39" t="n">
        <f aca="false">C147-Inputs_Banks!$I26</f>
        <v>-0.0352384533126415</v>
      </c>
      <c r="I147" s="44" t="n">
        <f aca="false">RANK(H147,$H$127:$H$150,1)</f>
        <v>19</v>
      </c>
      <c r="J147" s="44" t="n">
        <f aca="false">MAX(IF(I147&lt;=g_n_weak,1,0),E147)</f>
        <v>0</v>
      </c>
      <c r="K147" s="44" t="n">
        <f aca="false">IF(I147&gt;12,1,0)*(1-E147)</f>
        <v>1</v>
      </c>
      <c r="L147" s="35" t="n">
        <f aca="false">INDEX(Inputs_Banks!$AR26:$AX26,1,G147+1)</f>
        <v>2.38995739499416</v>
      </c>
      <c r="M147" s="35" t="n">
        <f aca="false">Inputs_Banks!$AI26*MIN(1,p_u_base+$CD$130*p_u_pan_all+J147*($CD$130*p_u_pan_weak+p_u_mda*D147)+p_u_notch*G147+p_u_fail*E147)</f>
        <v>179.605346842138</v>
      </c>
      <c r="N147" s="35" t="n">
        <f aca="false">Inputs_Banks!$AK26*MIN(1,p_w_base+p_w_pan*$CD$130+p_w_notch*G147+0.5*D147+1*E147)</f>
        <v>142.213430908308</v>
      </c>
      <c r="O147" s="35" t="n">
        <f aca="false">Inputs_Banks!$AO26*MIN(1,p_cp_base+p_cp_pan*$CD$130+p_cp_notch*G147)</f>
        <v>24.02</v>
      </c>
      <c r="P147" s="35" t="n">
        <f aca="false">Inputs_Banks!$AN26*(p_dh+p_dh_pan*$CD$130+MIN(1,0.5*$CD$137+0.25*G147))</f>
        <v>30.3571427289411</v>
      </c>
      <c r="Q147" s="35" t="n">
        <f aca="false">Modules!$Y26</f>
        <v>5.08130839142734</v>
      </c>
      <c r="R147" s="35" t="n">
        <f aca="false">Inputs_Banks!$AJ26*K147</f>
        <v>1241.80817292909</v>
      </c>
      <c r="S147" s="35" t="n">
        <f aca="false">p_liq_on*$CD$138*SUM($M$127:$M$150)*R147/MAX(0.000000001,SUM($R$127:$R$150))</f>
        <v>257.154626289013</v>
      </c>
      <c r="T147" s="35" t="n">
        <f aca="false">p_liq_on*(L147+M147+N147+O147+P147+Q147)</f>
        <v>383.667186265808</v>
      </c>
      <c r="U147" s="35" t="n">
        <f aca="false">g_usable*Inputs_Banks!$AG26+p_cb_on*Inputs_Banks!$AQ26+S147</f>
        <v>914.392909912406</v>
      </c>
      <c r="V147" s="35" t="n">
        <f aca="false">MAX(0,T147-U147)</f>
        <v>0</v>
      </c>
      <c r="W147" s="44" t="n">
        <f aca="false">IF(V147&gt;0.9*Inputs_Banks!$BB26,1,0)</f>
        <v>0</v>
      </c>
      <c r="X147" s="43" t="n">
        <f aca="false">MAX(p_htm_forced,(1-p_cb_on)*MIN(1,T147/Inputs_Banks!$AG26)*g_theta_sell)</f>
        <v>0.160533065179075</v>
      </c>
      <c r="Y147" s="35" t="n">
        <f aca="false">MAX(0,Modules!$V26-B147/(Inputs_Banks!$I26+g_del_buf))</f>
        <v>314.806988410184</v>
      </c>
      <c r="Z147" s="35" t="n">
        <f aca="false">MIN(g_del_cap*Inputs_Banks!$BB26,Y147)</f>
        <v>9.4025</v>
      </c>
      <c r="AA147" s="35" t="n">
        <f aca="false">MIN(Inputs_Banks!$BB26,V147+Z147)</f>
        <v>9.4025</v>
      </c>
      <c r="AB147" s="35" t="n">
        <f aca="false">$AA147*Holdings!Q26</f>
        <v>0</v>
      </c>
      <c r="AC147" s="35" t="n">
        <f aca="false">$AA147*Holdings!R26</f>
        <v>0</v>
      </c>
      <c r="AD147" s="35" t="n">
        <f aca="false">$AA147*Holdings!S26</f>
        <v>0</v>
      </c>
      <c r="AE147" s="35" t="n">
        <f aca="false">$AA147*Holdings!T26</f>
        <v>0</v>
      </c>
      <c r="AF147" s="35" t="n">
        <f aca="false">$AA147*Holdings!U26</f>
        <v>0.78</v>
      </c>
      <c r="AG147" s="35" t="n">
        <f aca="false">$AA147*Holdings!V26</f>
        <v>0</v>
      </c>
      <c r="AH147" s="35" t="n">
        <f aca="false">$AA147*Holdings!W26</f>
        <v>0</v>
      </c>
      <c r="AI147" s="35" t="n">
        <f aca="false">$AA147*Holdings!X26</f>
        <v>0</v>
      </c>
      <c r="AJ147" s="35" t="n">
        <f aca="false">$AA147*Holdings!Y26</f>
        <v>0</v>
      </c>
      <c r="AK147" s="35" t="n">
        <f aca="false">$AA147*Holdings!Z26</f>
        <v>0</v>
      </c>
      <c r="AL147" s="35" t="n">
        <f aca="false">$AA147*Holdings!AA26</f>
        <v>0.6375</v>
      </c>
      <c r="AM147" s="35" t="n">
        <f aca="false">$AA147*Holdings!AB26</f>
        <v>0</v>
      </c>
      <c r="AN147" s="35" t="n">
        <f aca="false">$AA147*Holdings!AC26</f>
        <v>7.985</v>
      </c>
      <c r="AO147" s="43" t="n">
        <f aca="false">MIN(1,$CD$137+0.5*G147)</f>
        <v>1</v>
      </c>
      <c r="AP147" s="35" t="n">
        <f aca="false">p_liq_on*Inputs_Banks!$AP26*AO147*p_mb_psi</f>
        <v>0.468</v>
      </c>
      <c r="AQ147" s="44" t="n">
        <f aca="false">MAX(F147,E147,W147*(1-p_cb_on))</f>
        <v>0</v>
      </c>
      <c r="AR147" s="35" t="n">
        <f aca="false">p_ib_on*p_lgd_ib*g_s_in*g_u_ib*SUMPRODUCT(Network!W$6:W$29,$AQ$127:$AQ$150)</f>
        <v>12.0727499706953</v>
      </c>
      <c r="AS147" s="35" t="n">
        <f aca="false">p_sw_M1*(SUMPRODUCT(BDC_EAD!W$106:W$127,$BF$127:$BF$148)+SUMPRODUCT(BDC_EAD!W$131:W$152,$BG$127:$BG$148)+(Inputs_Banks!$Y26+p_ccf_bl*Inputs_Banks!$Z26)*$CD$150+Modules!$E26)</f>
        <v>7.70107823629907</v>
      </c>
      <c r="AT147" s="35" t="n">
        <f aca="false">p_sw_M3*(Inputs_Banks!$U26+p_ccf_abf*Inputs_Banks!$V26)*$CD$151</f>
        <v>0</v>
      </c>
      <c r="AU147" s="35" t="n">
        <f aca="false">p_sw_M10*Inputs_Banks!$AC26*$CD$152</f>
        <v>0</v>
      </c>
      <c r="AV147" s="35" t="n">
        <f aca="false">p_sw_M8*(Modules!$M26+Modules!$N26*IF(p_liq_on&gt;0,X147,p_htm_forced))</f>
        <v>2.24642856226028</v>
      </c>
      <c r="AW147" s="35" t="n">
        <f aca="false">SUMPRODUCT(Holdings!$C26:$O26,Holdings!$C$32:$O$32,$AB$152:$AN$152)+Inputs_Banks!$P26*$AL$152</f>
        <v>9.8988542345359</v>
      </c>
      <c r="AX147" s="35" t="n">
        <f aca="false">Modules!$T26+AS147+AT147+AU147+AV147+AW147+AR147</f>
        <v>47.8996942812661</v>
      </c>
      <c r="AY147" s="35" t="n">
        <f aca="false">Modules!$U26-(1-p_tax)*AX147</f>
        <v>31.4382369652748</v>
      </c>
      <c r="AZ147" s="39" t="n">
        <f aca="false">AY147/Modules!$V26</f>
        <v>0.0463485337720714</v>
      </c>
      <c r="BA147" s="48" t="s">
        <v>639</v>
      </c>
      <c r="BB147" s="43" t="n">
        <f aca="false">INDEX($BJ$127:$BJ$160,BDC_EAD!$B26)</f>
        <v>0.261914595446638</v>
      </c>
      <c r="BC147" s="43" t="n">
        <f aca="false">INDEX($BK$127:$BK$160,BDC_EAD!$B26)</f>
        <v>0.0568250746624368</v>
      </c>
      <c r="BD147" s="22" t="n">
        <f aca="false">INDEX(BDC!$Q$6:$Q$39,BDC_EAD!$B26)</f>
        <v>0.310820512820513</v>
      </c>
      <c r="BE147" s="43" t="n">
        <f aca="false">BB147*(1-$AK$152)-BC147-p_c_liq</f>
        <v>0.0372279528332139</v>
      </c>
      <c r="BF147" s="43" t="n">
        <f aca="false">p_phi*MAX(0,p_a_spv-BE147)/p_a_spv+(1-p_phi)*MAX(0,p_a_spv-BB147)/p_a_spv</f>
        <v>0.882621026634431</v>
      </c>
      <c r="BG147" s="43" t="n">
        <f aca="false">IF(BD147&gt;0,p_phi*MAX(0,BD147-BE147)/BD147+(1-p_phi)*MAX(0,BD147-BB147)/BD147,0)</f>
        <v>0.735650389962049</v>
      </c>
      <c r="BI147" s="12" t="str">
        <f aca="false">BDC!$A$26</f>
        <v>HTGC</v>
      </c>
      <c r="BJ147" s="43" t="n">
        <f aca="false">1-((1-BDC!$D$26)*$CD$143+BDC!$D$26*$CD$144)-p_gap-$CD$133*(1-BDC!$M$26)</f>
        <v>0.49422228775433</v>
      </c>
      <c r="BK147" s="43" t="n">
        <f aca="false">(1-BDC!$D$26)*$CD$145+BDC!$D$26*$CD$146</f>
        <v>0.0568250746624368</v>
      </c>
      <c r="BL147" s="45" t="n">
        <f aca="false">BJ147/BDC!$K$26</f>
        <v>0.974049751593485</v>
      </c>
      <c r="BM147" s="35" t="n">
        <f aca="false">IF(BL147&lt;1.5,BDC!$C$26,0)</f>
        <v>4.58</v>
      </c>
      <c r="BN147" s="43" t="n">
        <f aca="false">MAX(0,1-BJ147*(1-CE_mig_hc)-p_bb_cush)*BDC!$Q$26</f>
        <v>0.136448855252561</v>
      </c>
      <c r="BO147" s="43" t="n">
        <f aca="false">MAX(0,BDC!$K$26-BJ147/1.5)</f>
        <v>0.177907637392023</v>
      </c>
      <c r="BP147" s="43" t="n">
        <f aca="false">MIN(MIN(1,BDC!$H$26*$CD$136),$CD$135)</f>
        <v>0</v>
      </c>
      <c r="BQ147" s="43" t="n">
        <f aca="false">BDC!$I$26*BDC!$J$26*BP147*(1-0.3)</f>
        <v>0</v>
      </c>
      <c r="BR147" s="45" t="n">
        <f aca="false">BDC!$C$26*($CD$134*MAX(BN147,BO147)+BQ147)</f>
        <v>0.814816979255466</v>
      </c>
      <c r="CC147" s="10" t="s">
        <v>992</v>
      </c>
      <c r="CD147" s="43" t="n">
        <f aca="false">1-((1-CE_sw_sys)*$CD$143+CE_sw_sys*$CD$144)-p_gap-$CD$133*(1-CE_mk_sys)</f>
        <v>0.408146622487016</v>
      </c>
    </row>
    <row r="148" customFormat="false" ht="15" hidden="false" customHeight="true" outlineLevel="0" collapsed="false">
      <c r="A148" s="10" t="s">
        <v>538</v>
      </c>
      <c r="B148" s="35" t="n">
        <f aca="false">AY108</f>
        <v>37.3401194889872</v>
      </c>
      <c r="C148" s="39" t="n">
        <f aca="false">AZ108</f>
        <v>0.0683840792474054</v>
      </c>
      <c r="D148" s="44" t="n">
        <f aca="false">IF(C148&lt;Inputs_Banks!$I27,1,0)</f>
        <v>1</v>
      </c>
      <c r="E148" s="44" t="n">
        <f aca="false">IF(C148&lt;0.045,1,0)</f>
        <v>0</v>
      </c>
      <c r="F148" s="44" t="n">
        <f aca="false">IF(B148&lt;0,1,0)</f>
        <v>0</v>
      </c>
      <c r="G148" s="44" t="n">
        <f aca="false">MIN(6,MIN(3,INT(MAX(0,Inputs_Banks!$BA27-C148)/p_notch_step))+D148+2*E148)</f>
        <v>3</v>
      </c>
      <c r="H148" s="39" t="n">
        <f aca="false">C148-Inputs_Banks!$I27</f>
        <v>-0.0129159207525946</v>
      </c>
      <c r="I148" s="44" t="n">
        <f aca="false">RANK(H148,$H$127:$H$150,1)</f>
        <v>22</v>
      </c>
      <c r="J148" s="44" t="n">
        <f aca="false">MAX(IF(I148&lt;=g_n_weak,1,0),E148)</f>
        <v>0</v>
      </c>
      <c r="K148" s="44" t="n">
        <f aca="false">IF(I148&gt;12,1,0)*(1-E148)</f>
        <v>1</v>
      </c>
      <c r="L148" s="35" t="n">
        <f aca="false">INDEX(Inputs_Banks!$AR27:$AX27,1,G148+1)</f>
        <v>1.75265973802349</v>
      </c>
      <c r="M148" s="35" t="n">
        <f aca="false">Inputs_Banks!$AI27*MIN(1,p_u_base+$CD$130*p_u_pan_all+J148*($CD$130*p_u_pan_weak+p_u_mda*D148)+p_u_notch*G148+p_u_fail*E148)</f>
        <v>150.345736670561</v>
      </c>
      <c r="N148" s="35" t="n">
        <f aca="false">Inputs_Banks!$AK27*MIN(1,p_w_base+p_w_pan*$CD$130+p_w_notch*G148+0.5*D148+1*E148)</f>
        <v>37.6025029210996</v>
      </c>
      <c r="O148" s="35" t="n">
        <f aca="false">Inputs_Banks!$AO27*MIN(1,p_cp_base+p_cp_pan*$CD$130+p_cp_notch*G148)</f>
        <v>15.5</v>
      </c>
      <c r="P148" s="35" t="n">
        <f aca="false">Inputs_Banks!$AN27*(p_dh+p_dh_pan*$CD$130+MIN(1,0.5*$CD$137+0.25*G148))</f>
        <v>71.2624542599161</v>
      </c>
      <c r="Q148" s="35" t="n">
        <f aca="false">Modules!$Y27</f>
        <v>8.4308773</v>
      </c>
      <c r="R148" s="35" t="n">
        <f aca="false">Inputs_Banks!$AJ27*K148</f>
        <v>1101.02948773138</v>
      </c>
      <c r="S148" s="35" t="n">
        <f aca="false">p_liq_on*$CD$138*SUM($M$127:$M$150)*R148/MAX(0.000000001,SUM($R$127:$R$150))</f>
        <v>228.002063944311</v>
      </c>
      <c r="T148" s="35" t="n">
        <f aca="false">p_liq_on*(L148+M148+N148+O148+P148+Q148)</f>
        <v>284.894230889601</v>
      </c>
      <c r="U148" s="35" t="n">
        <f aca="false">g_usable*Inputs_Banks!$AG27+p_cb_on*Inputs_Banks!$AQ27+S148</f>
        <v>781.793806764555</v>
      </c>
      <c r="V148" s="35" t="n">
        <f aca="false">MAX(0,T148-U148)</f>
        <v>0</v>
      </c>
      <c r="W148" s="44" t="n">
        <f aca="false">IF(V148&gt;0.9*Inputs_Banks!$BB27,1,0)</f>
        <v>0</v>
      </c>
      <c r="X148" s="43" t="n">
        <f aca="false">MAX(p_htm_forced,(1-p_cb_on)*MIN(1,T148/Inputs_Banks!$AG27)*g_theta_sell)</f>
        <v>0.141471797856095</v>
      </c>
      <c r="Y148" s="35" t="n">
        <f aca="false">MAX(0,Modules!$V27-B148/(Inputs_Banks!$I27+g_del_buf))</f>
        <v>113.357180852337</v>
      </c>
      <c r="Z148" s="35" t="n">
        <f aca="false">MIN(g_del_cap*Inputs_Banks!$BB27,Y148)</f>
        <v>12.31</v>
      </c>
      <c r="AA148" s="35" t="n">
        <f aca="false">MIN(Inputs_Banks!$BB27,V148+Z148)</f>
        <v>12.31</v>
      </c>
      <c r="AB148" s="35" t="n">
        <f aca="false">$AA148*Holdings!Q27</f>
        <v>0</v>
      </c>
      <c r="AC148" s="35" t="n">
        <f aca="false">$AA148*Holdings!R27</f>
        <v>0</v>
      </c>
      <c r="AD148" s="35" t="n">
        <f aca="false">$AA148*Holdings!S27</f>
        <v>0</v>
      </c>
      <c r="AE148" s="35" t="n">
        <f aca="false">$AA148*Holdings!T27</f>
        <v>0</v>
      </c>
      <c r="AF148" s="35" t="n">
        <f aca="false">$AA148*Holdings!U27</f>
        <v>0</v>
      </c>
      <c r="AG148" s="35" t="n">
        <f aca="false">$AA148*Holdings!V27</f>
        <v>0</v>
      </c>
      <c r="AH148" s="35" t="n">
        <f aca="false">$AA148*Holdings!W27</f>
        <v>0</v>
      </c>
      <c r="AI148" s="35" t="n">
        <f aca="false">$AA148*Holdings!X27</f>
        <v>0</v>
      </c>
      <c r="AJ148" s="35" t="n">
        <f aca="false">$AA148*Holdings!Y27</f>
        <v>0</v>
      </c>
      <c r="AK148" s="35" t="n">
        <f aca="false">$AA148*Holdings!Z27</f>
        <v>0</v>
      </c>
      <c r="AL148" s="35" t="n">
        <f aca="false">$AA148*Holdings!AA27</f>
        <v>0</v>
      </c>
      <c r="AM148" s="35" t="n">
        <f aca="false">$AA148*Holdings!AB27</f>
        <v>0</v>
      </c>
      <c r="AN148" s="35" t="n">
        <f aca="false">$AA148*Holdings!AC27</f>
        <v>12.31</v>
      </c>
      <c r="AO148" s="43" t="n">
        <f aca="false">MIN(1,$CD$137+0.5*G148)</f>
        <v>1</v>
      </c>
      <c r="AP148" s="35" t="n">
        <f aca="false">p_liq_on*Inputs_Banks!$AP27*AO148*p_mb_psi</f>
        <v>4.374</v>
      </c>
      <c r="AQ148" s="44" t="n">
        <f aca="false">MAX(F148,E148,W148*(1-p_cb_on))</f>
        <v>0</v>
      </c>
      <c r="AR148" s="35" t="n">
        <f aca="false">p_ib_on*p_lgd_ib*g_s_in*g_u_ib*SUMPRODUCT(Network!X$6:X$29,$AQ$127:$AQ$150)</f>
        <v>3.61209531474899</v>
      </c>
      <c r="AS148" s="35" t="n">
        <f aca="false">p_sw_M1*(SUMPRODUCT(BDC_EAD!X$106:X$127,$BF$127:$BF$148)+SUMPRODUCT(BDC_EAD!X$131:X$152,$BG$127:$BG$148)+(Inputs_Banks!$Y27+p_ccf_bl*Inputs_Banks!$Z27)*$CD$150+Modules!$E27)</f>
        <v>7.83931301052684</v>
      </c>
      <c r="AT148" s="35" t="n">
        <f aca="false">p_sw_M3*(Inputs_Banks!$U27+p_ccf_abf*Inputs_Banks!$V27)*$CD$151</f>
        <v>0</v>
      </c>
      <c r="AU148" s="35" t="n">
        <f aca="false">p_sw_M10*Inputs_Banks!$AC27*$CD$152</f>
        <v>0</v>
      </c>
      <c r="AV148" s="35" t="n">
        <f aca="false">p_sw_M8*(Modules!$M27+Modules!$N27*IF(p_liq_on&gt;0,X148,p_htm_forced))</f>
        <v>1.7060801035343</v>
      </c>
      <c r="AW148" s="35" t="n">
        <f aca="false">SUMPRODUCT(Holdings!$C27:$O27,Holdings!$C$32:$O$32,$AB$152:$AN$152)+Inputs_Banks!$P27*$AL$152</f>
        <v>7.97620246435341</v>
      </c>
      <c r="AX148" s="35" t="n">
        <f aca="false">Modules!$T27+AS148+AT148+AU148+AV148+AW148+AR148</f>
        <v>30.9828618774724</v>
      </c>
      <c r="AY148" s="35" t="n">
        <f aca="false">Modules!$U27-(1-p_tax)*AX148</f>
        <v>37.3401194889872</v>
      </c>
      <c r="AZ148" s="39" t="n">
        <f aca="false">AY148/Modules!$V27</f>
        <v>0.0683840792474054</v>
      </c>
      <c r="BA148" s="48" t="s">
        <v>653</v>
      </c>
      <c r="BB148" s="43" t="n">
        <f aca="false">INDEX($BJ$127:$BJ$160,BDC_EAD!$B27)</f>
        <v>0.525207527908933</v>
      </c>
      <c r="BC148" s="43" t="n">
        <f aca="false">INDEX($BK$127:$BK$160,BDC_EAD!$B27)</f>
        <v>0.0619669987597598</v>
      </c>
      <c r="BD148" s="22" t="n">
        <f aca="false">INDEX(BDC!$Q$6:$Q$39,BDC_EAD!$B27)</f>
        <v>0.118607929515418</v>
      </c>
      <c r="BE148" s="43" t="n">
        <f aca="false">BB148*(1-$AK$152)-BC148-p_c_liq</f>
        <v>0.176897141590153</v>
      </c>
      <c r="BF148" s="43" t="n">
        <f aca="false">p_phi*MAX(0,p_a_spv-BE148)/p_a_spv+(1-p_phi)*MAX(0,p_a_spv-BB148)/p_a_spv</f>
        <v>0.647772544494415</v>
      </c>
      <c r="BG148" s="43" t="n">
        <f aca="false">IF(BD148&gt;0,p_phi*MAX(0,BD148-BE148)/BD148+(1-p_phi)*MAX(0,BD148-BB148)/BD148,0)</f>
        <v>0</v>
      </c>
      <c r="BI148" s="12" t="str">
        <f aca="false">BDC!$A$27</f>
        <v>MSDL</v>
      </c>
      <c r="BJ148" s="43" t="n">
        <f aca="false">1-((1-BDC!$D$27)*$CD$143+BDC!$D$27*$CD$144)-p_gap-$CD$133*(1-BDC!$M$27)</f>
        <v>0.363449670124075</v>
      </c>
      <c r="BK148" s="43" t="n">
        <f aca="false">(1-BDC!$D$27)*$CD$145+BDC!$D$27*$CD$146</f>
        <v>0.0611472717297517</v>
      </c>
      <c r="BL148" s="45" t="n">
        <f aca="false">BJ148/BDC!$K$27</f>
        <v>0.666324395227472</v>
      </c>
      <c r="BM148" s="35" t="n">
        <f aca="false">IF(BL148&lt;1.5,BDC!$C$27,0)</f>
        <v>3.55</v>
      </c>
      <c r="BN148" s="43" t="n">
        <f aca="false">MAX(0,1-BJ148*(1-CE_mig_hc)-p_bb_cush)*BDC!$Q$27</f>
        <v>0.155815521691545</v>
      </c>
      <c r="BO148" s="43" t="n">
        <f aca="false">MAX(0,BDC!$K$27-BJ148/1.5)</f>
        <v>0.303154765371829</v>
      </c>
      <c r="BP148" s="43" t="n">
        <f aca="false">MIN(MIN(1,BDC!$H$27*$CD$136),$CD$135)</f>
        <v>0</v>
      </c>
      <c r="BQ148" s="43" t="n">
        <f aca="false">BDC!$I$27*BDC!$J$27*BP148*(1-0.3)</f>
        <v>0</v>
      </c>
      <c r="BR148" s="45" t="n">
        <f aca="false">BDC!$C$27*($CD$134*MAX(BN148,BO148)+BQ148)</f>
        <v>1.07619941706999</v>
      </c>
      <c r="CC148" s="10" t="s">
        <v>845</v>
      </c>
      <c r="CD148" s="43" t="n">
        <f aca="false">(1-CE_sw_sys)*$CD$145+CE_sw_sys*$CD$146</f>
        <v>0.0617359683514154</v>
      </c>
    </row>
    <row r="149" customFormat="false" ht="15" hidden="false" customHeight="true" outlineLevel="0" collapsed="false">
      <c r="A149" s="10" t="s">
        <v>540</v>
      </c>
      <c r="B149" s="35" t="n">
        <f aca="false">AY109</f>
        <v>33.2268270772335</v>
      </c>
      <c r="C149" s="39" t="n">
        <f aca="false">AZ109</f>
        <v>0.0561728885356686</v>
      </c>
      <c r="D149" s="44" t="n">
        <f aca="false">IF(C149&lt;Inputs_Banks!$I28,1,0)</f>
        <v>1</v>
      </c>
      <c r="E149" s="44" t="n">
        <f aca="false">IF(C149&lt;0.045,1,0)</f>
        <v>0</v>
      </c>
      <c r="F149" s="44" t="n">
        <f aca="false">IF(B149&lt;0,1,0)</f>
        <v>0</v>
      </c>
      <c r="G149" s="44" t="n">
        <f aca="false">MIN(6,MIN(3,INT(MAX(0,Inputs_Banks!$BA28-C149)/p_notch_step))+D149+2*E149)</f>
        <v>4</v>
      </c>
      <c r="H149" s="39" t="n">
        <f aca="false">C149-Inputs_Banks!$I28</f>
        <v>-0.0548271114643314</v>
      </c>
      <c r="I149" s="44" t="n">
        <f aca="false">RANK(H149,$H$127:$H$150,1)</f>
        <v>14</v>
      </c>
      <c r="J149" s="44" t="n">
        <f aca="false">MAX(IF(I149&lt;=g_n_weak,1,0),E149)</f>
        <v>0</v>
      </c>
      <c r="K149" s="44" t="n">
        <f aca="false">IF(I149&gt;12,1,0)*(1-E149)</f>
        <v>1</v>
      </c>
      <c r="L149" s="35" t="n">
        <f aca="false">INDEX(Inputs_Banks!$AR28:$AX28,1,G149+1)</f>
        <v>1.06969376979937</v>
      </c>
      <c r="M149" s="35" t="n">
        <f aca="false">Inputs_Banks!$AI28*MIN(1,p_u_base+$CD$130*p_u_pan_all+J149*($CD$130*p_u_pan_weak+p_u_mda*D149)+p_u_notch*G149+p_u_fail*E149)</f>
        <v>118.306518831397</v>
      </c>
      <c r="N149" s="35" t="n">
        <f aca="false">Inputs_Banks!$AK28*MIN(1,p_w_base+p_w_pan*$CD$130+p_w_notch*G149+0.5*D149+1*E149)</f>
        <v>111.12284406899</v>
      </c>
      <c r="O149" s="35" t="n">
        <f aca="false">Inputs_Banks!$AO28*MIN(1,p_cp_base+p_cp_pan*$CD$130+p_cp_notch*G149)</f>
        <v>38.53</v>
      </c>
      <c r="P149" s="35" t="n">
        <f aca="false">Inputs_Banks!$AN28*(p_dh+p_dh_pan*$CD$130+MIN(1,0.5*$CD$137+0.25*G149))</f>
        <v>88.8900335264263</v>
      </c>
      <c r="Q149" s="35" t="n">
        <f aca="false">Modules!$Y28</f>
        <v>3.6692462</v>
      </c>
      <c r="R149" s="35" t="n">
        <f aca="false">Inputs_Banks!$AJ28*K149</f>
        <v>1157.74234424498</v>
      </c>
      <c r="S149" s="35" t="n">
        <f aca="false">p_liq_on*$CD$138*SUM($M$127:$M$150)*R149/MAX(0.000000001,SUM($R$127:$R$150))</f>
        <v>239.746207476671</v>
      </c>
      <c r="T149" s="35" t="n">
        <f aca="false">p_liq_on*(L149+M149+N149+O149+P149+Q149)</f>
        <v>361.588336396613</v>
      </c>
      <c r="U149" s="35" t="n">
        <f aca="false">g_usable*Inputs_Banks!$AG28+p_cb_on*Inputs_Banks!$AQ28+S149</f>
        <v>751.261061401345</v>
      </c>
      <c r="V149" s="35" t="n">
        <f aca="false">MAX(0,T149-U149)</f>
        <v>0</v>
      </c>
      <c r="W149" s="44" t="n">
        <f aca="false">IF(V149&gt;0.9*Inputs_Banks!$BB28,1,0)</f>
        <v>0</v>
      </c>
      <c r="X149" s="43" t="n">
        <f aca="false">MAX(p_htm_forced,(1-p_cb_on)*MIN(1,T149/Inputs_Banks!$AG28)*g_theta_sell)</f>
        <v>0.25</v>
      </c>
      <c r="Y149" s="35" t="n">
        <f aca="false">MAX(0,Modules!$V28-B149/(Inputs_Banks!$I28+g_del_buf))</f>
        <v>305.071867220077</v>
      </c>
      <c r="Z149" s="35" t="n">
        <f aca="false">MIN(g_del_cap*Inputs_Banks!$BB28,Y149)</f>
        <v>33.855</v>
      </c>
      <c r="AA149" s="35" t="n">
        <f aca="false">MIN(Inputs_Banks!$BB28,V149+Z149)</f>
        <v>33.855</v>
      </c>
      <c r="AB149" s="35" t="n">
        <f aca="false">$AA149*Holdings!Q28</f>
        <v>0</v>
      </c>
      <c r="AC149" s="35" t="n">
        <f aca="false">$AA149*Holdings!R28</f>
        <v>0</v>
      </c>
      <c r="AD149" s="35" t="n">
        <f aca="false">$AA149*Holdings!S28</f>
        <v>0</v>
      </c>
      <c r="AE149" s="35" t="n">
        <f aca="false">$AA149*Holdings!T28</f>
        <v>0</v>
      </c>
      <c r="AF149" s="35" t="n">
        <f aca="false">$AA149*Holdings!U28</f>
        <v>13.575</v>
      </c>
      <c r="AG149" s="35" t="n">
        <f aca="false">$AA149*Holdings!V28</f>
        <v>0.3625</v>
      </c>
      <c r="AH149" s="35" t="n">
        <f aca="false">$AA149*Holdings!W28</f>
        <v>0</v>
      </c>
      <c r="AI149" s="35" t="n">
        <f aca="false">$AA149*Holdings!X28</f>
        <v>0</v>
      </c>
      <c r="AJ149" s="35" t="n">
        <f aca="false">$AA149*Holdings!Y28</f>
        <v>2.83</v>
      </c>
      <c r="AK149" s="35" t="n">
        <f aca="false">$AA149*Holdings!Z28</f>
        <v>0</v>
      </c>
      <c r="AL149" s="35" t="n">
        <f aca="false">$AA149*Holdings!AA28</f>
        <v>17.0875</v>
      </c>
      <c r="AM149" s="35" t="n">
        <f aca="false">$AA149*Holdings!AB28</f>
        <v>0</v>
      </c>
      <c r="AN149" s="35" t="n">
        <f aca="false">$AA149*Holdings!AC28</f>
        <v>0</v>
      </c>
      <c r="AO149" s="43" t="n">
        <f aca="false">MIN(1,$CD$137+0.5*G149)</f>
        <v>1</v>
      </c>
      <c r="AP149" s="35" t="n">
        <f aca="false">p_liq_on*Inputs_Banks!$AP28*AO149*p_mb_psi</f>
        <v>1.278</v>
      </c>
      <c r="AQ149" s="44" t="n">
        <f aca="false">MAX(F149,E149,W149*(1-p_cb_on))</f>
        <v>0</v>
      </c>
      <c r="AR149" s="35" t="n">
        <f aca="false">p_ib_on*p_lgd_ib*g_s_in*g_u_ib*SUMPRODUCT(Network!Y$6:Y$29,$AQ$127:$AQ$150)</f>
        <v>4.28546748591128</v>
      </c>
      <c r="AS149" s="35" t="n">
        <f aca="false">p_sw_M1*(SUMPRODUCT(BDC_EAD!Y$106:Y$127,$BF$127:$BF$148)+SUMPRODUCT(BDC_EAD!Y$131:Y$152,$BG$127:$BG$148)+(Inputs_Banks!$Y28+p_ccf_bl*Inputs_Banks!$Z28)*$CD$150+Modules!$E28)</f>
        <v>9.5671959469054</v>
      </c>
      <c r="AT149" s="35" t="n">
        <f aca="false">p_sw_M3*(Inputs_Banks!$U28+p_ccf_abf*Inputs_Banks!$V28)*$CD$151</f>
        <v>7.41184916420829</v>
      </c>
      <c r="AU149" s="35" t="n">
        <f aca="false">p_sw_M10*Inputs_Banks!$AC28*$CD$152</f>
        <v>0</v>
      </c>
      <c r="AV149" s="35" t="n">
        <f aca="false">p_sw_M8*(Modules!$M28+Modules!$N28*IF(p_liq_on&gt;0,X149,p_htm_forced))</f>
        <v>4.53398609644492</v>
      </c>
      <c r="AW149" s="35" t="n">
        <f aca="false">SUMPRODUCT(Holdings!$C28:$O28,Holdings!$C$32:$O$32,$AB$152:$AN$152)+Inputs_Banks!$P28*$AL$152</f>
        <v>5.73840137991657</v>
      </c>
      <c r="AX149" s="35" t="n">
        <f aca="false">Modules!$T28+AS149+AT149+AU149+AV149+AW149+AR149</f>
        <v>40.6598325496584</v>
      </c>
      <c r="AY149" s="35" t="n">
        <f aca="false">Modules!$U28-(1-p_tax)*AX149</f>
        <v>33.2268270772335</v>
      </c>
      <c r="AZ149" s="39" t="n">
        <f aca="false">AY149/Modules!$V28</f>
        <v>0.0561728885356686</v>
      </c>
      <c r="BA149" s="44" t="n">
        <f aca="false">MAX(F149,E149)</f>
        <v>0</v>
      </c>
      <c r="BI149" s="12" t="str">
        <f aca="false">BDC!$A$28</f>
        <v>TSLX</v>
      </c>
      <c r="BJ149" s="43" t="n">
        <f aca="false">1-((1-BDC!$D$28)*$CD$143+BDC!$D$28*$CD$144)-p_gap-$CD$133*(1-BDC!$M$28)</f>
        <v>0.525207527908933</v>
      </c>
      <c r="BK149" s="43" t="n">
        <f aca="false">(1-BDC!$D$28)*$CD$145+BDC!$D$28*$CD$146</f>
        <v>0.0619669987597598</v>
      </c>
      <c r="BL149" s="45" t="n">
        <f aca="false">BJ149/BDC!$K$28</f>
        <v>0.938756762482896</v>
      </c>
      <c r="BM149" s="35" t="n">
        <f aca="false">IF(BL149&lt;1.5,BDC!$C$28,0)</f>
        <v>3.3</v>
      </c>
      <c r="BN149" s="43" t="n">
        <f aca="false">MAX(0,1-BJ149*(1-CE_mig_hc)-p_bb_cush)*BDC!$Q$28</f>
        <v>0.0605793713671617</v>
      </c>
      <c r="BO149" s="43" t="n">
        <f aca="false">MAX(0,BDC!$K$28-BJ149/1.5)</f>
        <v>0.209333013699478</v>
      </c>
      <c r="BP149" s="43" t="n">
        <f aca="false">MIN(MIN(1,BDC!$H$28*$CD$136),$CD$135)</f>
        <v>0</v>
      </c>
      <c r="BQ149" s="43" t="n">
        <f aca="false">BDC!$I$28*BDC!$J$28*BP149*(1-0.3)</f>
        <v>0</v>
      </c>
      <c r="BR149" s="45" t="n">
        <f aca="false">BDC!$C$28*($CD$134*MAX(BN149,BO149)+BQ149)</f>
        <v>0.690798945208277</v>
      </c>
      <c r="CC149" s="10" t="s">
        <v>993</v>
      </c>
      <c r="CD149" s="43" t="n">
        <f aca="false">$CD$147*(1-$AK$152)-$CD$148-p_c_liq</f>
        <v>0.112744674016444</v>
      </c>
    </row>
    <row r="150" customFormat="false" ht="15" hidden="false" customHeight="true" outlineLevel="0" collapsed="false">
      <c r="A150" s="10" t="s">
        <v>543</v>
      </c>
      <c r="B150" s="35" t="n">
        <f aca="false">AY110</f>
        <v>5.74718717276074</v>
      </c>
      <c r="C150" s="39" t="n">
        <f aca="false">AZ110</f>
        <v>0.0549360248218316</v>
      </c>
      <c r="D150" s="44" t="n">
        <f aca="false">IF(C150&lt;Inputs_Banks!$I29,1,0)</f>
        <v>1</v>
      </c>
      <c r="E150" s="44" t="n">
        <f aca="false">IF(C150&lt;0.045,1,0)</f>
        <v>0</v>
      </c>
      <c r="F150" s="44" t="n">
        <f aca="false">IF(B150&lt;0,1,0)</f>
        <v>0</v>
      </c>
      <c r="G150" s="44" t="n">
        <f aca="false">MIN(6,MIN(3,INT(MAX(0,Inputs_Banks!$BA29-C150)/p_notch_step))+D150+2*E150)</f>
        <v>2</v>
      </c>
      <c r="H150" s="39" t="n">
        <f aca="false">C150-Inputs_Banks!$I29</f>
        <v>-0.0125639751781684</v>
      </c>
      <c r="I150" s="44" t="n">
        <f aca="false">RANK(H150,$H$127:$H$150,1)</f>
        <v>23</v>
      </c>
      <c r="J150" s="44" t="n">
        <f aca="false">MAX(IF(I150&lt;=g_n_weak,1,0),E150)</f>
        <v>0</v>
      </c>
      <c r="K150" s="44" t="n">
        <f aca="false">IF(I150&gt;12,1,0)*(1-E150)</f>
        <v>1</v>
      </c>
      <c r="L150" s="35" t="n">
        <f aca="false">INDEX(Inputs_Banks!$AR29:$AX29,1,G150+1)</f>
        <v>0.8997</v>
      </c>
      <c r="M150" s="35" t="n">
        <f aca="false">Inputs_Banks!$AI29*MIN(1,p_u_base+$CD$130*p_u_pan_all+J150*($CD$130*p_u_pan_weak+p_u_mda*D150)+p_u_notch*G150+p_u_fail*E150)</f>
        <v>0</v>
      </c>
      <c r="N150" s="35" t="n">
        <f aca="false">Inputs_Banks!$AK29*MIN(1,p_w_base+p_w_pan*$CD$130+p_w_notch*G150+0.5*D150+1*E150)</f>
        <v>1.603</v>
      </c>
      <c r="O150" s="35" t="n">
        <f aca="false">Inputs_Banks!$AO29*MIN(1,p_cp_base+p_cp_pan*$CD$130+p_cp_notch*G150)</f>
        <v>0</v>
      </c>
      <c r="P150" s="35" t="n">
        <f aca="false">Inputs_Banks!$AN29*(p_dh+p_dh_pan*$CD$130+MIN(1,0.5*$CD$137+0.25*G150))</f>
        <v>15.8432978486056</v>
      </c>
      <c r="Q150" s="35" t="n">
        <f aca="false">Modules!$Y29</f>
        <v>0</v>
      </c>
      <c r="R150" s="35" t="n">
        <f aca="false">Inputs_Banks!$AJ29*K150</f>
        <v>0</v>
      </c>
      <c r="S150" s="35" t="n">
        <f aca="false">p_liq_on*$CD$138*SUM($M$127:$M$150)*R150/MAX(0.000000001,SUM($R$127:$R$150))</f>
        <v>0</v>
      </c>
      <c r="T150" s="35" t="n">
        <f aca="false">p_liq_on*(L150+M150+N150+O150+P150+Q150)</f>
        <v>18.3459978486056</v>
      </c>
      <c r="U150" s="35" t="n">
        <f aca="false">g_usable*Inputs_Banks!$AG29+p_cb_on*Inputs_Banks!$AQ29+S150</f>
        <v>16.4573</v>
      </c>
      <c r="V150" s="35" t="n">
        <f aca="false">MAX(0,T150-U150)</f>
        <v>1.88869784860557</v>
      </c>
      <c r="W150" s="44" t="n">
        <f aca="false">IF(V150&gt;0.9*Inputs_Banks!$BB29,1,0)</f>
        <v>0</v>
      </c>
      <c r="X150" s="43" t="n">
        <f aca="false">MAX(p_htm_forced,(1-p_cb_on)*MIN(1,T150/Inputs_Banks!$AG29)*g_theta_sell)</f>
        <v>0.25</v>
      </c>
      <c r="Y150" s="35" t="n">
        <f aca="false">MAX(0,Modules!$V29-B150/(Inputs_Banks!$I29+g_del_buf))</f>
        <v>25.3444527895071</v>
      </c>
      <c r="Z150" s="35" t="n">
        <f aca="false">MIN(g_del_cap*Inputs_Banks!$BB29,Y150)</f>
        <v>4.57</v>
      </c>
      <c r="AA150" s="35" t="n">
        <f aca="false">MIN(Inputs_Banks!$BB29,V150+Z150)</f>
        <v>6.45869784860557</v>
      </c>
      <c r="AB150" s="35" t="n">
        <f aca="false">$AA150*Holdings!Q29</f>
        <v>0</v>
      </c>
      <c r="AC150" s="35" t="n">
        <f aca="false">$AA150*Holdings!R29</f>
        <v>0</v>
      </c>
      <c r="AD150" s="35" t="n">
        <f aca="false">$AA150*Holdings!S29</f>
        <v>0</v>
      </c>
      <c r="AE150" s="35" t="n">
        <f aca="false">$AA150*Holdings!T29</f>
        <v>0.229658293303809</v>
      </c>
      <c r="AF150" s="35" t="n">
        <f aca="false">$AA150*Holdings!U29</f>
        <v>1.86199877801703</v>
      </c>
      <c r="AG150" s="35" t="n">
        <f aca="false">$AA150*Holdings!V29</f>
        <v>0</v>
      </c>
      <c r="AH150" s="35" t="n">
        <f aca="false">$AA150*Holdings!W29</f>
        <v>0.64657642576303</v>
      </c>
      <c r="AI150" s="35" t="n">
        <f aca="false">$AA150*Holdings!X29</f>
        <v>0.250857520378006</v>
      </c>
      <c r="AJ150" s="35" t="n">
        <f aca="false">$AA150*Holdings!Y29</f>
        <v>0.346254042211896</v>
      </c>
      <c r="AK150" s="35" t="n">
        <f aca="false">$AA150*Holdings!Z29</f>
        <v>0</v>
      </c>
      <c r="AL150" s="35" t="n">
        <f aca="false">$AA150*Holdings!AA29</f>
        <v>3.0597551077092</v>
      </c>
      <c r="AM150" s="35" t="n">
        <f aca="false">$AA150*Holdings!AB29</f>
        <v>0</v>
      </c>
      <c r="AN150" s="35" t="n">
        <f aca="false">$AA150*Holdings!AC29</f>
        <v>0.0635976812225931</v>
      </c>
      <c r="AO150" s="43" t="n">
        <f aca="false">MIN(1,$CD$137+0.5*G150)</f>
        <v>1</v>
      </c>
      <c r="AP150" s="35" t="n">
        <f aca="false">p_liq_on*Inputs_Banks!$AP29*AO150*p_mb_psi</f>
        <v>0</v>
      </c>
      <c r="AQ150" s="44" t="n">
        <f aca="false">MAX(F150,E150,W150*(1-p_cb_on))</f>
        <v>0</v>
      </c>
      <c r="AR150" s="35" t="n">
        <f aca="false">p_ib_on*p_lgd_ib*g_s_in*g_u_ib*SUMPRODUCT(Network!Z$6:Z$29,$AQ$127:$AQ$150)</f>
        <v>0.371741653794596</v>
      </c>
      <c r="AS150" s="35" t="n">
        <f aca="false">p_sw_M1*(SUMPRODUCT(BDC_EAD!Z$106:Z$127,$BF$127:$BF$148)+SUMPRODUCT(BDC_EAD!Z$131:Z$152,$BG$127:$BG$148)+(Inputs_Banks!$Y29+p_ccf_bl*Inputs_Banks!$Z29)*$CD$150+Modules!$E29)</f>
        <v>0</v>
      </c>
      <c r="AT150" s="35" t="n">
        <f aca="false">p_sw_M3*(Inputs_Banks!$U29+p_ccf_abf*Inputs_Banks!$V29)*$CD$151</f>
        <v>0</v>
      </c>
      <c r="AU150" s="35" t="n">
        <f aca="false">p_sw_M10*Inputs_Banks!$AC29*$CD$152</f>
        <v>0</v>
      </c>
      <c r="AV150" s="35" t="n">
        <f aca="false">p_sw_M8*(Modules!$M29+Modules!$N29*IF(p_liq_on&gt;0,X150,p_htm_forced))</f>
        <v>0</v>
      </c>
      <c r="AW150" s="35" t="n">
        <f aca="false">SUMPRODUCT(Holdings!$C29:$O29,Holdings!$C$32:$O$32,$AB$152:$AN$152)+Inputs_Banks!$P29*$AL$152</f>
        <v>1.44215757921998</v>
      </c>
      <c r="AX150" s="35" t="n">
        <f aca="false">Modules!$T29+AS150+AT150+AU150+AV150+AW150+AR150</f>
        <v>2.97081282723926</v>
      </c>
      <c r="AY150" s="35" t="n">
        <f aca="false">Modules!$U29-(1-p_tax)*AX150</f>
        <v>5.74718717276074</v>
      </c>
      <c r="AZ150" s="39" t="n">
        <f aca="false">AY150/Modules!$V29</f>
        <v>0.0549360248218316</v>
      </c>
      <c r="BA150" s="44" t="n">
        <f aca="false">MAX(F150,E150)</f>
        <v>0</v>
      </c>
      <c r="BI150" s="12" t="str">
        <f aca="false">BDC!$A$29</f>
        <v>GSBD</v>
      </c>
      <c r="BJ150" s="43" t="n">
        <f aca="false">1-((1-BDC!$D$29)*$CD$143+BDC!$D$29*$CD$144)-p_gap-$CD$133*(1-BDC!$M$29)</f>
        <v>0.402673902876419</v>
      </c>
      <c r="BK150" s="43" t="n">
        <f aca="false">(1-BDC!$D$29)*$CD$145+BDC!$D$29*$CD$146</f>
        <v>0.0617434368424848</v>
      </c>
      <c r="BL150" s="45" t="n">
        <f aca="false">BJ150/BDC!$K$29</f>
        <v>0.698757654991433</v>
      </c>
      <c r="BM150" s="35" t="n">
        <f aca="false">IF(BL150&lt;1.5,BDC!$C$29,0)</f>
        <v>3.2</v>
      </c>
      <c r="BN150" s="43" t="n">
        <f aca="false">MAX(0,1-BJ150*(1-CE_mig_hc)-p_bb_cush)*BDC!$Q$29</f>
        <v>0.130680147041233</v>
      </c>
      <c r="BO150" s="43" t="n">
        <f aca="false">MAX(0,BDC!$K$29-BJ150/1.5)</f>
        <v>0.307821917856399</v>
      </c>
      <c r="BP150" s="43" t="n">
        <f aca="false">MIN(MIN(1,BDC!$H$29*$CD$136),$CD$135)</f>
        <v>0</v>
      </c>
      <c r="BQ150" s="43" t="n">
        <f aca="false">BDC!$I$29*BDC!$J$29*BP150*(1-0.3)</f>
        <v>0</v>
      </c>
      <c r="BR150" s="45" t="n">
        <f aca="false">BDC!$C$29*($CD$134*MAX(BN150,BO150)+BQ150)</f>
        <v>0.985030137140476</v>
      </c>
      <c r="CC150" s="10" t="s">
        <v>994</v>
      </c>
      <c r="CD150" s="43" t="n">
        <f aca="false">p_phi*MAX(0,p_a_spv-$CD$149)/p_a_spv+(1-p_phi)*MAX(0,p_a_spv-$CD$147)/p_a_spv</f>
        <v>0.754535623270631</v>
      </c>
    </row>
    <row r="151" customFormat="false" ht="15" hidden="false" customHeight="true" outlineLevel="0" collapsed="false">
      <c r="AA151" s="7" t="s">
        <v>995</v>
      </c>
      <c r="AB151" s="47" t="n">
        <f aca="false">p_fs_on*(SUM(AB127:AB150)+$CD$140*Holdings!C$37+Holdings!C$36*SUM($AP$127:$AP$150))</f>
        <v>0</v>
      </c>
      <c r="AC151" s="47" t="n">
        <f aca="false">p_fs_on*(SUM(AC127:AC150)+$CD$140*Holdings!D$37+Holdings!D$36*SUM($AP$127:$AP$150))</f>
        <v>0</v>
      </c>
      <c r="AD151" s="47" t="n">
        <f aca="false">p_fs_on*(SUM(AD127:AD150)+$CD$140*Holdings!E$37+Holdings!E$36*SUM($AP$127:$AP$150))</f>
        <v>0</v>
      </c>
      <c r="AE151" s="47" t="n">
        <f aca="false">p_fs_on*(SUM(AE127:AE150)+$CD$140*Holdings!F$37+Holdings!F$36*SUM($AP$127:$AP$150))</f>
        <v>73.0743229780475</v>
      </c>
      <c r="AF151" s="47" t="n">
        <f aca="false">p_fs_on*(SUM(AF127:AF150)+$CD$140*Holdings!G$37+Holdings!G$36*SUM($AP$127:$AP$150))</f>
        <v>469.109968894015</v>
      </c>
      <c r="AG151" s="47" t="n">
        <f aca="false">p_fs_on*(SUM(AG127:AG150)+$CD$140*Holdings!H$37+Holdings!H$36*SUM($AP$127:$AP$150))</f>
        <v>8.84482</v>
      </c>
      <c r="AH151" s="47" t="n">
        <f aca="false">p_fs_on*(SUM(AH127:AH150)+$CD$140*Holdings!I$37+Holdings!I$36*SUM($AP$127:$AP$150))</f>
        <v>67.8038928293643</v>
      </c>
      <c r="AI151" s="47" t="n">
        <f aca="false">p_fs_on*(SUM(AI127:AI150)+$CD$140*Holdings!J$37+Holdings!J$36*SUM($AP$127:$AP$150))</f>
        <v>117.445857520378</v>
      </c>
      <c r="AJ151" s="47" t="n">
        <f aca="false">p_fs_on*(SUM(AJ127:AJ150)+$CD$140*Holdings!K$37+Holdings!K$36*SUM($AP$127:$AP$150))</f>
        <v>108.589065039421</v>
      </c>
      <c r="AK151" s="47" t="n">
        <f aca="false">p_fs_on*(SUM(AK127:AK150)+$CD$140*Holdings!L$37+$CD$154+Holdings!L$36*SUM($AP$127:$AP$150))</f>
        <v>216.309230667799</v>
      </c>
      <c r="AL151" s="47" t="n">
        <f aca="false">p_fs_on*(SUM(AL127:AL150)+$CD$140*Holdings!M$37+Holdings!M$36*SUM($AP$127:$AP$150))</f>
        <v>866.737029727618</v>
      </c>
      <c r="AM151" s="47" t="n">
        <f aca="false">p_fs_on*(SUM(AM127:AM150)+$CD$140*Holdings!N$37+Holdings!N$36*SUM($AP$127:$AP$150))</f>
        <v>0</v>
      </c>
      <c r="AN151" s="47" t="n">
        <f aca="false">p_fs_on*(SUM(AN127:AN150)+$CD$140*Holdings!O$37+Holdings!O$36*SUM($AP$127:$AP$150))</f>
        <v>185.647651909261</v>
      </c>
      <c r="BI151" s="12" t="str">
        <f aca="false">BDC!$A$30</f>
        <v>OCSL</v>
      </c>
      <c r="BJ151" s="43" t="n">
        <f aca="false">1-((1-BDC!$D$30)*$CD$143+BDC!$D$30*$CD$144)-p_gap-$CD$133*(1-BDC!$M$30)</f>
        <v>0.392098725301358</v>
      </c>
      <c r="BK151" s="43" t="n">
        <f aca="false">(1-BDC!$D$30)*$CD$145+BDC!$D$30*$CD$146</f>
        <v>0.0620042590793056</v>
      </c>
      <c r="BL151" s="45" t="n">
        <f aca="false">BJ151/BDC!$K$30</f>
        <v>0.769116730398817</v>
      </c>
      <c r="BM151" s="35" t="n">
        <f aca="false">IF(BL151&lt;1.5,BDC!$C$30,0)</f>
        <v>2.74</v>
      </c>
      <c r="BN151" s="43" t="n">
        <f aca="false">MAX(0,1-BJ151*(1-CE_mig_hc)-p_bb_cush)*BDC!$Q$30</f>
        <v>0.159860448974885</v>
      </c>
      <c r="BO151" s="43" t="n">
        <f aca="false">MAX(0,BDC!$K$30-BJ151/1.5)</f>
        <v>0.248404771367722</v>
      </c>
      <c r="BP151" s="43" t="n">
        <f aca="false">MIN(MIN(1,BDC!$H$30*$CD$136),$CD$135)</f>
        <v>0</v>
      </c>
      <c r="BQ151" s="43" t="n">
        <f aca="false">BDC!$I$30*BDC!$J$30*BP151*(1-0.3)</f>
        <v>0</v>
      </c>
      <c r="BR151" s="45" t="n">
        <f aca="false">BDC!$C$30*($CD$134*MAX(BN151,BO151)+BQ151)</f>
        <v>0.680629073547559</v>
      </c>
      <c r="CC151" s="10" t="s">
        <v>996</v>
      </c>
      <c r="CD151" s="43" t="n">
        <f aca="false">p_phi*MAX(0,g_a_abf-(CE_Vh_a*(1-$AJ$152)-p_c_liq))/g_a_abf+(1-p_phi)*MAX(0,g_a_abf-CE_Vh_a)/g_a_abf</f>
        <v>0.309662698169349</v>
      </c>
    </row>
    <row r="152" customFormat="false" ht="15" hidden="false" customHeight="true" outlineLevel="0" collapsed="false">
      <c r="AA152" s="7" t="s">
        <v>997</v>
      </c>
      <c r="AB152" s="50" t="n">
        <f aca="false">MIN(Holdings!C$34,$CD$139*Holdings!C$31*AB151/10000+Holdings!C$39*$CD$130^g_gamma_pan)</f>
        <v>0</v>
      </c>
      <c r="AC152" s="50" t="n">
        <f aca="false">MIN(Holdings!D$34,$CD$139*Holdings!D$31*AC151/10000+Holdings!D$39*$CD$130^g_gamma_pan)</f>
        <v>0.01</v>
      </c>
      <c r="AD152" s="50" t="n">
        <f aca="false">MIN(Holdings!E$34,$CD$139*Holdings!E$31*AD151/10000+Holdings!E$39*$CD$130^g_gamma_pan)</f>
        <v>0.02</v>
      </c>
      <c r="AE152" s="50" t="n">
        <f aca="false">MIN(Holdings!F$34,$CD$139*Holdings!F$31*AE151/10000+Holdings!F$39*$CD$130^g_gamma_pan)</f>
        <v>0.0982685807445119</v>
      </c>
      <c r="AF152" s="50" t="n">
        <f aca="false">MIN(Holdings!G$34,$CD$139*Holdings!G$31*AF151/10000+Holdings!G$39*$CD$130^g_gamma_pan)</f>
        <v>0.25</v>
      </c>
      <c r="AG152" s="50" t="n">
        <f aca="false">MIN(Holdings!H$34,$CD$139*Holdings!H$31*AG151/10000+Holdings!H$39*$CD$130^g_gamma_pan)</f>
        <v>0.16326723</v>
      </c>
      <c r="AH152" s="50" t="n">
        <f aca="false">MIN(Holdings!I$34,$CD$139*Holdings!I$31*AH151/10000+Holdings!I$39*$CD$130^g_gamma_pan)</f>
        <v>0.403411678488093</v>
      </c>
      <c r="AI152" s="50" t="n">
        <f aca="false">MIN(Holdings!J$34,$CD$139*Holdings!J$31*AI151/10000+Holdings!J$39*$CD$130^g_gamma_pan)</f>
        <v>0.45</v>
      </c>
      <c r="AJ152" s="50" t="n">
        <f aca="false">MIN(Holdings!K$34,$CD$139*Holdings!K$31*AJ151/10000+Holdings!K$39*$CD$130^g_gamma_pan)</f>
        <v>0.262883597559132</v>
      </c>
      <c r="AK152" s="50" t="n">
        <f aca="false">MIN(Holdings!L$34,$CD$139*Holdings!L$31*AK151/10000+Holdings!L$39*$CD$130^g_gamma_pan)</f>
        <v>0.45</v>
      </c>
      <c r="AL152" s="50" t="n">
        <f aca="false">MIN(Holdings!M$34,$CD$139*Holdings!M$31*AL151/10000+Holdings!M$39*$CD$130^g_gamma_pan)</f>
        <v>0.343336851486381</v>
      </c>
      <c r="AM152" s="50" t="n">
        <f aca="false">MIN(Holdings!N$34,$CD$139*Holdings!N$31*AM151/10000+Holdings!N$39*$CD$130^g_gamma_pan)</f>
        <v>0</v>
      </c>
      <c r="AN152" s="50" t="n">
        <f aca="false">MIN(Holdings!O$34,$CD$139*Holdings!O$31*AN151/10000+Holdings!O$39*$CD$130^g_gamma_pan)</f>
        <v>0.285647651909261</v>
      </c>
      <c r="BI152" s="12" t="str">
        <f aca="false">BDC!$A$31</f>
        <v>BBDC</v>
      </c>
      <c r="BJ152" s="43" t="n">
        <f aca="false">1-((1-BDC!$D$31)*$CD$143+BDC!$D$31*$CD$144)-p_gap-$CD$133*(1-BDC!$M$31)</f>
        <v>0.440484450675871</v>
      </c>
      <c r="BK152" s="43" t="n">
        <f aca="false">(1-BDC!$D$31)*$CD$145+BDC!$D$31*$CD$146</f>
        <v>0.0655439894361584</v>
      </c>
      <c r="BL152" s="45" t="n">
        <f aca="false">BJ152/BDC!$K$31</f>
        <v>0.798601890249749</v>
      </c>
      <c r="BM152" s="35" t="n">
        <f aca="false">IF(BL152&lt;1.5,BDC!$C$31,0)</f>
        <v>2.46</v>
      </c>
      <c r="BN152" s="43" t="n">
        <f aca="false">MAX(0,1-BJ152*(1-CE_mig_hc)-p_bb_cush)*BDC!$Q$31</f>
        <v>0.161288813940408</v>
      </c>
      <c r="BO152" s="43" t="n">
        <f aca="false">MAX(0,BDC!$K$31-BJ152/1.5)</f>
        <v>0.257913206275877</v>
      </c>
      <c r="BP152" s="43" t="n">
        <f aca="false">MIN(MIN(1,BDC!$H$31*$CD$136),$CD$135)</f>
        <v>0</v>
      </c>
      <c r="BQ152" s="43" t="n">
        <f aca="false">BDC!$I$31*BDC!$J$31*BP152*(1-0.3)</f>
        <v>0</v>
      </c>
      <c r="BR152" s="45" t="n">
        <f aca="false">BDC!$C$31*($CD$134*MAX(BN152,BO152)+BQ152)</f>
        <v>0.634466487438657</v>
      </c>
      <c r="CC152" s="10" t="s">
        <v>998</v>
      </c>
      <c r="CD152" s="43" t="n">
        <f aca="false">p_phi*MAX(0,g_trs_adv-$CD$149)/g_trs_adv+(1-p_phi)*MAX(0,g_trs_adv-$CD$147)/g_trs_adv</f>
        <v>0.785218670361803</v>
      </c>
    </row>
    <row r="153" customFormat="false" ht="15" hidden="false" customHeight="true" outlineLevel="0" collapsed="false">
      <c r="BI153" s="12" t="str">
        <f aca="false">BDC!$A$32</f>
        <v>CGBD</v>
      </c>
      <c r="BJ153" s="43" t="n">
        <f aca="false">1-((1-BDC!$D$32)*$CD$143+BDC!$D$32*$CD$144)-p_gap-$CD$133*(1-BDC!$M$32)</f>
        <v>0.378165749019815</v>
      </c>
      <c r="BK153" s="43" t="n">
        <f aca="false">(1-BDC!$D$32)*$CD$145+BDC!$D$32*$CD$146</f>
        <v>0.0643143988911463</v>
      </c>
      <c r="BL153" s="45" t="n">
        <f aca="false">BJ153/BDC!$K$32</f>
        <v>0.695952092733944</v>
      </c>
      <c r="BM153" s="35" t="n">
        <f aca="false">IF(BL153&lt;1.5,BDC!$C$32,0)</f>
        <v>2.36</v>
      </c>
      <c r="BN153" s="43" t="n">
        <f aca="false">MAX(0,1-BJ153*(1-CE_mig_hc)-p_bb_cush)*BDC!$Q$32</f>
        <v>0.188636784641365</v>
      </c>
      <c r="BO153" s="43" t="n">
        <f aca="false">MAX(0,BDC!$K$32-BJ153/1.5)</f>
        <v>0.291268496087247</v>
      </c>
      <c r="BP153" s="43" t="n">
        <f aca="false">MIN(MIN(1,BDC!$H$32*$CD$136),$CD$135)</f>
        <v>0</v>
      </c>
      <c r="BQ153" s="43" t="n">
        <f aca="false">BDC!$I$32*BDC!$J$32*BP153*(1-0.3)</f>
        <v>0</v>
      </c>
      <c r="BR153" s="45" t="n">
        <f aca="false">BDC!$C$32*($CD$134*MAX(BN153,BO153)+BQ153)</f>
        <v>0.687393650765903</v>
      </c>
      <c r="CC153" s="10" t="s">
        <v>999</v>
      </c>
      <c r="CD153" s="43" t="n">
        <f aca="false">SUM($BM$127:$BM$160)/SUM(BDC!$C$6:$C$39)</f>
        <v>0.998189261533617</v>
      </c>
    </row>
    <row r="154" customFormat="false" ht="15" hidden="false" customHeight="true" outlineLevel="0" collapsed="false">
      <c r="BI154" s="12" t="str">
        <f aca="false">BDC!$A$33</f>
        <v>KBDC</v>
      </c>
      <c r="BJ154" s="43" t="n">
        <f aca="false">1-((1-BDC!$D$33)*$CD$143+BDC!$D$33*$CD$144)-p_gap-$CD$133*(1-BDC!$M$33)</f>
        <v>0.456205474041006</v>
      </c>
      <c r="BK154" s="43" t="n">
        <f aca="false">(1-BDC!$D$33)*$CD$145+BDC!$D$33*$CD$146</f>
        <v>0.0684875546802781</v>
      </c>
      <c r="BL154" s="45" t="n">
        <f aca="false">BJ154/BDC!$K$33</f>
        <v>0.846124682623062</v>
      </c>
      <c r="BM154" s="35" t="n">
        <f aca="false">IF(BL154&lt;1.5,BDC!$C$33,0)</f>
        <v>2.29</v>
      </c>
      <c r="BN154" s="43" t="n">
        <f aca="false">MAX(0,1-BJ154*(1-CE_mig_hc)-p_bb_cush)*BDC!$Q$33</f>
        <v>0.1539572367744</v>
      </c>
      <c r="BO154" s="43" t="n">
        <f aca="false">MAX(0,BDC!$K$33-BJ154/1.5)</f>
        <v>0.235033524218438</v>
      </c>
      <c r="BP154" s="43" t="n">
        <f aca="false">MIN(MIN(1,BDC!$H$33*$CD$136),$CD$135)</f>
        <v>0</v>
      </c>
      <c r="BQ154" s="43" t="n">
        <f aca="false">BDC!$I$33*BDC!$J$33*BP154*(1-0.3)</f>
        <v>0</v>
      </c>
      <c r="BR154" s="45" t="n">
        <f aca="false">BDC!$C$33*($CD$134*MAX(BN154,BO154)+BQ154)</f>
        <v>0.538226770460224</v>
      </c>
      <c r="CC154" s="10" t="s">
        <v>869</v>
      </c>
      <c r="CD154" s="35" t="n">
        <f aca="false">p_pc_scale*SUM($BR$127:$BR$160)</f>
        <v>209.214230667799</v>
      </c>
    </row>
    <row r="155" customFormat="false" ht="15" hidden="false" customHeight="true" outlineLevel="0" collapsed="false">
      <c r="BI155" s="12" t="str">
        <f aca="false">BDC!$A$34</f>
        <v>NMFC</v>
      </c>
      <c r="BJ155" s="43" t="n">
        <f aca="false">1-((1-BDC!$D$34)*$CD$143+BDC!$D$34*$CD$144)-p_gap-$CD$133*(1-BDC!$M$34)</f>
        <v>0.361123826355913</v>
      </c>
      <c r="BK155" s="43" t="n">
        <f aca="false">(1-BDC!$D$34)*$CD$145+BDC!$D$34*$CD$146</f>
        <v>0.0628985067484052</v>
      </c>
      <c r="BL155" s="45" t="n">
        <f aca="false">BJ155/BDC!$K$34</f>
        <v>0.636790869375694</v>
      </c>
      <c r="BM155" s="35" t="n">
        <f aca="false">IF(BL155&lt;1.5,BDC!$C$34,0)</f>
        <v>2.29</v>
      </c>
      <c r="BN155" s="43" t="n">
        <f aca="false">MAX(0,1-BJ155*(1-CE_mig_hc)-p_bb_cush)*BDC!$Q$34</f>
        <v>0.15656762438422</v>
      </c>
      <c r="BO155" s="43" t="n">
        <f aca="false">MAX(0,BDC!$K$34-BJ155/1.5)</f>
        <v>0.326350349528958</v>
      </c>
      <c r="BP155" s="43" t="n">
        <f aca="false">MIN(MIN(1,BDC!$H$34*$CD$136),$CD$135)</f>
        <v>0</v>
      </c>
      <c r="BQ155" s="43" t="n">
        <f aca="false">BDC!$I$34*BDC!$J$34*BP155*(1-0.3)</f>
        <v>0</v>
      </c>
      <c r="BR155" s="45" t="n">
        <f aca="false">BDC!$C$34*($CD$134*MAX(BN155,BO155)+BQ155)</f>
        <v>0.747342300421315</v>
      </c>
    </row>
    <row r="156" customFormat="false" ht="15" hidden="false" customHeight="true" outlineLevel="0" collapsed="false">
      <c r="BI156" s="12" t="str">
        <f aca="false">BDC!$A$35</f>
        <v>HPS CCS</v>
      </c>
      <c r="BJ156" s="43" t="n">
        <f aca="false">1-((1-BDC!$D$35)*$CD$143+BDC!$D$35*$CD$144)-p_gap-$CD$133*(1-BDC!$M$35)</f>
        <v>0.428848454391989</v>
      </c>
      <c r="BK156" s="43" t="n">
        <f aca="false">(1-BDC!$D$35)*$CD$145+BDC!$D$35*$CD$146</f>
        <v>0.0651713862407002</v>
      </c>
      <c r="BL156" s="45" t="n">
        <f aca="false">BJ156/BDC!$K$35</f>
        <v>1.05036795351081</v>
      </c>
      <c r="BM156" s="35" t="n">
        <f aca="false">IF(BL156&lt;1.5,BDC!$C$35,0)</f>
        <v>2.27</v>
      </c>
      <c r="BN156" s="43" t="n">
        <f aca="false">MAX(0,1-BJ156*(1-CE_mig_hc)-p_bb_cush)*BDC!$Q$35</f>
        <v>0.121466639892192</v>
      </c>
      <c r="BO156" s="43" t="n">
        <f aca="false">MAX(0,BDC!$K$35-BJ156/1.5)</f>
        <v>0.12238505407398</v>
      </c>
      <c r="BP156" s="43" t="n">
        <f aca="false">MIN(MIN(1,BDC!$H$35*$CD$136),$CD$135)</f>
        <v>0.138</v>
      </c>
      <c r="BQ156" s="43" t="n">
        <f aca="false">BDC!$I$35*BDC!$J$35*BP156*(1-0.3)</f>
        <v>0.0571597633136095</v>
      </c>
      <c r="BR156" s="45" t="n">
        <f aca="false">BDC!$C$35*($CD$134*MAX(BN156,BO156)+BQ156)</f>
        <v>0.407566735469828</v>
      </c>
    </row>
    <row r="157" customFormat="false" ht="15" hidden="false" customHeight="true" outlineLevel="0" collapsed="false">
      <c r="BI157" s="12" t="str">
        <f aca="false">BDC!$A$36</f>
        <v>APCF</v>
      </c>
      <c r="BJ157" s="43" t="n">
        <f aca="false">1-((1-BDC!$D$36)*$CD$143+BDC!$D$36*$CD$144)-p_gap-$CD$133*(1-BDC!$M$36)</f>
        <v>0.412233180685897</v>
      </c>
      <c r="BK157" s="43" t="n">
        <f aca="false">(1-BDC!$D$36)*$CD$145+BDC!$D$36*$CD$146</f>
        <v>0.0624141225943096</v>
      </c>
      <c r="BL157" s="45" t="n">
        <f aca="false">BJ157/BDC!$K$36</f>
        <v>0.770696816064938</v>
      </c>
      <c r="BM157" s="35" t="n">
        <f aca="false">IF(BL157&lt;1.5,BDC!$C$36,0)</f>
        <v>1.73</v>
      </c>
      <c r="BN157" s="43" t="n">
        <f aca="false">MAX(0,1-BJ157*(1-CE_mig_hc)-p_bb_cush)*BDC!$Q$36</f>
        <v>0.163016261096768</v>
      </c>
      <c r="BO157" s="43" t="n">
        <f aca="false">MAX(0,BDC!$K$36-BJ157/1.5)</f>
        <v>0.260061600472968</v>
      </c>
      <c r="BP157" s="43" t="n">
        <f aca="false">MIN(MIN(1,BDC!$H$36*$CD$136),$CD$135)</f>
        <v>0.0135</v>
      </c>
      <c r="BQ157" s="43" t="n">
        <f aca="false">BDC!$I$36*BDC!$J$36*BP157*(1-0.3)</f>
        <v>0.0043953488372093</v>
      </c>
      <c r="BR157" s="45" t="n">
        <f aca="false">BDC!$C$36*($CD$134*MAX(BN157,BO157)+BQ157)</f>
        <v>0.457510522306607</v>
      </c>
    </row>
    <row r="158" customFormat="false" ht="15" hidden="false" customHeight="true" outlineLevel="0" collapsed="false">
      <c r="BI158" s="12" t="str">
        <f aca="false">BDC!$A$37</f>
        <v>TCPC</v>
      </c>
      <c r="BJ158" s="43" t="n">
        <f aca="false">1-((1-BDC!$D$37)*$CD$143+BDC!$D$37*$CD$144)-p_gap-$CD$133*(1-BDC!$M$37)</f>
        <v>0.368439426438033</v>
      </c>
      <c r="BK158" s="43" t="n">
        <f aca="false">(1-BDC!$D$37)*$CD$145+BDC!$D$37*$CD$146</f>
        <v>0.059246995432915</v>
      </c>
      <c r="BL158" s="45" t="n">
        <f aca="false">BJ158/BDC!$K$37</f>
        <v>0.59173604852169</v>
      </c>
      <c r="BM158" s="35" t="n">
        <f aca="false">IF(BL158&lt;1.5,BDC!$C$37,0)</f>
        <v>1.29</v>
      </c>
      <c r="BN158" s="43" t="n">
        <f aca="false">MAX(0,1-BJ158*(1-CE_mig_hc)-p_bb_cush)*BDC!$Q$37</f>
        <v>0.201683787747215</v>
      </c>
      <c r="BO158" s="43" t="n">
        <f aca="false">MAX(0,BDC!$K$37-BJ158/1.5)</f>
        <v>0.37701522514194</v>
      </c>
      <c r="BP158" s="43" t="n">
        <f aca="false">MIN(MIN(1,BDC!$H$37*$CD$136),$CD$135)</f>
        <v>0</v>
      </c>
      <c r="BQ158" s="43" t="n">
        <f aca="false">BDC!$I$37*BDC!$J$37*BP158*(1-0.3)</f>
        <v>0</v>
      </c>
      <c r="BR158" s="45" t="n">
        <f aca="false">BDC!$C$37*($CD$134*MAX(BN158,BO158)+BQ158)</f>
        <v>0.486349640433103</v>
      </c>
    </row>
    <row r="159" customFormat="false" ht="15" hidden="false" customHeight="true" outlineLevel="0" collapsed="false">
      <c r="BI159" s="12" t="str">
        <f aca="false">BDC!$A$38</f>
        <v>OBDC II</v>
      </c>
      <c r="BJ159" s="43" t="n">
        <f aca="false">1-((1-BDC!$D$38)*$CD$143+BDC!$D$38*$CD$144)-p_gap-$CD$133*(1-BDC!$M$38)</f>
        <v>0.431318292375327</v>
      </c>
      <c r="BK159" s="43" t="n">
        <f aca="false">(1-BDC!$D$38)*$CD$145+BDC!$D$38*$CD$146</f>
        <v>0.0655812497557042</v>
      </c>
      <c r="BL159" s="45" t="n">
        <f aca="false">BJ159/BDC!$K$38</f>
        <v>2.02879344932098</v>
      </c>
      <c r="BM159" s="35" t="n">
        <f aca="false">IF(BL159&lt;1.5,BDC!$C$38,0)</f>
        <v>0</v>
      </c>
      <c r="BN159" s="43" t="n">
        <f aca="false">MAX(0,1-BJ159*(1-CE_mig_hc)-p_bb_cush)*BDC!$Q$38</f>
        <v>0.126039156046108</v>
      </c>
      <c r="BO159" s="43" t="n">
        <f aca="false">MAX(0,BDC!$K$38-BJ159/1.5)</f>
        <v>0</v>
      </c>
      <c r="BP159" s="43" t="n">
        <f aca="false">MIN(MIN(1,BDC!$H$38*$CD$136),$CD$135)</f>
        <v>0</v>
      </c>
      <c r="BQ159" s="43" t="n">
        <f aca="false">BDC!$I$38*BDC!$J$38*BP159*(1-0.3)</f>
        <v>0</v>
      </c>
      <c r="BR159" s="45" t="n">
        <f aca="false">BDC!$C$38*($CD$134*MAX(BN159,BO159)+BQ159)</f>
        <v>0.0869670176718148</v>
      </c>
    </row>
    <row r="160" customFormat="false" ht="15" hidden="false" customHeight="true" outlineLevel="0" collapsed="false">
      <c r="BI160" s="12" t="str">
        <f aca="false">BDC!$A$39</f>
        <v>NHPIF-A</v>
      </c>
      <c r="BJ160" s="43" t="n">
        <f aca="false">1-((1-BDC!$D$39)*$CD$143+BDC!$D$39*$CD$144)-p_gap-$CD$133*(1-BDC!$M$39)</f>
        <v>0.406395381816189</v>
      </c>
      <c r="BK160" s="43" t="n">
        <f aca="false">(1-BDC!$D$39)*$CD$145+BDC!$D$39*$CD$146</f>
        <v>0.0614453542861183</v>
      </c>
      <c r="BL160" s="45" t="n">
        <f aca="false">BJ160/BDC!$K$39</f>
        <v>0.800954004938703</v>
      </c>
      <c r="BM160" s="35" t="n">
        <f aca="false">IF(BL160&lt;1.5,BDC!$C$39,0)</f>
        <v>0.6</v>
      </c>
      <c r="BN160" s="43" t="n">
        <f aca="false">MAX(0,1-BJ160*(1-CE_mig_hc)-p_bb_cush)*BDC!$Q$39</f>
        <v>0.155931774753151</v>
      </c>
      <c r="BO160" s="43" t="n">
        <f aca="false">MAX(0,BDC!$K$39-BJ160/1.5)</f>
        <v>0.23645890801745</v>
      </c>
      <c r="BP160" s="43" t="n">
        <f aca="false">MIN(MIN(1,BDC!$H$39*$CD$136),$CD$135)</f>
        <v>0.204</v>
      </c>
      <c r="BQ160" s="43" t="n">
        <f aca="false">BDC!$I$39*BDC!$J$39*BP160*(1-0.3)</f>
        <v>0.0703448275862069</v>
      </c>
      <c r="BR160" s="45" t="n">
        <f aca="false">BDC!$C$39*($CD$134*MAX(BN160,BO160)+BQ160)</f>
        <v>0.184082241362194</v>
      </c>
    </row>
    <row r="165" customFormat="false" ht="15" hidden="false" customHeight="true" outlineLevel="0" collapsed="false">
      <c r="A165" s="9" t="s">
        <v>1003</v>
      </c>
    </row>
    <row r="166" customFormat="false" ht="42" hidden="false" customHeight="true" outlineLevel="0" collapsed="false">
      <c r="A166" s="21" t="s">
        <v>51</v>
      </c>
      <c r="B166" s="21" t="s">
        <v>910</v>
      </c>
      <c r="C166" s="21" t="s">
        <v>911</v>
      </c>
      <c r="D166" s="21" t="s">
        <v>912</v>
      </c>
      <c r="E166" s="21" t="s">
        <v>913</v>
      </c>
      <c r="F166" s="21" t="s">
        <v>914</v>
      </c>
      <c r="G166" s="21" t="s">
        <v>61</v>
      </c>
      <c r="H166" s="21" t="s">
        <v>915</v>
      </c>
      <c r="I166" s="21" t="s">
        <v>916</v>
      </c>
      <c r="J166" s="21" t="s">
        <v>917</v>
      </c>
      <c r="K166" s="21" t="s">
        <v>918</v>
      </c>
      <c r="L166" s="21" t="s">
        <v>919</v>
      </c>
      <c r="M166" s="21" t="s">
        <v>920</v>
      </c>
      <c r="N166" s="21" t="s">
        <v>921</v>
      </c>
      <c r="O166" s="21" t="s">
        <v>922</v>
      </c>
      <c r="P166" s="21" t="s">
        <v>923</v>
      </c>
      <c r="Q166" s="21" t="s">
        <v>924</v>
      </c>
      <c r="R166" s="21" t="s">
        <v>925</v>
      </c>
      <c r="S166" s="21" t="s">
        <v>926</v>
      </c>
      <c r="T166" s="21" t="s">
        <v>927</v>
      </c>
      <c r="U166" s="21" t="s">
        <v>928</v>
      </c>
      <c r="V166" s="21" t="s">
        <v>60</v>
      </c>
      <c r="W166" s="21" t="s">
        <v>929</v>
      </c>
      <c r="X166" s="21" t="s">
        <v>930</v>
      </c>
      <c r="Y166" s="21" t="s">
        <v>931</v>
      </c>
      <c r="Z166" s="21" t="s">
        <v>932</v>
      </c>
      <c r="AA166" s="21" t="s">
        <v>933</v>
      </c>
      <c r="AB166" s="21" t="s">
        <v>934</v>
      </c>
      <c r="AC166" s="21" t="s">
        <v>935</v>
      </c>
      <c r="AD166" s="21" t="s">
        <v>936</v>
      </c>
      <c r="AE166" s="21" t="s">
        <v>937</v>
      </c>
      <c r="AF166" s="21" t="s">
        <v>938</v>
      </c>
      <c r="AG166" s="21" t="s">
        <v>939</v>
      </c>
      <c r="AH166" s="21" t="s">
        <v>940</v>
      </c>
      <c r="AI166" s="21" t="s">
        <v>941</v>
      </c>
      <c r="AJ166" s="21" t="s">
        <v>942</v>
      </c>
      <c r="AK166" s="21" t="s">
        <v>943</v>
      </c>
      <c r="AL166" s="21" t="s">
        <v>944</v>
      </c>
      <c r="AM166" s="21" t="s">
        <v>945</v>
      </c>
      <c r="AN166" s="21" t="s">
        <v>946</v>
      </c>
      <c r="AO166" s="21" t="s">
        <v>947</v>
      </c>
      <c r="AP166" s="21" t="s">
        <v>948</v>
      </c>
      <c r="AQ166" s="21" t="s">
        <v>949</v>
      </c>
      <c r="AR166" s="21" t="s">
        <v>950</v>
      </c>
      <c r="AS166" s="21" t="s">
        <v>951</v>
      </c>
      <c r="AT166" s="21" t="s">
        <v>952</v>
      </c>
      <c r="AU166" s="21" t="s">
        <v>953</v>
      </c>
      <c r="AV166" s="21" t="s">
        <v>954</v>
      </c>
      <c r="AW166" s="21" t="s">
        <v>955</v>
      </c>
      <c r="AX166" s="21" t="s">
        <v>956</v>
      </c>
      <c r="AY166" s="21" t="s">
        <v>957</v>
      </c>
      <c r="AZ166" s="21" t="s">
        <v>958</v>
      </c>
      <c r="BA166" s="21" t="s">
        <v>959</v>
      </c>
      <c r="BB166" s="21" t="s">
        <v>960</v>
      </c>
      <c r="BC166" s="21" t="s">
        <v>614</v>
      </c>
      <c r="BD166" s="21" t="s">
        <v>961</v>
      </c>
      <c r="BE166" s="21" t="s">
        <v>962</v>
      </c>
      <c r="BF166" s="21" t="s">
        <v>963</v>
      </c>
      <c r="BG166" s="21" t="s">
        <v>964</v>
      </c>
      <c r="BI166" s="21" t="s">
        <v>599</v>
      </c>
      <c r="BJ166" s="21" t="s">
        <v>960</v>
      </c>
      <c r="BK166" s="21" t="s">
        <v>614</v>
      </c>
      <c r="BL166" s="21" t="s">
        <v>965</v>
      </c>
      <c r="BM166" s="21" t="s">
        <v>966</v>
      </c>
      <c r="BN166" s="21" t="s">
        <v>967</v>
      </c>
      <c r="BO166" s="21" t="s">
        <v>968</v>
      </c>
      <c r="BP166" s="21" t="s">
        <v>969</v>
      </c>
      <c r="BQ166" s="21" t="s">
        <v>622</v>
      </c>
      <c r="BR166" s="21" t="s">
        <v>623</v>
      </c>
      <c r="BT166" s="21" t="s">
        <v>805</v>
      </c>
      <c r="BU166" s="21" t="s">
        <v>970</v>
      </c>
      <c r="BV166" s="21" t="s">
        <v>971</v>
      </c>
      <c r="CC166" s="21" t="s">
        <v>972</v>
      </c>
      <c r="CD166" s="21" t="s">
        <v>363</v>
      </c>
    </row>
    <row r="167" customFormat="false" ht="15" hidden="false" customHeight="true" outlineLevel="0" collapsed="false">
      <c r="A167" s="10" t="s">
        <v>496</v>
      </c>
      <c r="B167" s="35" t="n">
        <f aca="false">AY127</f>
        <v>136.757052678189</v>
      </c>
      <c r="C167" s="39" t="n">
        <f aca="false">AZ127</f>
        <v>0.0579926268046499</v>
      </c>
      <c r="D167" s="44" t="n">
        <f aca="false">IF(C167&lt;Inputs_Banks!$I6,1,0)</f>
        <v>1</v>
      </c>
      <c r="E167" s="44" t="n">
        <f aca="false">IF(C167&lt;0.045,1,0)</f>
        <v>0</v>
      </c>
      <c r="F167" s="44" t="n">
        <f aca="false">IF(B167&lt;0,1,0)</f>
        <v>0</v>
      </c>
      <c r="G167" s="44" t="n">
        <f aca="false">MIN(6,MIN(3,INT(MAX(0,Inputs_Banks!$BA6-C167)/p_notch_step))+D167+2*E167)</f>
        <v>4</v>
      </c>
      <c r="H167" s="39" t="n">
        <f aca="false">C167-Inputs_Banks!$I6</f>
        <v>-0.0570073731953502</v>
      </c>
      <c r="I167" s="44" t="n">
        <f aca="false">RANK(H167,$H$167:$H$190,1)</f>
        <v>12</v>
      </c>
      <c r="J167" s="44" t="n">
        <f aca="false">MAX(IF(I167&lt;=g_n_weak,1,0),E167)</f>
        <v>0</v>
      </c>
      <c r="K167" s="44" t="n">
        <f aca="false">IF(I167&gt;12,1,0)*(1-E167)</f>
        <v>0</v>
      </c>
      <c r="L167" s="35" t="n">
        <f aca="false">INDEX(Inputs_Banks!$AR6:$AX6,1,G167+1)</f>
        <v>0.918</v>
      </c>
      <c r="M167" s="35" t="n">
        <f aca="false">Inputs_Banks!$AI6*MIN(1,p_u_base+$CD$170*p_u_pan_all+J167*($CD$170*p_u_pan_weak+p_u_mda*D167)+p_u_notch*G167+p_u_fail*E167)</f>
        <v>540.609</v>
      </c>
      <c r="N167" s="35" t="n">
        <f aca="false">Inputs_Banks!$AK6*MIN(1,p_w_base+p_w_pan*$CD$170+p_w_notch*G167+0.5*D167+1*E167)</f>
        <v>30.166</v>
      </c>
      <c r="O167" s="35" t="n">
        <f aca="false">Inputs_Banks!$AO6*MIN(1,p_cp_base+p_cp_pan*$CD$170+p_cp_notch*G167)</f>
        <v>5.45</v>
      </c>
      <c r="P167" s="35" t="n">
        <f aca="false">Inputs_Banks!$AN6*(p_dh+p_dh_pan*$CD$170+MIN(1,0.5*$CD$177+0.25*G167))</f>
        <v>244.593789910108</v>
      </c>
      <c r="Q167" s="35" t="n">
        <f aca="false">Modules!$Y6</f>
        <v>45.160097</v>
      </c>
      <c r="R167" s="35" t="n">
        <f aca="false">Inputs_Banks!$AJ6*K167</f>
        <v>0</v>
      </c>
      <c r="S167" s="35" t="n">
        <f aca="false">p_liq_on*$CD$178*SUM($M$167:$M$190)*R167/MAX(0.000000001,SUM($R$167:$R$190))</f>
        <v>0</v>
      </c>
      <c r="T167" s="35" t="n">
        <f aca="false">p_liq_on*(L167+M167+N167+O167+P167+Q167)</f>
        <v>866.896886910109</v>
      </c>
      <c r="U167" s="35" t="n">
        <f aca="false">g_usable*Inputs_Banks!$AG6+p_cb_on*Inputs_Banks!$AQ6+S167</f>
        <v>1057.6002</v>
      </c>
      <c r="V167" s="35" t="n">
        <f aca="false">MAX(0,T167-U167)</f>
        <v>0</v>
      </c>
      <c r="W167" s="44" t="n">
        <f aca="false">IF(V167&gt;0.9*Inputs_Banks!$BB6,1,0)</f>
        <v>0</v>
      </c>
      <c r="X167" s="43" t="n">
        <f aca="false">MAX(p_htm_forced,(1-p_cb_on)*MIN(1,T167/Inputs_Banks!$AG6)*g_theta_sell)</f>
        <v>0.22218736464953</v>
      </c>
      <c r="Y167" s="35" t="n">
        <f aca="false">MAX(0,Modules!$V6-B167/(Inputs_Banks!$I6+g_del_buf))</f>
        <v>1218.53789434842</v>
      </c>
      <c r="Z167" s="35" t="n">
        <f aca="false">MIN(g_del_cap*Inputs_Banks!$BB6,Y167)</f>
        <v>120.0675</v>
      </c>
      <c r="AA167" s="35" t="n">
        <f aca="false">MIN(Inputs_Banks!$BB6,V167+Z167)</f>
        <v>120.0675</v>
      </c>
      <c r="AB167" s="35" t="n">
        <f aca="false">$AA167*Holdings!Q6</f>
        <v>0</v>
      </c>
      <c r="AC167" s="35" t="n">
        <f aca="false">$AA167*Holdings!R6</f>
        <v>0</v>
      </c>
      <c r="AD167" s="35" t="n">
        <f aca="false">$AA167*Holdings!S6</f>
        <v>0</v>
      </c>
      <c r="AE167" s="35" t="n">
        <f aca="false">$AA167*Holdings!T6</f>
        <v>8.5</v>
      </c>
      <c r="AF167" s="35" t="n">
        <f aca="false">$AA167*Holdings!U6</f>
        <v>13.89</v>
      </c>
      <c r="AG167" s="35" t="n">
        <f aca="false">$AA167*Holdings!V6</f>
        <v>0</v>
      </c>
      <c r="AH167" s="35" t="n">
        <f aca="false">$AA167*Holdings!W6</f>
        <v>3.56</v>
      </c>
      <c r="AI167" s="35" t="n">
        <f aca="false">$AA167*Holdings!X6</f>
        <v>11.0075</v>
      </c>
      <c r="AJ167" s="35" t="n">
        <f aca="false">$AA167*Holdings!Y6</f>
        <v>8.495</v>
      </c>
      <c r="AK167" s="35" t="n">
        <f aca="false">$AA167*Holdings!Z6</f>
        <v>0</v>
      </c>
      <c r="AL167" s="35" t="n">
        <f aca="false">$AA167*Holdings!AA6</f>
        <v>66.7675</v>
      </c>
      <c r="AM167" s="35" t="n">
        <f aca="false">$AA167*Holdings!AB6</f>
        <v>0</v>
      </c>
      <c r="AN167" s="35" t="n">
        <f aca="false">$AA167*Holdings!AC6</f>
        <v>7.8475</v>
      </c>
      <c r="AO167" s="43" t="n">
        <f aca="false">MIN(1,$CD$177+0.5*G167)</f>
        <v>1</v>
      </c>
      <c r="AP167" s="35" t="n">
        <f aca="false">p_liq_on*Inputs_Banks!$AP6*AO167*p_mb_psi</f>
        <v>20.688</v>
      </c>
      <c r="AQ167" s="44" t="n">
        <f aca="false">MAX(F167,E167,W167*(1-p_cb_on))</f>
        <v>0</v>
      </c>
      <c r="AR167" s="35" t="n">
        <f aca="false">p_ib_on*p_lgd_ib*g_s_in*g_u_ib*SUMPRODUCT(Network!C$6:C$29,$AQ$167:$AQ$190)</f>
        <v>18.7554113051636</v>
      </c>
      <c r="AS167" s="35" t="n">
        <f aca="false">p_sw_M1*(SUMPRODUCT(BDC_EAD!C$106:C$127,$BF$167:$BF$188)+SUMPRODUCT(BDC_EAD!C$131:C$152,$BG$167:$BG$188)+(Inputs_Banks!$Y6+p_ccf_bl*Inputs_Banks!$Z6)*$CD$190+Modules!$E6)</f>
        <v>58.8832880051148</v>
      </c>
      <c r="AT167" s="35" t="n">
        <f aca="false">p_sw_M3*(Inputs_Banks!$U6+p_ccf_abf*Inputs_Banks!$V6)*$CD$191</f>
        <v>0</v>
      </c>
      <c r="AU167" s="35" t="n">
        <f aca="false">p_sw_M10*Inputs_Banks!$AC6*$CD$192</f>
        <v>0</v>
      </c>
      <c r="AV167" s="35" t="n">
        <f aca="false">p_sw_M8*(Modules!$M6+Modules!$N6*IF(p_liq_on&gt;0,X167,p_htm_forced))</f>
        <v>21.0161031237091</v>
      </c>
      <c r="AW167" s="35" t="n">
        <f aca="false">SUMPRODUCT(Holdings!$C6:$O6,Holdings!$C$32:$O$32,$AB$192:$AN$192)+Inputs_Banks!$P6*$AL$192</f>
        <v>27.990754998401</v>
      </c>
      <c r="AX167" s="35" t="n">
        <f aca="false">Modules!$T6+AS167+AT167+AU167+AV167+AW167+AR167</f>
        <v>167.342947321811</v>
      </c>
      <c r="AY167" s="35" t="n">
        <f aca="false">Modules!$U6-(1-p_tax)*AX167</f>
        <v>136.757052678189</v>
      </c>
      <c r="AZ167" s="39" t="n">
        <f aca="false">AY167/Modules!$V6</f>
        <v>0.0579926268046499</v>
      </c>
      <c r="BA167" s="48" t="s">
        <v>634</v>
      </c>
      <c r="BB167" s="43" t="n">
        <f aca="false">INDEX($BJ$167:$BJ$200,BDC_EAD!$B6)</f>
        <v>0.428174862214715</v>
      </c>
      <c r="BC167" s="43" t="n">
        <f aca="false">INDEX($BK$167:$BK$200,BDC_EAD!$B6)</f>
        <v>0.0650596052820627</v>
      </c>
      <c r="BD167" s="22" t="n">
        <f aca="false">INDEX(BDC!$Q$6:$Q$39,BDC_EAD!$B6)</f>
        <v>0.243786096256685</v>
      </c>
      <c r="BE167" s="43" t="n">
        <f aca="false">BB167*(1-$AK$192)-BC167-p_c_liq</f>
        <v>0.12043656893603</v>
      </c>
      <c r="BF167" s="43" t="n">
        <f aca="false">p_phi*MAX(0,p_a_spv-BE167)/p_a_spv+(1-p_phi)*MAX(0,p_a_spv-BB167)/p_a_spv</f>
        <v>0.740022532011761</v>
      </c>
      <c r="BG167" s="43" t="n">
        <f aca="false">IF(BD167&gt;0,p_phi*MAX(0,BD167-BE167)/BD167+(1-p_phi)*MAX(0,BD167-BB167)/BD167,0)</f>
        <v>0.404779531612922</v>
      </c>
      <c r="BI167" s="12" t="str">
        <f aca="false">BDC!$A$6</f>
        <v>BCRED</v>
      </c>
      <c r="BJ167" s="43" t="n">
        <f aca="false">1-((1-BDC!$D$6)*$CD$183+BDC!$D$6*$CD$184)-p_gap-$CD$173*(1-BDC!$M$6)</f>
        <v>0.394270722625258</v>
      </c>
      <c r="BK167" s="43" t="n">
        <f aca="false">(1-BDC!$D$6)*$CD$185+BDC!$D$6*$CD$186</f>
        <v>0.0594332970306441</v>
      </c>
      <c r="BL167" s="45" t="n">
        <f aca="false">BJ167/BDC!$K$6</f>
        <v>0.875088677046303</v>
      </c>
      <c r="BM167" s="35" t="n">
        <f aca="false">IF(BL167&lt;1.5,BDC!$C$6,0)</f>
        <v>77.65</v>
      </c>
      <c r="BN167" s="43" t="n">
        <f aca="false">MAX(0,1-BJ167*(1-CE_mig_hc)-p_bb_cush)*BDC!$Q$6</f>
        <v>0.162261545017265</v>
      </c>
      <c r="BO167" s="43" t="n">
        <f aca="false">MAX(0,BDC!$K$6-BJ167/1.5)</f>
        <v>0.187702302132612</v>
      </c>
      <c r="BP167" s="43" t="n">
        <f aca="false">MIN(MIN(1,BDC!$H$6*$CD$176),$CD$175)</f>
        <v>0.25</v>
      </c>
      <c r="BQ167" s="43" t="n">
        <f aca="false">BDC!$I$6*BDC!$J$6*BP167*(1-0.3)</f>
        <v>0.0961538461538462</v>
      </c>
      <c r="BR167" s="45" t="n">
        <f aca="false">BDC!$C$6*($CD$174*MAX(BN167,BO167)+BQ167)</f>
        <v>22.0414299144435</v>
      </c>
      <c r="BT167" s="10" t="s">
        <v>816</v>
      </c>
      <c r="BU167" s="43" t="n">
        <f aca="false">NORMSDIST((NORMSINV(CreditEngine!$D$6)-SQRT(g_rho)*$CD$171)/SQRT(1-g_rho))</f>
        <v>0.666274429098982</v>
      </c>
      <c r="BV167" s="43" t="n">
        <f aca="false">NORMSDIST((NORMSINV(MIN(0.999,CreditEngine!$D$6*p_m_sw))-SQRT(g_rho)*$CD$171)/SQRT(1-g_rho))</f>
        <v>0.838888284547613</v>
      </c>
      <c r="CC167" s="10" t="s">
        <v>973</v>
      </c>
      <c r="CD167" s="43" t="n">
        <f aca="false">$CD$153</f>
        <v>0.998189261533617</v>
      </c>
    </row>
    <row r="168" customFormat="false" ht="15" hidden="false" customHeight="true" outlineLevel="0" collapsed="false">
      <c r="A168" s="10" t="s">
        <v>499</v>
      </c>
      <c r="B168" s="35" t="n">
        <f aca="false">AY128</f>
        <v>53.0866430382107</v>
      </c>
      <c r="C168" s="39" t="n">
        <f aca="false">AZ128</f>
        <v>0.0269501064254917</v>
      </c>
      <c r="D168" s="44" t="n">
        <f aca="false">IF(C168&lt;Inputs_Banks!$I7,1,0)</f>
        <v>1</v>
      </c>
      <c r="E168" s="44" t="n">
        <f aca="false">IF(C168&lt;0.045,1,0)</f>
        <v>1</v>
      </c>
      <c r="F168" s="44" t="n">
        <f aca="false">IF(B168&lt;0,1,0)</f>
        <v>0</v>
      </c>
      <c r="G168" s="44" t="n">
        <f aca="false">MIN(6,MIN(3,INT(MAX(0,Inputs_Banks!$BA7-C168)/p_notch_step))+D168+2*E168)</f>
        <v>6</v>
      </c>
      <c r="H168" s="39" t="n">
        <f aca="false">C168-Inputs_Banks!$I7</f>
        <v>-0.0730498935745083</v>
      </c>
      <c r="I168" s="44" t="n">
        <f aca="false">RANK(H168,$H$167:$H$190,1)</f>
        <v>9</v>
      </c>
      <c r="J168" s="44" t="n">
        <f aca="false">MAX(IF(I168&lt;=g_n_weak,1,0),E168)</f>
        <v>1</v>
      </c>
      <c r="K168" s="44" t="n">
        <f aca="false">IF(I168&gt;12,1,0)*(1-E168)</f>
        <v>0</v>
      </c>
      <c r="L168" s="35" t="n">
        <f aca="false">INDEX(Inputs_Banks!$AR7:$AX7,1,G168+1)</f>
        <v>6.81</v>
      </c>
      <c r="M168" s="35" t="n">
        <f aca="false">Inputs_Banks!$AI7*MIN(1,p_u_base+$CD$170*p_u_pan_all+J168*($CD$170*p_u_pan_weak+p_u_mda*D168)+p_u_notch*G168+p_u_fail*E168)</f>
        <v>845.718</v>
      </c>
      <c r="N168" s="35" t="n">
        <f aca="false">Inputs_Banks!$AK7*MIN(1,p_w_base+p_w_pan*$CD$170+p_w_notch*G168+0.5*D168+1*E168)</f>
        <v>59.979</v>
      </c>
      <c r="O168" s="35" t="n">
        <f aca="false">Inputs_Banks!$AO7*MIN(1,p_cp_base+p_cp_pan*$CD$170+p_cp_notch*G168)</f>
        <v>27.98</v>
      </c>
      <c r="P168" s="35" t="n">
        <f aca="false">Inputs_Banks!$AN7*(p_dh+p_dh_pan*$CD$170+MIN(1,0.5*$CD$177+0.25*G168))</f>
        <v>74.3236122327501</v>
      </c>
      <c r="Q168" s="35" t="n">
        <f aca="false">Modules!$Y7</f>
        <v>25.5386092</v>
      </c>
      <c r="R168" s="35" t="n">
        <f aca="false">Inputs_Banks!$AJ7*K168</f>
        <v>0</v>
      </c>
      <c r="S168" s="35" t="n">
        <f aca="false">p_liq_on*$CD$178*SUM($M$167:$M$190)*R168/MAX(0.000000001,SUM($R$167:$R$190))</f>
        <v>0</v>
      </c>
      <c r="T168" s="35" t="n">
        <f aca="false">p_liq_on*(L168+M168+N168+O168+P168+Q168)</f>
        <v>1040.34922143275</v>
      </c>
      <c r="U168" s="35" t="n">
        <f aca="false">g_usable*Inputs_Banks!$AG7+p_cb_on*Inputs_Banks!$AQ7+S168</f>
        <v>759.9</v>
      </c>
      <c r="V168" s="35" t="n">
        <f aca="false">MAX(0,T168-U168)</f>
        <v>280.44922143275</v>
      </c>
      <c r="W168" s="44" t="n">
        <f aca="false">IF(V168&gt;0.9*Inputs_Banks!$BB7,1,0)</f>
        <v>1</v>
      </c>
      <c r="X168" s="43" t="n">
        <f aca="false">MAX(p_htm_forced,(1-p_cb_on)*MIN(1,T168/Inputs_Banks!$AG7)*g_theta_sell)</f>
        <v>0.25</v>
      </c>
      <c r="Y168" s="35" t="n">
        <f aca="false">MAX(0,Modules!$V7-B168/(Inputs_Banks!$I7+g_del_buf))</f>
        <v>1464.22492344561</v>
      </c>
      <c r="Z168" s="35" t="n">
        <f aca="false">MIN(g_del_cap*Inputs_Banks!$BB7,Y168)</f>
        <v>52.7625</v>
      </c>
      <c r="AA168" s="35" t="n">
        <f aca="false">MIN(Inputs_Banks!$BB7,V168+Z168)</f>
        <v>211.05</v>
      </c>
      <c r="AB168" s="35" t="n">
        <f aca="false">$AA168*Holdings!Q7</f>
        <v>0</v>
      </c>
      <c r="AC168" s="35" t="n">
        <f aca="false">$AA168*Holdings!R7</f>
        <v>0</v>
      </c>
      <c r="AD168" s="35" t="n">
        <f aca="false">$AA168*Holdings!S7</f>
        <v>0</v>
      </c>
      <c r="AE168" s="35" t="n">
        <f aca="false">$AA168*Holdings!T7</f>
        <v>14.32</v>
      </c>
      <c r="AF168" s="35" t="n">
        <f aca="false">$AA168*Holdings!U7</f>
        <v>45.65</v>
      </c>
      <c r="AG168" s="35" t="n">
        <f aca="false">$AA168*Holdings!V7</f>
        <v>0</v>
      </c>
      <c r="AH168" s="35" t="n">
        <f aca="false">$AA168*Holdings!W7</f>
        <v>6.9</v>
      </c>
      <c r="AI168" s="35" t="n">
        <f aca="false">$AA168*Holdings!X7</f>
        <v>8.75</v>
      </c>
      <c r="AJ168" s="35" t="n">
        <f aca="false">$AA168*Holdings!Y7</f>
        <v>14.76</v>
      </c>
      <c r="AK168" s="35" t="n">
        <f aca="false">$AA168*Holdings!Z7</f>
        <v>0</v>
      </c>
      <c r="AL168" s="35" t="n">
        <f aca="false">$AA168*Holdings!AA7</f>
        <v>120.67</v>
      </c>
      <c r="AM168" s="35" t="n">
        <f aca="false">$AA168*Holdings!AB7</f>
        <v>0</v>
      </c>
      <c r="AN168" s="35" t="n">
        <f aca="false">$AA168*Holdings!AC7</f>
        <v>0</v>
      </c>
      <c r="AO168" s="43" t="n">
        <f aca="false">MIN(1,$CD$177+0.5*G168)</f>
        <v>1</v>
      </c>
      <c r="AP168" s="35" t="n">
        <f aca="false">p_liq_on*Inputs_Banks!$AP7*AO168*p_mb_psi</f>
        <v>4.722</v>
      </c>
      <c r="AQ168" s="44" t="n">
        <f aca="false">MAX(F168,E168,W168*(1-p_cb_on))</f>
        <v>1</v>
      </c>
      <c r="AR168" s="35" t="n">
        <f aca="false">p_ib_on*p_lgd_ib*g_s_in*g_u_ib*SUMPRODUCT(Network!D$6:D$29,$AQ$167:$AQ$190)</f>
        <v>9.82416957801496</v>
      </c>
      <c r="AS168" s="35" t="n">
        <f aca="false">p_sw_M1*(SUMPRODUCT(BDC_EAD!D$106:D$127,$BF$167:$BF$188)+SUMPRODUCT(BDC_EAD!D$131:D$152,$BG$167:$BG$188)+(Inputs_Banks!$Y7+p_ccf_bl*Inputs_Banks!$Z7)*$CD$190+Modules!$E7)</f>
        <v>27.9111227157586</v>
      </c>
      <c r="AT168" s="35" t="n">
        <f aca="false">p_sw_M3*(Inputs_Banks!$U7+p_ccf_abf*Inputs_Banks!$V7)*$CD$191</f>
        <v>0</v>
      </c>
      <c r="AU168" s="35" t="n">
        <f aca="false">p_sw_M10*Inputs_Banks!$AC7*$CD$192</f>
        <v>39.156499434932</v>
      </c>
      <c r="AV168" s="35" t="n">
        <f aca="false">p_sw_M8*(Modules!$M7+Modules!$N7*IF(p_liq_on&gt;0,X168,p_htm_forced))</f>
        <v>36.823985</v>
      </c>
      <c r="AW168" s="35" t="n">
        <f aca="false">SUMPRODUCT(Holdings!$C7:$O7,Holdings!$C$32:$O$32,$AB$192:$AN$192)+Inputs_Banks!$P7*$AL$192</f>
        <v>11.4775672079968</v>
      </c>
      <c r="AX168" s="35" t="n">
        <f aca="false">Modules!$T7+AS168+AT168+AU168+AV168+AW168+AR168</f>
        <v>145.313356961789</v>
      </c>
      <c r="AY168" s="35" t="n">
        <f aca="false">Modules!$U7-(1-p_tax)*AX168</f>
        <v>53.0866430382107</v>
      </c>
      <c r="AZ168" s="39" t="n">
        <f aca="false">AY168/Modules!$V7</f>
        <v>0.0269501064254917</v>
      </c>
      <c r="BA168" s="48" t="s">
        <v>632</v>
      </c>
      <c r="BB168" s="43" t="n">
        <f aca="false">INDEX($BJ$167:$BJ$200,BDC_EAD!$B7)</f>
        <v>0.493705250996006</v>
      </c>
      <c r="BC168" s="43" t="n">
        <f aca="false">INDEX($BK$167:$BK$200,BDC_EAD!$B7)</f>
        <v>0.0608491891733852</v>
      </c>
      <c r="BD168" s="22" t="n">
        <f aca="false">INDEX(BDC!$Q$6:$Q$39,BDC_EAD!$B7)</f>
        <v>0.193373831775701</v>
      </c>
      <c r="BE168" s="43" t="n">
        <f aca="false">BB168*(1-$AK$192)-BC168-p_c_liq</f>
        <v>0.160688698874418</v>
      </c>
      <c r="BF168" s="43" t="n">
        <f aca="false">p_phi*MAX(0,p_a_spv-BE168)/p_a_spv+(1-p_phi)*MAX(0,p_a_spv-BB168)/p_a_spv</f>
        <v>0.675297129573235</v>
      </c>
      <c r="BG168" s="43" t="n">
        <f aca="false">IF(BD168&gt;0,p_phi*MAX(0,BD168-BE168)/BD168+(1-p_phi)*MAX(0,BD168-BB168)/BD168,0)</f>
        <v>0.135220500524373</v>
      </c>
      <c r="BI168" s="12" t="str">
        <f aca="false">BDC!$A$7</f>
        <v>OCIC</v>
      </c>
      <c r="BJ168" s="43" t="n">
        <f aca="false">1-((1-BDC!$D$7)*$CD$183+BDC!$D$7*$CD$184)-p_gap-$CD$173*(1-BDC!$M$7)</f>
        <v>0.421663471167733</v>
      </c>
      <c r="BK168" s="43" t="n">
        <f aca="false">(1-BDC!$D$7)*$CD$185+BDC!$D$7*$CD$186</f>
        <v>0.063979056015234</v>
      </c>
      <c r="BL168" s="45" t="n">
        <f aca="false">BJ168/BDC!$K$7</f>
        <v>0.885029923000406</v>
      </c>
      <c r="BM168" s="35" t="n">
        <f aca="false">IF(BL168&lt;1.5,BDC!$C$7,0)</f>
        <v>35.69</v>
      </c>
      <c r="BN168" s="43" t="n">
        <f aca="false">MAX(0,1-BJ168*(1-CE_mig_hc)-p_bb_cush)*BDC!$Q$7</f>
        <v>0.166158381580711</v>
      </c>
      <c r="BO168" s="43" t="n">
        <f aca="false">MAX(0,BDC!$K$7-BJ168/1.5)</f>
        <v>0.195330809797428</v>
      </c>
      <c r="BP168" s="43" t="n">
        <f aca="false">MIN(MIN(1,BDC!$H$7*$CD$176),$CD$175)</f>
        <v>0.25</v>
      </c>
      <c r="BQ168" s="43" t="n">
        <f aca="false">BDC!$I$7*BDC!$J$7*BP168*(1-0.3)</f>
        <v>0.0916230366492147</v>
      </c>
      <c r="BR168" s="45" t="n">
        <f aca="false">BDC!$C$7*($CD$174*MAX(BN168,BO168)+BQ168)</f>
        <v>10.2413827796807</v>
      </c>
      <c r="BT168" s="10" t="s">
        <v>817</v>
      </c>
      <c r="BU168" s="43" t="n">
        <f aca="false">NORMSDIST((NORMSINV(CreditEngine!$D$7)-SQRT(g_rho)*$CD$171)/SQRT(1-g_rho))</f>
        <v>0.694145194913595</v>
      </c>
      <c r="BV168" s="43" t="n">
        <f aca="false">NORMSDIST((NORMSINV(MIN(0.999,CreditEngine!$D$7*p_m_sw))-SQRT(g_rho)*$CD$171)/SQRT(1-g_rho))</f>
        <v>0.863150017491553</v>
      </c>
      <c r="CC168" s="10" t="s">
        <v>974</v>
      </c>
      <c r="CD168" s="43" t="n">
        <f aca="false">$AK$152</f>
        <v>0.45</v>
      </c>
    </row>
    <row r="169" customFormat="false" ht="15" hidden="false" customHeight="true" outlineLevel="0" collapsed="false">
      <c r="A169" s="10" t="s">
        <v>501</v>
      </c>
      <c r="B169" s="35" t="n">
        <f aca="false">AY129</f>
        <v>53.5304669527118</v>
      </c>
      <c r="C169" s="39" t="n">
        <f aca="false">AZ129</f>
        <v>0.0402347976121738</v>
      </c>
      <c r="D169" s="44" t="n">
        <f aca="false">IF(C169&lt;Inputs_Banks!$I8,1,0)</f>
        <v>1</v>
      </c>
      <c r="E169" s="44" t="n">
        <f aca="false">IF(C169&lt;0.045,1,0)</f>
        <v>1</v>
      </c>
      <c r="F169" s="44" t="n">
        <f aca="false">IF(B169&lt;0,1,0)</f>
        <v>0</v>
      </c>
      <c r="G169" s="44" t="n">
        <f aca="false">MIN(6,MIN(3,INT(MAX(0,Inputs_Banks!$BA8-C169)/p_notch_step))+D169+2*E169)</f>
        <v>6</v>
      </c>
      <c r="H169" s="39" t="n">
        <f aca="false">C169-Inputs_Banks!$I8</f>
        <v>-0.0757652023878262</v>
      </c>
      <c r="I169" s="44" t="n">
        <f aca="false">RANK(H169,$H$167:$H$190,1)</f>
        <v>8</v>
      </c>
      <c r="J169" s="44" t="n">
        <f aca="false">MAX(IF(I169&lt;=g_n_weak,1,0),E169)</f>
        <v>1</v>
      </c>
      <c r="K169" s="44" t="n">
        <f aca="false">IF(I169&gt;12,1,0)*(1-E169)</f>
        <v>0</v>
      </c>
      <c r="L169" s="35" t="n">
        <f aca="false">INDEX(Inputs_Banks!$AR8:$AX8,1,G169+1)</f>
        <v>1.5</v>
      </c>
      <c r="M169" s="35" t="n">
        <f aca="false">Inputs_Banks!$AI8*MIN(1,p_u_base+$CD$170*p_u_pan_all+J169*($CD$170*p_u_pan_weak+p_u_mda*D169)+p_u_notch*G169+p_u_fail*E169)</f>
        <v>695.13</v>
      </c>
      <c r="N169" s="35" t="n">
        <f aca="false">Inputs_Banks!$AK8*MIN(1,p_w_base+p_w_pan*$CD$170+p_w_notch*G169+0.5*D169+1*E169)</f>
        <v>60.978</v>
      </c>
      <c r="O169" s="35" t="n">
        <f aca="false">Inputs_Banks!$AO8*MIN(1,p_cp_base+p_cp_pan*$CD$170+p_cp_notch*G169)</f>
        <v>3.89</v>
      </c>
      <c r="P169" s="35" t="n">
        <f aca="false">Inputs_Banks!$AN8*(p_dh+p_dh_pan*$CD$170+MIN(1,0.5*$CD$177+0.25*G169))</f>
        <v>103.70988533276</v>
      </c>
      <c r="Q169" s="35" t="n">
        <f aca="false">Modules!$Y8</f>
        <v>24.8867432</v>
      </c>
      <c r="R169" s="35" t="n">
        <f aca="false">Inputs_Banks!$AJ8*K169</f>
        <v>0</v>
      </c>
      <c r="S169" s="35" t="n">
        <f aca="false">p_liq_on*$CD$178*SUM($M$167:$M$190)*R169/MAX(0.000000001,SUM($R$167:$R$190))</f>
        <v>0</v>
      </c>
      <c r="T169" s="35" t="n">
        <f aca="false">p_liq_on*(L169+M169+N169+O169+P169+Q169)</f>
        <v>890.09462853276</v>
      </c>
      <c r="U169" s="35" t="n">
        <f aca="false">g_usable*Inputs_Banks!$AG8+p_cb_on*Inputs_Banks!$AQ8+S169</f>
        <v>626.52</v>
      </c>
      <c r="V169" s="35" t="n">
        <f aca="false">MAX(0,T169-U169)</f>
        <v>263.57462853276</v>
      </c>
      <c r="W169" s="44" t="n">
        <f aca="false">IF(V169&gt;0.9*Inputs_Banks!$BB8,1,0)</f>
        <v>1</v>
      </c>
      <c r="X169" s="43" t="n">
        <f aca="false">MAX(p_htm_forced,(1-p_cb_on)*MIN(1,T169/Inputs_Banks!$AG8)*g_theta_sell)</f>
        <v>0.25</v>
      </c>
      <c r="Y169" s="35" t="n">
        <f aca="false">MAX(0,Modules!$V8-B169/(Inputs_Banks!$I8+g_del_buf))</f>
        <v>888.051446671803</v>
      </c>
      <c r="Z169" s="35" t="n">
        <f aca="false">MIN(g_del_cap*Inputs_Banks!$BB8,Y169)</f>
        <v>49.625</v>
      </c>
      <c r="AA169" s="35" t="n">
        <f aca="false">MIN(Inputs_Banks!$BB8,V169+Z169)</f>
        <v>198.5</v>
      </c>
      <c r="AB169" s="35" t="n">
        <f aca="false">$AA169*Holdings!Q8</f>
        <v>0</v>
      </c>
      <c r="AC169" s="35" t="n">
        <f aca="false">$AA169*Holdings!R8</f>
        <v>0</v>
      </c>
      <c r="AD169" s="35" t="n">
        <f aca="false">$AA169*Holdings!S8</f>
        <v>0</v>
      </c>
      <c r="AE169" s="35" t="n">
        <f aca="false">$AA169*Holdings!T8</f>
        <v>9.97</v>
      </c>
      <c r="AF169" s="35" t="n">
        <f aca="false">$AA169*Holdings!U8</f>
        <v>31.57</v>
      </c>
      <c r="AG169" s="35" t="n">
        <f aca="false">$AA169*Holdings!V8</f>
        <v>0</v>
      </c>
      <c r="AH169" s="35" t="n">
        <f aca="false">$AA169*Holdings!W8</f>
        <v>1.45</v>
      </c>
      <c r="AI169" s="35" t="n">
        <f aca="false">$AA169*Holdings!X8</f>
        <v>18.23</v>
      </c>
      <c r="AJ169" s="35" t="n">
        <f aca="false">$AA169*Holdings!Y8</f>
        <v>8.48</v>
      </c>
      <c r="AK169" s="35" t="n">
        <f aca="false">$AA169*Holdings!Z8</f>
        <v>0</v>
      </c>
      <c r="AL169" s="35" t="n">
        <f aca="false">$AA169*Holdings!AA8</f>
        <v>97.93</v>
      </c>
      <c r="AM169" s="35" t="n">
        <f aca="false">$AA169*Holdings!AB8</f>
        <v>0</v>
      </c>
      <c r="AN169" s="35" t="n">
        <f aca="false">$AA169*Holdings!AC8</f>
        <v>30.87</v>
      </c>
      <c r="AO169" s="43" t="n">
        <f aca="false">MIN(1,$CD$177+0.5*G169)</f>
        <v>1</v>
      </c>
      <c r="AP169" s="35" t="n">
        <f aca="false">p_liq_on*Inputs_Banks!$AP8*AO169*p_mb_psi</f>
        <v>10.488</v>
      </c>
      <c r="AQ169" s="44" t="n">
        <f aca="false">MAX(F169,E169,W169*(1-p_cb_on))</f>
        <v>1</v>
      </c>
      <c r="AR169" s="35" t="n">
        <f aca="false">p_ib_on*p_lgd_ib*g_s_in*g_u_ib*SUMPRODUCT(Network!E$6:E$29,$AQ$167:$AQ$190)</f>
        <v>8.3290801802124</v>
      </c>
      <c r="AS169" s="35" t="n">
        <f aca="false">p_sw_M1*(SUMPRODUCT(BDC_EAD!E$106:E$127,$BF$167:$BF$188)+SUMPRODUCT(BDC_EAD!E$131:E$152,$BG$167:$BG$188)+(Inputs_Banks!$Y8+p_ccf_bl*Inputs_Banks!$Z8)*$CD$190+Modules!$E8)</f>
        <v>52.4702922221031</v>
      </c>
      <c r="AT169" s="35" t="n">
        <f aca="false">p_sw_M3*(Inputs_Banks!$U8+p_ccf_abf*Inputs_Banks!$V8)*$CD$191</f>
        <v>3.2824246005951</v>
      </c>
      <c r="AU169" s="35" t="n">
        <f aca="false">p_sw_M10*Inputs_Banks!$AC8*$CD$192</f>
        <v>0</v>
      </c>
      <c r="AV169" s="35" t="n">
        <f aca="false">p_sw_M8*(Modules!$M8+Modules!$N8*IF(p_liq_on&gt;0,X169,p_htm_forced))</f>
        <v>12.27977</v>
      </c>
      <c r="AW169" s="35" t="n">
        <f aca="false">SUMPRODUCT(Holdings!$C8:$O8,Holdings!$C$32:$O$32,$AB$192:$AN$192)+Inputs_Banks!$P8*$AL$192</f>
        <v>10.4393066837293</v>
      </c>
      <c r="AX169" s="35" t="n">
        <f aca="false">Modules!$T8+AS169+AT169+AU169+AV169+AW169+AR169</f>
        <v>103.869533047288</v>
      </c>
      <c r="AY169" s="35" t="n">
        <f aca="false">Modules!$U8-(1-p_tax)*AX169</f>
        <v>53.5304669527118</v>
      </c>
      <c r="AZ169" s="39" t="n">
        <f aca="false">AY169/Modules!$V8</f>
        <v>0.0402347976121738</v>
      </c>
      <c r="BA169" s="48" t="s">
        <v>636</v>
      </c>
      <c r="BB169" s="43" t="n">
        <f aca="false">INDEX($BJ$167:$BJ$200,BDC_EAD!$B8)</f>
        <v>0.404374605284367</v>
      </c>
      <c r="BC169" s="43" t="n">
        <f aca="false">INDEX($BK$167:$BK$200,BDC_EAD!$B8)</f>
        <v>0.0611100114102059</v>
      </c>
      <c r="BD169" s="22" t="n">
        <f aca="false">INDEX(BDC!$Q$6:$Q$39,BDC_EAD!$B8)</f>
        <v>0.270100917431193</v>
      </c>
      <c r="BE169" s="43" t="n">
        <f aca="false">BB169*(1-$AK$192)-BC169-p_c_liq</f>
        <v>0.111296021496196</v>
      </c>
      <c r="BF169" s="43" t="n">
        <f aca="false">p_phi*MAX(0,p_a_spv-BE169)/p_a_spv+(1-p_phi)*MAX(0,p_a_spv-BB169)/p_a_spv</f>
        <v>0.757268945351671</v>
      </c>
      <c r="BG169" s="43" t="n">
        <f aca="false">IF(BD169&gt;0,p_phi*MAX(0,BD169-BE169)/BD169+(1-p_phi)*MAX(0,BD169-BB169)/BD169,0)</f>
        <v>0.470357220391009</v>
      </c>
      <c r="BI169" s="12" t="str">
        <f aca="false">BDC!$A$8</f>
        <v>ARCC</v>
      </c>
      <c r="BJ169" s="43" t="n">
        <f aca="false">1-((1-BDC!$D$8)*$CD$183+BDC!$D$8*$CD$184)-p_gap-$CD$173*(1-BDC!$M$8)</f>
        <v>0.493705250996006</v>
      </c>
      <c r="BK169" s="43" t="n">
        <f aca="false">(1-BDC!$D$8)*$CD$185+BDC!$D$8*$CD$186</f>
        <v>0.0608491891733852</v>
      </c>
      <c r="BL169" s="45" t="n">
        <f aca="false">BJ169/BDC!$K$8</f>
        <v>0.92678003257145</v>
      </c>
      <c r="BM169" s="35" t="n">
        <f aca="false">IF(BL169&lt;1.5,BDC!$C$8,0)</f>
        <v>29.35</v>
      </c>
      <c r="BN169" s="43" t="n">
        <f aca="false">MAX(0,1-BJ169*(1-CE_mig_hc)-p_bb_cush)*BDC!$Q$8</f>
        <v>0.104092949218272</v>
      </c>
      <c r="BO169" s="43" t="n">
        <f aca="false">MAX(0,BDC!$K$8-BJ169/1.5)</f>
        <v>0.203573446376494</v>
      </c>
      <c r="BP169" s="43" t="n">
        <f aca="false">MIN(MIN(1,BDC!$H$8*$CD$176),$CD$175)</f>
        <v>0</v>
      </c>
      <c r="BQ169" s="43" t="n">
        <f aca="false">BDC!$I$8*BDC!$J$8*BP169*(1-0.3)</f>
        <v>0</v>
      </c>
      <c r="BR169" s="45" t="n">
        <f aca="false">BDC!$C$8*($CD$174*MAX(BN169,BO169)+BQ169)</f>
        <v>5.97488065115011</v>
      </c>
      <c r="BT169" s="10" t="s">
        <v>818</v>
      </c>
      <c r="BU169" s="43" t="n">
        <f aca="false">NORMSDIST((NORMSINV(CreditEngine!$D$8)-SQRT(g_rho)*$CD$171)/SQRT(1-g_rho))</f>
        <v>0.778440947362696</v>
      </c>
      <c r="BV169" s="43" t="n">
        <f aca="false">NORMSDIST((NORMSINV(MIN(0.999,CreditEngine!$D$8*p_m_sw))-SQRT(g_rho)*$CD$171)/SQRT(1-g_rho))</f>
        <v>0.928422699706501</v>
      </c>
      <c r="CC169" s="10" t="s">
        <v>975</v>
      </c>
      <c r="CD169" s="45" t="n">
        <f aca="false">p_news0+g_w_cov*$CD$167+g_w_notch*SUMPRODUCT($G$167:$G$190,Inputs_Banks!$D$6:$D$29)/(3*SUM(Inputs_Banks!$D$6:$D$29))+g_w_mda*SUMPRODUCT($D$167:$D$190,Inputs_Banks!$D$6:$D$29)/SUM(Inputs_Banks!$D$6:$D$29)+g_w_def*MAX($BA$167:$BA$190)+g_w_fs*$CD$168/0.3</f>
        <v>4.13446088979863</v>
      </c>
    </row>
    <row r="170" customFormat="false" ht="15" hidden="false" customHeight="true" outlineLevel="0" collapsed="false">
      <c r="A170" s="10" t="s">
        <v>503</v>
      </c>
      <c r="B170" s="35" t="n">
        <f aca="false">AY130</f>
        <v>3.00090419934335</v>
      </c>
      <c r="C170" s="39" t="n">
        <f aca="false">AZ130</f>
        <v>0.00207390282086281</v>
      </c>
      <c r="D170" s="44" t="n">
        <f aca="false">IF(C170&lt;Inputs_Banks!$I9,1,0)</f>
        <v>1</v>
      </c>
      <c r="E170" s="44" t="n">
        <f aca="false">IF(C170&lt;0.045,1,0)</f>
        <v>1</v>
      </c>
      <c r="F170" s="44" t="n">
        <f aca="false">IF(B170&lt;0,1,0)</f>
        <v>0</v>
      </c>
      <c r="G170" s="44" t="n">
        <f aca="false">MIN(6,MIN(3,INT(MAX(0,Inputs_Banks!$BA9-C170)/p_notch_step))+D170+2*E170)</f>
        <v>6</v>
      </c>
      <c r="H170" s="39" t="n">
        <f aca="false">C170-Inputs_Banks!$I9</f>
        <v>-0.0829260971791372</v>
      </c>
      <c r="I170" s="44" t="n">
        <f aca="false">RANK(H170,$H$167:$H$190,1)</f>
        <v>7</v>
      </c>
      <c r="J170" s="44" t="n">
        <f aca="false">MAX(IF(I170&lt;=g_n_weak,1,0),E170)</f>
        <v>1</v>
      </c>
      <c r="K170" s="44" t="n">
        <f aca="false">IF(I170&gt;12,1,0)*(1-E170)</f>
        <v>0</v>
      </c>
      <c r="L170" s="35" t="n">
        <f aca="false">INDEX(Inputs_Banks!$AR9:$AX9,1,G170+1)</f>
        <v>4.1</v>
      </c>
      <c r="M170" s="35" t="n">
        <f aca="false">Inputs_Banks!$AI9*MIN(1,p_u_base+$CD$170*p_u_pan_all+J170*($CD$170*p_u_pan_weak+p_u_mda*D170)+p_u_notch*G170+p_u_fail*E170)</f>
        <v>739.028</v>
      </c>
      <c r="N170" s="35" t="n">
        <f aca="false">Inputs_Banks!$AK9*MIN(1,p_w_base+p_w_pan*$CD$170+p_w_notch*G170+0.5*D170+1*E170)</f>
        <v>25.168</v>
      </c>
      <c r="O170" s="35" t="n">
        <f aca="false">Inputs_Banks!$AO9*MIN(1,p_cp_base+p_cp_pan*$CD$170+p_cp_notch*G170)</f>
        <v>12.67</v>
      </c>
      <c r="P170" s="35" t="n">
        <f aca="false">Inputs_Banks!$AN9*(p_dh+p_dh_pan*$CD$170+MIN(1,0.5*$CD$177+0.25*G170))</f>
        <v>62.6368013541448</v>
      </c>
      <c r="Q170" s="35" t="n">
        <f aca="false">Modules!$Y9</f>
        <v>53.0660504</v>
      </c>
      <c r="R170" s="35" t="n">
        <f aca="false">Inputs_Banks!$AJ9*K170</f>
        <v>0</v>
      </c>
      <c r="S170" s="35" t="n">
        <f aca="false">p_liq_on*$CD$178*SUM($M$167:$M$190)*R170/MAX(0.000000001,SUM($R$167:$R$190))</f>
        <v>0</v>
      </c>
      <c r="T170" s="35" t="n">
        <f aca="false">p_liq_on*(L170+M170+N170+O170+P170+Q170)</f>
        <v>896.668851754145</v>
      </c>
      <c r="U170" s="35" t="n">
        <f aca="false">g_usable*Inputs_Banks!$AG9+p_cb_on*Inputs_Banks!$AQ9+S170</f>
        <v>570.088</v>
      </c>
      <c r="V170" s="35" t="n">
        <f aca="false">MAX(0,T170-U170)</f>
        <v>326.580851754145</v>
      </c>
      <c r="W170" s="44" t="n">
        <f aca="false">IF(V170&gt;0.9*Inputs_Banks!$BB9,1,0)</f>
        <v>1</v>
      </c>
      <c r="X170" s="43" t="n">
        <f aca="false">MAX(p_htm_forced,(1-p_cb_on)*MIN(1,T170/Inputs_Banks!$AG9)*g_theta_sell)</f>
        <v>0.25</v>
      </c>
      <c r="Y170" s="35" t="n">
        <f aca="false">MAX(0,Modules!$V9-B170/(Inputs_Banks!$I9+g_del_buf))</f>
        <v>1413.6406200073</v>
      </c>
      <c r="Z170" s="35" t="n">
        <f aca="false">MIN(g_del_cap*Inputs_Banks!$BB9,Y170)</f>
        <v>31.935</v>
      </c>
      <c r="AA170" s="35" t="n">
        <f aca="false">MIN(Inputs_Banks!$BB9,V170+Z170)</f>
        <v>127.74</v>
      </c>
      <c r="AB170" s="35" t="n">
        <f aca="false">$AA170*Holdings!Q9</f>
        <v>0</v>
      </c>
      <c r="AC170" s="35" t="n">
        <f aca="false">$AA170*Holdings!R9</f>
        <v>0</v>
      </c>
      <c r="AD170" s="35" t="n">
        <f aca="false">$AA170*Holdings!S9</f>
        <v>0</v>
      </c>
      <c r="AE170" s="35" t="n">
        <f aca="false">$AA170*Holdings!T9</f>
        <v>29.87</v>
      </c>
      <c r="AF170" s="35" t="n">
        <f aca="false">$AA170*Holdings!U9</f>
        <v>17.09</v>
      </c>
      <c r="AG170" s="35" t="n">
        <f aca="false">$AA170*Holdings!V9</f>
        <v>0</v>
      </c>
      <c r="AH170" s="35" t="n">
        <f aca="false">$AA170*Holdings!W9</f>
        <v>5.03</v>
      </c>
      <c r="AI170" s="35" t="n">
        <f aca="false">$AA170*Holdings!X9</f>
        <v>13.21</v>
      </c>
      <c r="AJ170" s="35" t="n">
        <f aca="false">$AA170*Holdings!Y9</f>
        <v>5.26</v>
      </c>
      <c r="AK170" s="35" t="n">
        <f aca="false">$AA170*Holdings!Z9</f>
        <v>0</v>
      </c>
      <c r="AL170" s="35" t="n">
        <f aca="false">$AA170*Holdings!AA9</f>
        <v>37.96</v>
      </c>
      <c r="AM170" s="35" t="n">
        <f aca="false">$AA170*Holdings!AB9</f>
        <v>0</v>
      </c>
      <c r="AN170" s="35" t="n">
        <f aca="false">$AA170*Holdings!AC9</f>
        <v>19.32</v>
      </c>
      <c r="AO170" s="43" t="n">
        <f aca="false">MIN(1,$CD$177+0.5*G170)</f>
        <v>1</v>
      </c>
      <c r="AP170" s="35" t="n">
        <f aca="false">p_liq_on*Inputs_Banks!$AP9*AO170*p_mb_psi</f>
        <v>10.32</v>
      </c>
      <c r="AQ170" s="44" t="n">
        <f aca="false">MAX(F170,E170,W170*(1-p_cb_on))</f>
        <v>1</v>
      </c>
      <c r="AR170" s="35" t="n">
        <f aca="false">p_ib_on*p_lgd_ib*g_s_in*g_u_ib*SUMPRODUCT(Network!F$6:F$29,$AQ$167:$AQ$190)</f>
        <v>8.47195325842872</v>
      </c>
      <c r="AS170" s="35" t="n">
        <f aca="false">p_sw_M1*(SUMPRODUCT(BDC_EAD!F$106:F$127,$BF$167:$BF$188)+SUMPRODUCT(BDC_EAD!F$131:F$152,$BG$167:$BG$188)+(Inputs_Banks!$Y9+p_ccf_bl*Inputs_Banks!$Z9)*$CD$190+Modules!$E9)</f>
        <v>79.5487236356887</v>
      </c>
      <c r="AT170" s="35" t="n">
        <f aca="false">p_sw_M3*(Inputs_Banks!$U9+p_ccf_abf*Inputs_Banks!$V9)*$CD$191</f>
        <v>0</v>
      </c>
      <c r="AU170" s="35" t="n">
        <f aca="false">p_sw_M10*Inputs_Banks!$AC9*$CD$192</f>
        <v>0</v>
      </c>
      <c r="AV170" s="35" t="n">
        <f aca="false">p_sw_M8*(Modules!$M9+Modules!$N9*IF(p_liq_on&gt;0,X170,p_htm_forced))</f>
        <v>17.338745</v>
      </c>
      <c r="AW170" s="35" t="n">
        <f aca="false">SUMPRODUCT(Holdings!$C9:$O9,Holdings!$C$32:$O$32,$AB$192:$AN$192)+Inputs_Banks!$P9*$AL$192</f>
        <v>8.69909283222242</v>
      </c>
      <c r="AX170" s="35" t="n">
        <f aca="false">Modules!$T9+AS170+AT170+AU170+AV170+AW170+AR170</f>
        <v>131.599095800657</v>
      </c>
      <c r="AY170" s="35" t="n">
        <f aca="false">Modules!$U9-(1-p_tax)*AX170</f>
        <v>3.00090419934335</v>
      </c>
      <c r="AZ170" s="39" t="n">
        <f aca="false">AY170/Modules!$V9</f>
        <v>0.00207390282086281</v>
      </c>
      <c r="BA170" s="48" t="s">
        <v>656</v>
      </c>
      <c r="BB170" s="43" t="n">
        <f aca="false">INDEX($BJ$167:$BJ$200,BDC_EAD!$B9)</f>
        <v>0.440484450675871</v>
      </c>
      <c r="BC170" s="43" t="n">
        <f aca="false">INDEX($BK$167:$BK$200,BDC_EAD!$B9)</f>
        <v>0.0655439894361584</v>
      </c>
      <c r="BD170" s="22" t="n">
        <f aca="false">INDEX(BDC!$Q$6:$Q$39,BDC_EAD!$B9)</f>
        <v>0.275784753363229</v>
      </c>
      <c r="BE170" s="43" t="n">
        <f aca="false">BB170*(1-$AK$192)-BC170-p_c_liq</f>
        <v>0.126722458435571</v>
      </c>
      <c r="BF170" s="43" t="n">
        <f aca="false">p_phi*MAX(0,p_a_spv-BE170)/p_a_spv+(1-p_phi)*MAX(0,p_a_spv-BB170)/p_a_spv</f>
        <v>0.729321633023385</v>
      </c>
      <c r="BG170" s="43" t="n">
        <f aca="false">IF(BD170&gt;0,p_phi*MAX(0,BD170-BE170)/BD170+(1-p_phi)*MAX(0,BD170-BB170)/BD170,0)</f>
        <v>0.432401844147873</v>
      </c>
      <c r="BI170" s="12" t="str">
        <f aca="false">BDC!$A$9</f>
        <v>ADS</v>
      </c>
      <c r="BJ170" s="43" t="n">
        <f aca="false">1-((1-BDC!$D$9)*$CD$183+BDC!$D$9*$CD$184)-p_gap-$CD$173*(1-BDC!$M$9)</f>
        <v>0.428174862214715</v>
      </c>
      <c r="BK170" s="43" t="n">
        <f aca="false">(1-BDC!$D$9)*$CD$185+BDC!$D$9*$CD$186</f>
        <v>0.0650596052820627</v>
      </c>
      <c r="BL170" s="45" t="n">
        <f aca="false">BJ170/BDC!$K$9</f>
        <v>0.920329876254616</v>
      </c>
      <c r="BM170" s="35" t="n">
        <f aca="false">IF(BL170&lt;1.5,BDC!$C$9,0)</f>
        <v>25.37</v>
      </c>
      <c r="BN170" s="43" t="n">
        <f aca="false">MAX(0,1-BJ170*(1-CE_mig_hc)-p_bb_cush)*BDC!$Q$9</f>
        <v>0.145198875281454</v>
      </c>
      <c r="BO170" s="43" t="n">
        <f aca="false">MAX(0,BDC!$K$9-BJ170/1.5)</f>
        <v>0.179790733568087</v>
      </c>
      <c r="BP170" s="43" t="n">
        <f aca="false">MIN(MIN(1,BDC!$H$9*$CD$176),$CD$175)</f>
        <v>0.25</v>
      </c>
      <c r="BQ170" s="43" t="n">
        <f aca="false">BDC!$I$9*BDC!$J$9*BP170*(1-0.3)</f>
        <v>0.0935828877005347</v>
      </c>
      <c r="BR170" s="45" t="n">
        <f aca="false">BDC!$C$9*($CD$174*MAX(BN170,BO170)+BQ170)</f>
        <v>6.93548877158493</v>
      </c>
      <c r="BT170" s="10" t="s">
        <v>819</v>
      </c>
      <c r="BU170" s="43" t="n">
        <f aca="false">NORMSDIST((NORMSINV(CreditEngine!$D$9)-SQRT(g_rho)*$CD$171)/SQRT(1-g_rho))</f>
        <v>0.94008092388034</v>
      </c>
      <c r="BV170" s="43" t="n">
        <f aca="false">NORMSDIST((NORMSINV(MIN(0.999,CreditEngine!$D$9*p_m_sw))-SQRT(g_rho)*$CD$171)/SQRT(1-g_rho))</f>
        <v>0.999738169883273</v>
      </c>
      <c r="CC170" s="7" t="s">
        <v>976</v>
      </c>
      <c r="CD170" s="49" t="n">
        <f aca="false">p_panic_on*(p_S0+(1-p_S0)*MAX(0,1/(1+EXP(-($CD$169-g_theta_news)/g_tau_news))-(1/(1+EXP(g_theta_news/g_tau_news))))/(1-(1/(1+EXP(g_theta_news/g_tau_news)))))</f>
        <v>1</v>
      </c>
    </row>
    <row r="171" customFormat="false" ht="15" hidden="false" customHeight="true" outlineLevel="0" collapsed="false">
      <c r="A171" s="10" t="s">
        <v>505</v>
      </c>
      <c r="B171" s="35" t="n">
        <f aca="false">AY131</f>
        <v>9.27861486547613</v>
      </c>
      <c r="C171" s="39" t="n">
        <f aca="false">AZ131</f>
        <v>0.0105156793887712</v>
      </c>
      <c r="D171" s="44" t="n">
        <f aca="false">IF(C171&lt;Inputs_Banks!$I10,1,0)</f>
        <v>1</v>
      </c>
      <c r="E171" s="44" t="n">
        <f aca="false">IF(C171&lt;0.045,1,0)</f>
        <v>1</v>
      </c>
      <c r="F171" s="44" t="n">
        <f aca="false">IF(B171&lt;0,1,0)</f>
        <v>0</v>
      </c>
      <c r="G171" s="44" t="n">
        <f aca="false">MIN(6,MIN(3,INT(MAX(0,Inputs_Banks!$BA10-C171)/p_notch_step))+D171+2*E171)</f>
        <v>6</v>
      </c>
      <c r="H171" s="39" t="n">
        <f aca="false">C171-Inputs_Banks!$I10</f>
        <v>-0.103484320611229</v>
      </c>
      <c r="I171" s="44" t="n">
        <f aca="false">RANK(H171,$H$167:$H$190,1)</f>
        <v>4</v>
      </c>
      <c r="J171" s="44" t="n">
        <f aca="false">MAX(IF(I171&lt;=g_n_weak,1,0),E171)</f>
        <v>1</v>
      </c>
      <c r="K171" s="44" t="n">
        <f aca="false">IF(I171&gt;12,1,0)*(1-E171)</f>
        <v>0</v>
      </c>
      <c r="L171" s="35" t="n">
        <f aca="false">INDEX(Inputs_Banks!$AR10:$AX10,1,G171+1)</f>
        <v>6.6675</v>
      </c>
      <c r="M171" s="35" t="n">
        <f aca="false">Inputs_Banks!$AI10*MIN(1,p_u_base+$CD$170*p_u_pan_all+J171*($CD$170*p_u_pan_weak+p_u_mda*D171)+p_u_notch*G171+p_u_fail*E171)</f>
        <v>201.16</v>
      </c>
      <c r="N171" s="35" t="n">
        <f aca="false">Inputs_Banks!$AK10*MIN(1,p_w_base+p_w_pan*$CD$170+p_w_notch*G171+0.5*D171+1*E171)</f>
        <v>55.681</v>
      </c>
      <c r="O171" s="35" t="n">
        <f aca="false">Inputs_Banks!$AO10*MIN(1,p_cp_base+p_cp_pan*$CD$170+p_cp_notch*G171)</f>
        <v>1.51</v>
      </c>
      <c r="P171" s="35" t="n">
        <f aca="false">Inputs_Banks!$AN10*(p_dh+p_dh_pan*$CD$170+MIN(1,0.5*$CD$177+0.25*G171))</f>
        <v>172.798154371499</v>
      </c>
      <c r="Q171" s="35" t="n">
        <f aca="false">Modules!$Y10</f>
        <v>24.4757226</v>
      </c>
      <c r="R171" s="35" t="n">
        <f aca="false">Inputs_Banks!$AJ10*K171</f>
        <v>0</v>
      </c>
      <c r="S171" s="35" t="n">
        <f aca="false">p_liq_on*$CD$178*SUM($M$167:$M$190)*R171/MAX(0.000000001,SUM($R$167:$R$190))</f>
        <v>0</v>
      </c>
      <c r="T171" s="35" t="n">
        <f aca="false">p_liq_on*(L171+M171+N171+O171+P171+Q171)</f>
        <v>462.292376971499</v>
      </c>
      <c r="U171" s="35" t="n">
        <f aca="false">g_usable*Inputs_Banks!$AG10+p_cb_on*Inputs_Banks!$AQ10+S171</f>
        <v>575.89165</v>
      </c>
      <c r="V171" s="35" t="n">
        <f aca="false">MAX(0,T171-U171)</f>
        <v>0</v>
      </c>
      <c r="W171" s="44" t="n">
        <f aca="false">IF(V171&gt;0.9*Inputs_Banks!$BB10,1,0)</f>
        <v>0</v>
      </c>
      <c r="X171" s="43" t="n">
        <f aca="false">MAX(p_htm_forced,(1-p_cb_on)*MIN(1,T171/Inputs_Banks!$AG10)*g_theta_sell)</f>
        <v>0.25</v>
      </c>
      <c r="Y171" s="35" t="n">
        <f aca="false">MAX(0,Modules!$V10-B171/(Inputs_Banks!$I10+g_del_buf))</f>
        <v>804.388446508604</v>
      </c>
      <c r="Z171" s="35" t="n">
        <f aca="false">MIN(g_del_cap*Inputs_Banks!$BB10,Y171)</f>
        <v>91.7425</v>
      </c>
      <c r="AA171" s="35" t="n">
        <f aca="false">MIN(Inputs_Banks!$BB10,V171+Z171)</f>
        <v>91.7425</v>
      </c>
      <c r="AB171" s="35" t="n">
        <f aca="false">$AA171*Holdings!Q10</f>
        <v>0</v>
      </c>
      <c r="AC171" s="35" t="n">
        <f aca="false">$AA171*Holdings!R10</f>
        <v>0</v>
      </c>
      <c r="AD171" s="35" t="n">
        <f aca="false">$AA171*Holdings!S10</f>
        <v>0</v>
      </c>
      <c r="AE171" s="35" t="n">
        <f aca="false">$AA171*Holdings!T10</f>
        <v>0.2225</v>
      </c>
      <c r="AF171" s="35" t="n">
        <f aca="false">$AA171*Holdings!U10</f>
        <v>16.98</v>
      </c>
      <c r="AG171" s="35" t="n">
        <f aca="false">$AA171*Holdings!V10</f>
        <v>0</v>
      </c>
      <c r="AH171" s="35" t="n">
        <f aca="false">$AA171*Holdings!W10</f>
        <v>5.9525</v>
      </c>
      <c r="AI171" s="35" t="n">
        <f aca="false">$AA171*Holdings!X10</f>
        <v>0</v>
      </c>
      <c r="AJ171" s="35" t="n">
        <f aca="false">$AA171*Holdings!Y10</f>
        <v>5.7675</v>
      </c>
      <c r="AK171" s="35" t="n">
        <f aca="false">$AA171*Holdings!Z10</f>
        <v>0</v>
      </c>
      <c r="AL171" s="35" t="n">
        <f aca="false">$AA171*Holdings!AA10</f>
        <v>61.7925</v>
      </c>
      <c r="AM171" s="35" t="n">
        <f aca="false">$AA171*Holdings!AB10</f>
        <v>0</v>
      </c>
      <c r="AN171" s="35" t="n">
        <f aca="false">$AA171*Holdings!AC10</f>
        <v>1.0275</v>
      </c>
      <c r="AO171" s="43" t="n">
        <f aca="false">MIN(1,$CD$177+0.5*G171)</f>
        <v>1</v>
      </c>
      <c r="AP171" s="35" t="n">
        <f aca="false">p_liq_on*Inputs_Banks!$AP10*AO171*p_mb_psi</f>
        <v>1.422</v>
      </c>
      <c r="AQ171" s="44" t="n">
        <f aca="false">MAX(F171,E171,W171*(1-p_cb_on))</f>
        <v>1</v>
      </c>
      <c r="AR171" s="35" t="n">
        <f aca="false">p_ib_on*p_lgd_ib*g_s_in*g_u_ib*SUMPRODUCT(Network!G$6:G$29,$AQ$167:$AQ$190)</f>
        <v>11.7962428802982</v>
      </c>
      <c r="AS171" s="35" t="n">
        <f aca="false">p_sw_M1*(SUMPRODUCT(BDC_EAD!G$106:G$127,$BF$167:$BF$188)+SUMPRODUCT(BDC_EAD!G$131:G$152,$BG$167:$BG$188)+(Inputs_Banks!$Y10+p_ccf_bl*Inputs_Banks!$Z10)*$CD$190+Modules!$E10)</f>
        <v>31.3129915781768</v>
      </c>
      <c r="AT171" s="35" t="n">
        <f aca="false">p_sw_M3*(Inputs_Banks!$U10+p_ccf_abf*Inputs_Banks!$V10)*$CD$191</f>
        <v>0</v>
      </c>
      <c r="AU171" s="35" t="n">
        <f aca="false">p_sw_M10*Inputs_Banks!$AC10*$CD$192</f>
        <v>0</v>
      </c>
      <c r="AV171" s="35" t="n">
        <f aca="false">p_sw_M8*(Modules!$M10+Modules!$N10*IF(p_liq_on&gt;0,X171,p_htm_forced))</f>
        <v>5.01152</v>
      </c>
      <c r="AW171" s="35" t="n">
        <f aca="false">SUMPRODUCT(Holdings!$C10:$O10,Holdings!$C$32:$O$32,$AB$192:$AN$192)+Inputs_Banks!$P10*$AL$192</f>
        <v>19.0984516984342</v>
      </c>
      <c r="AX171" s="35" t="n">
        <f aca="false">Modules!$T10+AS171+AT171+AU171+AV171+AW171+AR171</f>
        <v>92.1213851345239</v>
      </c>
      <c r="AY171" s="35" t="n">
        <f aca="false">Modules!$U10-(1-p_tax)*AX171</f>
        <v>9.27861486547613</v>
      </c>
      <c r="AZ171" s="39" t="n">
        <f aca="false">AY171/Modules!$V10</f>
        <v>0.0105156793887712</v>
      </c>
      <c r="BA171" s="48" t="s">
        <v>629</v>
      </c>
      <c r="BB171" s="43" t="n">
        <f aca="false">INDEX($BJ$167:$BJ$200,BDC_EAD!$B10)</f>
        <v>0.394270722625258</v>
      </c>
      <c r="BC171" s="43" t="n">
        <f aca="false">INDEX($BK$167:$BK$200,BDC_EAD!$B10)</f>
        <v>0.0594332970306441</v>
      </c>
      <c r="BD171" s="22" t="n">
        <f aca="false">INDEX(BDC!$Q$6:$Q$39,BDC_EAD!$B10)</f>
        <v>0.259516483516484</v>
      </c>
      <c r="BE171" s="43" t="n">
        <f aca="false">BB171*(1-$AK$192)-BC171-p_c_liq</f>
        <v>0.107415600413248</v>
      </c>
      <c r="BF171" s="43" t="n">
        <f aca="false">p_phi*MAX(0,p_a_spv-BE171)/p_a_spv+(1-p_phi)*MAX(0,p_a_spv-BB171)/p_a_spv</f>
        <v>0.764590535920501</v>
      </c>
      <c r="BG171" s="43" t="n">
        <f aca="false">IF(BD171&gt;0,p_phi*MAX(0,BD171-BE171)/BD171+(1-p_phi)*MAX(0,BD171-BB171)/BD171,0)</f>
        <v>0.468874673522848</v>
      </c>
      <c r="BI171" s="12" t="str">
        <f aca="false">BDC!$A$10</f>
        <v>HLEND</v>
      </c>
      <c r="BJ171" s="43" t="n">
        <f aca="false">1-((1-BDC!$D$10)*$CD$183+BDC!$D$10*$CD$184)-p_gap-$CD$173*(1-BDC!$M$10)</f>
        <v>0.412682242137413</v>
      </c>
      <c r="BK171" s="43" t="n">
        <f aca="false">(1-BDC!$D$10)*$CD$185+BDC!$D$10*$CD$186</f>
        <v>0.0624886432334012</v>
      </c>
      <c r="BL171" s="45" t="n">
        <f aca="false">BJ171/BDC!$K$10</f>
        <v>0.825364484274826</v>
      </c>
      <c r="BM171" s="35" t="n">
        <f aca="false">IF(BL171&lt;1.5,BDC!$C$10,0)</f>
        <v>24.18</v>
      </c>
      <c r="BN171" s="43" t="n">
        <f aca="false">MAX(0,1-BJ171*(1-CE_mig_hc)-p_bb_cush)*BDC!$Q$10</f>
        <v>0.166906113401486</v>
      </c>
      <c r="BO171" s="43" t="n">
        <f aca="false">MAX(0,BDC!$K$10-BJ171/1.5)</f>
        <v>0.224878505241725</v>
      </c>
      <c r="BP171" s="43" t="n">
        <f aca="false">MIN(MIN(1,BDC!$H$10*$CD$176),$CD$175)</f>
        <v>0.25</v>
      </c>
      <c r="BQ171" s="43" t="n">
        <f aca="false">BDC!$I$10*BDC!$J$10*BP171*(1-0.3)</f>
        <v>0.0875</v>
      </c>
      <c r="BR171" s="45" t="n">
        <f aca="false">BDC!$C$10*($CD$174*MAX(BN171,BO171)+BQ171)</f>
        <v>7.5533122567449</v>
      </c>
      <c r="BT171" s="10" t="s">
        <v>820</v>
      </c>
      <c r="BU171" s="43" t="n">
        <f aca="false">NORMSDIST((NORMSINV(CreditEngine!$D$10)-SQRT(g_rho)*$CD$171)/SQRT(1-g_rho))</f>
        <v>0.94008092388034</v>
      </c>
      <c r="BV171" s="43" t="n">
        <f aca="false">NORMSDIST((NORMSINV(MIN(0.999,CreditEngine!$D$10*p_m_sw))-SQRT(g_rho)*$CD$171)/SQRT(1-g_rho))</f>
        <v>0.999738169883273</v>
      </c>
      <c r="CC171" s="10" t="s">
        <v>977</v>
      </c>
      <c r="CD171" s="45" t="n">
        <f aca="false">p_z-p_zc*$CD$170</f>
        <v>-3.25</v>
      </c>
    </row>
    <row r="172" customFormat="false" ht="15" hidden="false" customHeight="true" outlineLevel="0" collapsed="false">
      <c r="A172" s="10" t="s">
        <v>507</v>
      </c>
      <c r="B172" s="35" t="n">
        <f aca="false">AY132</f>
        <v>12.2050627089213</v>
      </c>
      <c r="C172" s="39" t="n">
        <f aca="false">AZ132</f>
        <v>0.0189677475490801</v>
      </c>
      <c r="D172" s="44" t="n">
        <f aca="false">IF(C172&lt;Inputs_Banks!$I11,1,0)</f>
        <v>1</v>
      </c>
      <c r="E172" s="44" t="n">
        <f aca="false">IF(C172&lt;0.045,1,0)</f>
        <v>1</v>
      </c>
      <c r="F172" s="44" t="n">
        <f aca="false">IF(B172&lt;0,1,0)</f>
        <v>0</v>
      </c>
      <c r="G172" s="44" t="n">
        <f aca="false">MIN(6,MIN(3,INT(MAX(0,Inputs_Banks!$BA11-C172)/p_notch_step))+D172+2*E172)</f>
        <v>6</v>
      </c>
      <c r="H172" s="39" t="n">
        <f aca="false">C172-Inputs_Banks!$I11</f>
        <v>-0.0990322524509199</v>
      </c>
      <c r="I172" s="44" t="n">
        <f aca="false">RANK(H172,$H$167:$H$190,1)</f>
        <v>5</v>
      </c>
      <c r="J172" s="44" t="n">
        <f aca="false">MAX(IF(I172&lt;=g_n_weak,1,0),E172)</f>
        <v>1</v>
      </c>
      <c r="K172" s="44" t="n">
        <f aca="false">IF(I172&gt;12,1,0)*(1-E172)</f>
        <v>0</v>
      </c>
      <c r="L172" s="35" t="n">
        <f aca="false">INDEX(Inputs_Banks!$AR11:$AX11,1,G172+1)</f>
        <v>3.28125</v>
      </c>
      <c r="M172" s="35" t="n">
        <f aca="false">Inputs_Banks!$AI11*MIN(1,p_u_base+$CD$170*p_u_pan_all+J172*($CD$170*p_u_pan_weak+p_u_mda*D172)+p_u_notch*G172+p_u_fail*E172)</f>
        <v>149.742</v>
      </c>
      <c r="N172" s="35" t="n">
        <f aca="false">Inputs_Banks!$AK11*MIN(1,p_w_base+p_w_pan*$CD$170+p_w_notch*G172+0.5*D172+1*E172)</f>
        <v>9.4</v>
      </c>
      <c r="O172" s="35" t="n">
        <f aca="false">Inputs_Banks!$AO11*MIN(1,p_cp_base+p_cp_pan*$CD$170+p_cp_notch*G172)</f>
        <v>0</v>
      </c>
      <c r="P172" s="35" t="n">
        <f aca="false">Inputs_Banks!$AN11*(p_dh+p_dh_pan*$CD$170+MIN(1,0.5*$CD$177+0.25*G172))</f>
        <v>89.5356182750795</v>
      </c>
      <c r="Q172" s="35" t="n">
        <f aca="false">Modules!$Y11</f>
        <v>18.2013845</v>
      </c>
      <c r="R172" s="35" t="n">
        <f aca="false">Inputs_Banks!$AJ11*K172</f>
        <v>0</v>
      </c>
      <c r="S172" s="35" t="n">
        <f aca="false">p_liq_on*$CD$178*SUM($M$167:$M$190)*R172/MAX(0.000000001,SUM($R$167:$R$190))</f>
        <v>0</v>
      </c>
      <c r="T172" s="35" t="n">
        <f aca="false">p_liq_on*(L172+M172+N172+O172+P172+Q172)</f>
        <v>270.16025277508</v>
      </c>
      <c r="U172" s="35" t="n">
        <f aca="false">g_usable*Inputs_Banks!$AG11+p_cb_on*Inputs_Banks!$AQ11+S172</f>
        <v>351.0815</v>
      </c>
      <c r="V172" s="35" t="n">
        <f aca="false">MAX(0,T172-U172)</f>
        <v>0</v>
      </c>
      <c r="W172" s="44" t="n">
        <f aca="false">IF(V172&gt;0.9*Inputs_Banks!$BB11,1,0)</f>
        <v>0</v>
      </c>
      <c r="X172" s="43" t="n">
        <f aca="false">MAX(p_htm_forced,(1-p_cb_on)*MIN(1,T172/Inputs_Banks!$AG11)*g_theta_sell)</f>
        <v>0.211614880058183</v>
      </c>
      <c r="Y172" s="35" t="n">
        <f aca="false">MAX(0,Modules!$V11-B172/(Inputs_Banks!$I11+g_del_buf))</f>
        <v>544.235847894949</v>
      </c>
      <c r="Z172" s="35" t="n">
        <f aca="false">MIN(g_del_cap*Inputs_Banks!$BB11,Y172)</f>
        <v>74.495</v>
      </c>
      <c r="AA172" s="35" t="n">
        <f aca="false">MIN(Inputs_Banks!$BB11,V172+Z172)</f>
        <v>74.495</v>
      </c>
      <c r="AB172" s="35" t="n">
        <f aca="false">$AA172*Holdings!Q11</f>
        <v>0</v>
      </c>
      <c r="AC172" s="35" t="n">
        <f aca="false">$AA172*Holdings!R11</f>
        <v>0</v>
      </c>
      <c r="AD172" s="35" t="n">
        <f aca="false">$AA172*Holdings!S11</f>
        <v>0</v>
      </c>
      <c r="AE172" s="35" t="n">
        <f aca="false">$AA172*Holdings!T11</f>
        <v>1.6275</v>
      </c>
      <c r="AF172" s="35" t="n">
        <f aca="false">$AA172*Holdings!U11</f>
        <v>11.67</v>
      </c>
      <c r="AG172" s="35" t="n">
        <f aca="false">$AA172*Holdings!V11</f>
        <v>0</v>
      </c>
      <c r="AH172" s="35" t="n">
        <f aca="false">$AA172*Holdings!W11</f>
        <v>6.04</v>
      </c>
      <c r="AI172" s="35" t="n">
        <f aca="false">$AA172*Holdings!X11</f>
        <v>0</v>
      </c>
      <c r="AJ172" s="35" t="n">
        <f aca="false">$AA172*Holdings!Y11</f>
        <v>1.3075</v>
      </c>
      <c r="AK172" s="35" t="n">
        <f aca="false">$AA172*Holdings!Z11</f>
        <v>0</v>
      </c>
      <c r="AL172" s="35" t="n">
        <f aca="false">$AA172*Holdings!AA11</f>
        <v>52.9975</v>
      </c>
      <c r="AM172" s="35" t="n">
        <f aca="false">$AA172*Holdings!AB11</f>
        <v>0</v>
      </c>
      <c r="AN172" s="35" t="n">
        <f aca="false">$AA172*Holdings!AC11</f>
        <v>0.8525</v>
      </c>
      <c r="AO172" s="43" t="n">
        <f aca="false">MIN(1,$CD$177+0.5*G172)</f>
        <v>1</v>
      </c>
      <c r="AP172" s="35" t="n">
        <f aca="false">p_liq_on*Inputs_Banks!$AP11*AO172*p_mb_psi</f>
        <v>0</v>
      </c>
      <c r="AQ172" s="44" t="n">
        <f aca="false">MAX(F172,E172,W172*(1-p_cb_on))</f>
        <v>1</v>
      </c>
      <c r="AR172" s="35" t="n">
        <f aca="false">p_ib_on*p_lgd_ib*g_s_in*g_u_ib*SUMPRODUCT(Network!H$6:H$29,$AQ$167:$AQ$190)</f>
        <v>8.85043725068811</v>
      </c>
      <c r="AS172" s="35" t="n">
        <f aca="false">p_sw_M1*(SUMPRODUCT(BDC_EAD!H$106:H$127,$BF$167:$BF$188)+SUMPRODUCT(BDC_EAD!H$131:H$152,$BG$167:$BG$188)+(Inputs_Banks!$Y11+p_ccf_bl*Inputs_Banks!$Z11)*$CD$190+Modules!$E11)</f>
        <v>24.1216345672086</v>
      </c>
      <c r="AT172" s="35" t="n">
        <f aca="false">p_sw_M3*(Inputs_Banks!$U11+p_ccf_abf*Inputs_Banks!$V11)*$CD$191</f>
        <v>0</v>
      </c>
      <c r="AU172" s="35" t="n">
        <f aca="false">p_sw_M10*Inputs_Banks!$AC11*$CD$192</f>
        <v>0</v>
      </c>
      <c r="AV172" s="35" t="n">
        <f aca="false">p_sw_M8*(Modules!$M11+Modules!$N11*IF(p_liq_on&gt;0,X172,p_htm_forced))</f>
        <v>4.83355467504518</v>
      </c>
      <c r="AW172" s="35" t="n">
        <f aca="false">SUMPRODUCT(Holdings!$C11:$O11,Holdings!$C$32:$O$32,$AB$192:$AN$192)+Inputs_Banks!$P11*$AL$192</f>
        <v>15.3298043072842</v>
      </c>
      <c r="AX172" s="35" t="n">
        <f aca="false">Modules!$T11+AS172+AT172+AU172+AV172+AW172+AR172</f>
        <v>76.5949372910787</v>
      </c>
      <c r="AY172" s="35" t="n">
        <f aca="false">Modules!$U11-(1-p_tax)*AX172</f>
        <v>12.2050627089213</v>
      </c>
      <c r="AZ172" s="39" t="n">
        <f aca="false">AY172/Modules!$V11</f>
        <v>0.0189677475490801</v>
      </c>
      <c r="BA172" s="48" t="s">
        <v>640</v>
      </c>
      <c r="BB172" s="43" t="n">
        <f aca="false">INDEX($BJ$167:$BJ$200,BDC_EAD!$B11)</f>
        <v>0.48930871061707</v>
      </c>
      <c r="BC172" s="43" t="n">
        <f aca="false">INDEX($BK$167:$BK$200,BDC_EAD!$B11)</f>
        <v>0.0620042590793056</v>
      </c>
      <c r="BD172" s="22" t="n">
        <f aca="false">INDEX(BDC!$Q$6:$Q$39,BDC_EAD!$B11)</f>
        <v>0.18126872246696</v>
      </c>
      <c r="BE172" s="43" t="n">
        <f aca="false">BB172*(1-$AK$192)-BC172-p_c_liq</f>
        <v>0.157115531760083</v>
      </c>
      <c r="BF172" s="43" t="n">
        <f aca="false">p_phi*MAX(0,p_a_spv-BE172)/p_a_spv+(1-p_phi)*MAX(0,p_a_spv-BB172)/p_a_spv</f>
        <v>0.680636903526457</v>
      </c>
      <c r="BG172" s="43" t="n">
        <f aca="false">IF(BD172&gt;0,p_phi*MAX(0,BD172-BE172)/BD172+(1-p_phi)*MAX(0,BD172-BB172)/BD172,0)</f>
        <v>0.106596175570355</v>
      </c>
      <c r="BI172" s="12" t="str">
        <f aca="false">BDC!$A$11</f>
        <v>ASIF</v>
      </c>
      <c r="BJ172" s="43" t="n">
        <f aca="false">1-((1-BDC!$D$11)*$CD$183+BDC!$D$11*$CD$184)-p_gap-$CD$173*(1-BDC!$M$11)</f>
        <v>0.404374605284367</v>
      </c>
      <c r="BK172" s="43" t="n">
        <f aca="false">(1-BDC!$D$11)*$CD$185+BDC!$D$11*$CD$186</f>
        <v>0.0611100114102059</v>
      </c>
      <c r="BL172" s="45" t="n">
        <f aca="false">BJ172/BDC!$K$11</f>
        <v>0.747064948745695</v>
      </c>
      <c r="BM172" s="35" t="n">
        <f aca="false">IF(BL172&lt;1.5,BDC!$C$11,0)</f>
        <v>21.84</v>
      </c>
      <c r="BN172" s="43" t="n">
        <f aca="false">MAX(0,1-BJ172*(1-CE_mig_hc)-p_bb_cush)*BDC!$Q$11</f>
        <v>0.166493090846723</v>
      </c>
      <c r="BO172" s="43" t="n">
        <f aca="false">MAX(0,BDC!$K$11-BJ172/1.5)</f>
        <v>0.271701333480147</v>
      </c>
      <c r="BP172" s="43" t="n">
        <f aca="false">MIN(MIN(1,BDC!$H$11*$CD$176),$CD$175)</f>
        <v>0.25</v>
      </c>
      <c r="BQ172" s="43" t="n">
        <f aca="false">BDC!$I$11*BDC!$J$11*BP172*(1-0.3)</f>
        <v>0.0802752293577982</v>
      </c>
      <c r="BR172" s="45" t="n">
        <f aca="false">BDC!$C$11*($CD$174*MAX(BN172,BO172)+BQ172)</f>
        <v>7.68716813238072</v>
      </c>
      <c r="CC172" s="10" t="s">
        <v>978</v>
      </c>
      <c r="CD172" s="35" t="n">
        <f aca="false">p_ds+p_ds_pan*$CD$170</f>
        <v>1100</v>
      </c>
    </row>
    <row r="173" customFormat="false" ht="15" hidden="false" customHeight="true" outlineLevel="0" collapsed="false">
      <c r="A173" s="10" t="s">
        <v>509</v>
      </c>
      <c r="B173" s="35" t="n">
        <f aca="false">AY133</f>
        <v>1.94809829656393</v>
      </c>
      <c r="C173" s="39" t="n">
        <f aca="false">AZ133</f>
        <v>0.00360182651565631</v>
      </c>
      <c r="D173" s="44" t="n">
        <f aca="false">IF(C173&lt;Inputs_Banks!$I12,1,0)</f>
        <v>1</v>
      </c>
      <c r="E173" s="44" t="n">
        <f aca="false">IF(C173&lt;0.045,1,0)</f>
        <v>1</v>
      </c>
      <c r="F173" s="44" t="n">
        <f aca="false">IF(B173&lt;0,1,0)</f>
        <v>0</v>
      </c>
      <c r="G173" s="44" t="n">
        <f aca="false">MIN(6,MIN(3,INT(MAX(0,Inputs_Banks!$BA12-C173)/p_notch_step))+D173+2*E173)</f>
        <v>6</v>
      </c>
      <c r="H173" s="39" t="n">
        <f aca="false">C173-Inputs_Banks!$I12</f>
        <v>-0.0663981734843437</v>
      </c>
      <c r="I173" s="44" t="n">
        <f aca="false">RANK(H173,$H$167:$H$190,1)</f>
        <v>11</v>
      </c>
      <c r="J173" s="44" t="n">
        <f aca="false">MAX(IF(I173&lt;=g_n_weak,1,0),E173)</f>
        <v>1</v>
      </c>
      <c r="K173" s="44" t="n">
        <f aca="false">IF(I173&gt;12,1,0)*(1-E173)</f>
        <v>0</v>
      </c>
      <c r="L173" s="35" t="n">
        <f aca="false">INDEX(Inputs_Banks!$AR12:$AX12,1,G173+1)</f>
        <v>2</v>
      </c>
      <c r="M173" s="35" t="n">
        <f aca="false">Inputs_Banks!$AI12*MIN(1,p_u_base+$CD$170*p_u_pan_all+J173*($CD$170*p_u_pan_weak+p_u_mda*D173)+p_u_notch*G173+p_u_fail*E173)</f>
        <v>192.606</v>
      </c>
      <c r="N173" s="35" t="n">
        <f aca="false">Inputs_Banks!$AK12*MIN(1,p_w_base+p_w_pan*$CD$170+p_w_notch*G173+0.5*D173+1*E173)</f>
        <v>2.767</v>
      </c>
      <c r="O173" s="35" t="n">
        <f aca="false">Inputs_Banks!$AO12*MIN(1,p_cp_base+p_cp_pan*$CD$170+p_cp_notch*G173)</f>
        <v>0</v>
      </c>
      <c r="P173" s="35" t="n">
        <f aca="false">Inputs_Banks!$AN12*(p_dh+p_dh_pan*$CD$170+MIN(1,0.5*$CD$177+0.25*G173))</f>
        <v>0</v>
      </c>
      <c r="Q173" s="35" t="n">
        <f aca="false">Modules!$Y12</f>
        <v>25.4204874</v>
      </c>
      <c r="R173" s="35" t="n">
        <f aca="false">Inputs_Banks!$AJ12*K173</f>
        <v>0</v>
      </c>
      <c r="S173" s="35" t="n">
        <f aca="false">p_liq_on*$CD$178*SUM($M$167:$M$190)*R173/MAX(0.000000001,SUM($R$167:$R$190))</f>
        <v>0</v>
      </c>
      <c r="T173" s="35" t="n">
        <f aca="false">p_liq_on*(L173+M173+N173+O173+P173+Q173)</f>
        <v>222.7934874</v>
      </c>
      <c r="U173" s="35" t="n">
        <f aca="false">g_usable*Inputs_Banks!$AG12+p_cb_on*Inputs_Banks!$AQ12+S173</f>
        <v>151.195</v>
      </c>
      <c r="V173" s="35" t="n">
        <f aca="false">MAX(0,T173-U173)</f>
        <v>71.5984874</v>
      </c>
      <c r="W173" s="44" t="n">
        <f aca="false">IF(V173&gt;0.9*Inputs_Banks!$BB12,1,0)</f>
        <v>1</v>
      </c>
      <c r="X173" s="43" t="n">
        <f aca="false">MAX(p_htm_forced,(1-p_cb_on)*MIN(1,T173/Inputs_Banks!$AG12)*g_theta_sell)</f>
        <v>0.25</v>
      </c>
      <c r="Y173" s="35" t="n">
        <f aca="false">MAX(0,Modules!$V12-B173/(Inputs_Banks!$I12+g_del_buf))</f>
        <v>514.889356045814</v>
      </c>
      <c r="Z173" s="35" t="n">
        <f aca="false">MIN(g_del_cap*Inputs_Banks!$BB12,Y173)</f>
        <v>2.2875</v>
      </c>
      <c r="AA173" s="35" t="n">
        <f aca="false">MIN(Inputs_Banks!$BB12,V173+Z173)</f>
        <v>9.15</v>
      </c>
      <c r="AB173" s="35" t="n">
        <f aca="false">$AA173*Holdings!Q12</f>
        <v>0</v>
      </c>
      <c r="AC173" s="35" t="n">
        <f aca="false">$AA173*Holdings!R12</f>
        <v>0</v>
      </c>
      <c r="AD173" s="35" t="n">
        <f aca="false">$AA173*Holdings!S12</f>
        <v>0</v>
      </c>
      <c r="AE173" s="35" t="n">
        <f aca="false">$AA173*Holdings!T12</f>
        <v>2.37</v>
      </c>
      <c r="AF173" s="35" t="n">
        <f aca="false">$AA173*Holdings!U12</f>
        <v>2.02</v>
      </c>
      <c r="AG173" s="35" t="n">
        <f aca="false">$AA173*Holdings!V12</f>
        <v>0</v>
      </c>
      <c r="AH173" s="35" t="n">
        <f aca="false">$AA173*Holdings!W12</f>
        <v>0.02</v>
      </c>
      <c r="AI173" s="35" t="n">
        <f aca="false">$AA173*Holdings!X12</f>
        <v>0.06</v>
      </c>
      <c r="AJ173" s="35" t="n">
        <f aca="false">$AA173*Holdings!Y12</f>
        <v>4.68</v>
      </c>
      <c r="AK173" s="35" t="n">
        <f aca="false">$AA173*Holdings!Z12</f>
        <v>0</v>
      </c>
      <c r="AL173" s="35" t="n">
        <f aca="false">$AA173*Holdings!AA12</f>
        <v>0</v>
      </c>
      <c r="AM173" s="35" t="n">
        <f aca="false">$AA173*Holdings!AB12</f>
        <v>0</v>
      </c>
      <c r="AN173" s="35" t="n">
        <f aca="false">$AA173*Holdings!AC12</f>
        <v>0</v>
      </c>
      <c r="AO173" s="43" t="n">
        <f aca="false">MIN(1,$CD$177+0.5*G173)</f>
        <v>1</v>
      </c>
      <c r="AP173" s="35" t="n">
        <f aca="false">p_liq_on*Inputs_Banks!$AP12*AO173*p_mb_psi</f>
        <v>0</v>
      </c>
      <c r="AQ173" s="44" t="n">
        <f aca="false">MAX(F173,E173,W173*(1-p_cb_on))</f>
        <v>1</v>
      </c>
      <c r="AR173" s="35" t="n">
        <f aca="false">p_ib_on*p_lgd_ib*g_s_in*g_u_ib*SUMPRODUCT(Network!I$6:I$29,$AQ$167:$AQ$190)</f>
        <v>0.553400080853143</v>
      </c>
      <c r="AS173" s="35" t="n">
        <f aca="false">p_sw_M1*(SUMPRODUCT(BDC_EAD!I$106:I$127,$BF$167:$BF$188)+SUMPRODUCT(BDC_EAD!I$131:I$152,$BG$167:$BG$188)+(Inputs_Banks!$Y12+p_ccf_bl*Inputs_Banks!$Z12)*$CD$190+Modules!$E12)</f>
        <v>37.3288498355516</v>
      </c>
      <c r="AT173" s="35" t="n">
        <f aca="false">p_sw_M3*(Inputs_Banks!$U12+p_ccf_abf*Inputs_Banks!$V12)*$CD$191</f>
        <v>0</v>
      </c>
      <c r="AU173" s="35" t="n">
        <f aca="false">p_sw_M10*Inputs_Banks!$AC12*$CD$192</f>
        <v>0</v>
      </c>
      <c r="AV173" s="35" t="n">
        <f aca="false">p_sw_M8*(Modules!$M12+Modules!$N12*IF(p_liq_on&gt;0,X173,p_htm_forced))</f>
        <v>2.868215</v>
      </c>
      <c r="AW173" s="35" t="n">
        <f aca="false">SUMPRODUCT(Holdings!$C12:$O12,Holdings!$C$32:$O$32,$AB$192:$AN$192)+Inputs_Banks!$P12*$AL$192</f>
        <v>0.917839985949254</v>
      </c>
      <c r="AX173" s="35" t="n">
        <f aca="false">Modules!$T12+AS173+AT173+AU173+AV173+AW173+AR173</f>
        <v>47.1519017034361</v>
      </c>
      <c r="AY173" s="35" t="n">
        <f aca="false">Modules!$U12-(1-p_tax)*AX173</f>
        <v>1.94809829656393</v>
      </c>
      <c r="AZ173" s="39" t="n">
        <f aca="false">AY173/Modules!$V12</f>
        <v>0.00360182651565631</v>
      </c>
      <c r="BA173" s="48" t="s">
        <v>657</v>
      </c>
      <c r="BB173" s="43" t="n">
        <f aca="false">INDEX($BJ$167:$BJ$200,BDC_EAD!$B12)</f>
        <v>0.378165749019815</v>
      </c>
      <c r="BC173" s="43" t="n">
        <f aca="false">INDEX($BK$167:$BK$200,BDC_EAD!$B12)</f>
        <v>0.0643143988911463</v>
      </c>
      <c r="BD173" s="22" t="n">
        <f aca="false">INDEX(BDC!$Q$6:$Q$39,BDC_EAD!$B12)</f>
        <v>0.295054794520548</v>
      </c>
      <c r="BE173" s="43" t="n">
        <f aca="false">BB173*(1-$AK$192)-BC173-p_c_liq</f>
        <v>0.0936767630697516</v>
      </c>
      <c r="BF173" s="43" t="n">
        <f aca="false">p_phi*MAX(0,p_a_spv-BE173)/p_a_spv+(1-p_phi)*MAX(0,p_a_spv-BB173)/p_a_spv</f>
        <v>0.784893485343194</v>
      </c>
      <c r="BG173" s="43" t="n">
        <f aca="false">IF(BD173&gt;0,p_phi*MAX(0,BD173-BE173)/BD173+(1-p_phi)*MAX(0,BD173-BB173)/BD173,0)</f>
        <v>0.546008497921283</v>
      </c>
      <c r="BI173" s="12" t="str">
        <f aca="false">BDC!$A$12</f>
        <v>GS PCC</v>
      </c>
      <c r="BJ173" s="43" t="n">
        <f aca="false">1-((1-BDC!$D$12)*$CD$183+BDC!$D$12*$CD$184)-p_gap-$CD$173*(1-BDC!$M$12)</f>
        <v>0.398087744963144</v>
      </c>
      <c r="BK173" s="43" t="n">
        <f aca="false">(1-BDC!$D$12)*$CD$185+BDC!$D$12*$CD$186</f>
        <v>0.060066722462923</v>
      </c>
      <c r="BL173" s="45" t="n">
        <f aca="false">BJ173/BDC!$K$12</f>
        <v>0.812762479299751</v>
      </c>
      <c r="BM173" s="35" t="n">
        <f aca="false">IF(BL173&lt;1.5,BDC!$C$12,0)</f>
        <v>18.19</v>
      </c>
      <c r="BN173" s="43" t="n">
        <f aca="false">MAX(0,1-BJ173*(1-CE_mig_hc)-p_bb_cush)*BDC!$Q$12</f>
        <v>0.171189689900712</v>
      </c>
      <c r="BO173" s="43" t="n">
        <f aca="false">MAX(0,BDC!$K$12-BJ173/1.5)</f>
        <v>0.224404088391918</v>
      </c>
      <c r="BP173" s="43" t="n">
        <f aca="false">MIN(MIN(1,BDC!$H$12*$CD$176),$CD$175)</f>
        <v>0.0609</v>
      </c>
      <c r="BQ173" s="43" t="n">
        <f aca="false">BDC!$I$12*BDC!$J$12*BP173*(1-0.3)</f>
        <v>0.02175</v>
      </c>
      <c r="BR173" s="45" t="n">
        <f aca="false">BDC!$C$12*($CD$174*MAX(BN173,BO173)+BQ173)</f>
        <v>4.47754286784899</v>
      </c>
      <c r="CC173" s="10" t="s">
        <v>979</v>
      </c>
      <c r="CD173" s="43" t="n">
        <f aca="false">p_w_mkt+(1-p_w_mkt)*$CD$170</f>
        <v>1</v>
      </c>
    </row>
    <row r="174" customFormat="false" ht="15" hidden="false" customHeight="true" outlineLevel="0" collapsed="false">
      <c r="A174" s="10" t="s">
        <v>510</v>
      </c>
      <c r="B174" s="35" t="n">
        <f aca="false">AY134</f>
        <v>27.938944824402</v>
      </c>
      <c r="C174" s="39" t="n">
        <f aca="false">AZ134</f>
        <v>0.0509039617393305</v>
      </c>
      <c r="D174" s="44" t="n">
        <f aca="false">IF(C174&lt;Inputs_Banks!$I13,1,0)</f>
        <v>1</v>
      </c>
      <c r="E174" s="44" t="n">
        <f aca="false">IF(C174&lt;0.045,1,0)</f>
        <v>0</v>
      </c>
      <c r="F174" s="44" t="n">
        <f aca="false">IF(B174&lt;0,1,0)</f>
        <v>0</v>
      </c>
      <c r="G174" s="44" t="n">
        <f aca="false">MIN(6,MIN(3,INT(MAX(0,Inputs_Banks!$BA13-C174)/p_notch_step))+D174+2*E174)</f>
        <v>3</v>
      </c>
      <c r="H174" s="39" t="n">
        <f aca="false">C174-Inputs_Banks!$I13</f>
        <v>-0.0200960382606695</v>
      </c>
      <c r="I174" s="44" t="n">
        <f aca="false">RANK(H174,$H$167:$H$190,1)</f>
        <v>21</v>
      </c>
      <c r="J174" s="44" t="n">
        <f aca="false">MAX(IF(I174&lt;=g_n_weak,1,0),E174)</f>
        <v>0</v>
      </c>
      <c r="K174" s="44" t="n">
        <f aca="false">IF(I174&gt;12,1,0)*(1-E174)</f>
        <v>1</v>
      </c>
      <c r="L174" s="35" t="n">
        <f aca="false">INDEX(Inputs_Banks!$AR13:$AX13,1,G174+1)</f>
        <v>0.225</v>
      </c>
      <c r="M174" s="35" t="n">
        <f aca="false">Inputs_Banks!$AI13*MIN(1,p_u_base+$CD$170*p_u_pan_all+J174*($CD$170*p_u_pan_weak+p_u_mda*D174)+p_u_notch*G174+p_u_fail*E174)</f>
        <v>76.383</v>
      </c>
      <c r="N174" s="35" t="n">
        <f aca="false">Inputs_Banks!$AK13*MIN(1,p_w_base+p_w_pan*$CD$170+p_w_notch*G174+0.5*D174+1*E174)</f>
        <v>37.337</v>
      </c>
      <c r="O174" s="35" t="n">
        <f aca="false">Inputs_Banks!$AO13*MIN(1,p_cp_base+p_cp_pan*$CD$170+p_cp_notch*G174)</f>
        <v>0</v>
      </c>
      <c r="P174" s="35" t="n">
        <f aca="false">Inputs_Banks!$AN13*(p_dh+p_dh_pan*$CD$170+MIN(1,0.5*$CD$177+0.25*G174))</f>
        <v>1.197105</v>
      </c>
      <c r="Q174" s="35" t="n">
        <f aca="false">Modules!$Y13</f>
        <v>12.7415604</v>
      </c>
      <c r="R174" s="35" t="n">
        <f aca="false">Inputs_Banks!$AJ13*K174</f>
        <v>532.066</v>
      </c>
      <c r="S174" s="35" t="n">
        <f aca="false">p_liq_on*$CD$178*SUM($M$167:$M$190)*R174/MAX(0.000000001,SUM($R$167:$R$190))</f>
        <v>110.18065138705</v>
      </c>
      <c r="T174" s="35" t="n">
        <f aca="false">p_liq_on*(L174+M174+N174+O174+P174+Q174)</f>
        <v>127.8836654</v>
      </c>
      <c r="U174" s="35" t="n">
        <f aca="false">g_usable*Inputs_Banks!$AG13+p_cb_on*Inputs_Banks!$AQ13+S174</f>
        <v>299.11655138705</v>
      </c>
      <c r="V174" s="35" t="n">
        <f aca="false">MAX(0,T174-U174)</f>
        <v>0</v>
      </c>
      <c r="W174" s="44" t="n">
        <f aca="false">IF(V174&gt;0.9*Inputs_Banks!$BB13,1,0)</f>
        <v>0</v>
      </c>
      <c r="X174" s="43" t="n">
        <f aca="false">MAX(p_htm_forced,(1-p_cb_on)*MIN(1,T174/Inputs_Banks!$AG13)*g_theta_sell)</f>
        <v>0.25</v>
      </c>
      <c r="Y174" s="35" t="n">
        <f aca="false">MAX(0,Modules!$V13-B174/(Inputs_Banks!$I13+g_del_buf))</f>
        <v>181.238304942079</v>
      </c>
      <c r="Z174" s="35" t="n">
        <f aca="false">MIN(g_del_cap*Inputs_Banks!$BB13,Y174)</f>
        <v>3.2525</v>
      </c>
      <c r="AA174" s="35" t="n">
        <f aca="false">MIN(Inputs_Banks!$BB13,V174+Z174)</f>
        <v>3.2525</v>
      </c>
      <c r="AB174" s="35" t="n">
        <f aca="false">$AA174*Holdings!Q13</f>
        <v>0</v>
      </c>
      <c r="AC174" s="35" t="n">
        <f aca="false">$AA174*Holdings!R13</f>
        <v>0</v>
      </c>
      <c r="AD174" s="35" t="n">
        <f aca="false">$AA174*Holdings!S13</f>
        <v>0</v>
      </c>
      <c r="AE174" s="35" t="n">
        <f aca="false">$AA174*Holdings!T13</f>
        <v>1.845</v>
      </c>
      <c r="AF174" s="35" t="n">
        <f aca="false">$AA174*Holdings!U13</f>
        <v>0</v>
      </c>
      <c r="AG174" s="35" t="n">
        <f aca="false">$AA174*Holdings!V13</f>
        <v>0</v>
      </c>
      <c r="AH174" s="35" t="n">
        <f aca="false">$AA174*Holdings!W13</f>
        <v>0.0225</v>
      </c>
      <c r="AI174" s="35" t="n">
        <f aca="false">$AA174*Holdings!X13</f>
        <v>1.095</v>
      </c>
      <c r="AJ174" s="35" t="n">
        <f aca="false">$AA174*Holdings!Y13</f>
        <v>0.29</v>
      </c>
      <c r="AK174" s="35" t="n">
        <f aca="false">$AA174*Holdings!Z13</f>
        <v>0</v>
      </c>
      <c r="AL174" s="35" t="n">
        <f aca="false">$AA174*Holdings!AA13</f>
        <v>0</v>
      </c>
      <c r="AM174" s="35" t="n">
        <f aca="false">$AA174*Holdings!AB13</f>
        <v>0</v>
      </c>
      <c r="AN174" s="35" t="n">
        <f aca="false">$AA174*Holdings!AC13</f>
        <v>0</v>
      </c>
      <c r="AO174" s="43" t="n">
        <f aca="false">MIN(1,$CD$177+0.5*G174)</f>
        <v>1</v>
      </c>
      <c r="AP174" s="35" t="n">
        <f aca="false">p_liq_on*Inputs_Banks!$AP13*AO174*p_mb_psi</f>
        <v>0.636</v>
      </c>
      <c r="AQ174" s="44" t="n">
        <f aca="false">MAX(F174,E174,W174*(1-p_cb_on))</f>
        <v>0</v>
      </c>
      <c r="AR174" s="35" t="n">
        <f aca="false">p_ib_on*p_lgd_ib*g_s_in*g_u_ib*SUMPRODUCT(Network!J$6:J$29,$AQ$167:$AQ$190)</f>
        <v>0.644762362033408</v>
      </c>
      <c r="AS174" s="35" t="n">
        <f aca="false">p_sw_M1*(SUMPRODUCT(BDC_EAD!J$106:J$127,$BF$167:$BF$188)+SUMPRODUCT(BDC_EAD!J$131:J$152,$BG$167:$BG$188)+(Inputs_Banks!$Y13+p_ccf_bl*Inputs_Banks!$Z13)*$CD$190+Modules!$E13)</f>
        <v>14.5195684657137</v>
      </c>
      <c r="AT174" s="35" t="n">
        <f aca="false">p_sw_M3*(Inputs_Banks!$U13+p_ccf_abf*Inputs_Banks!$V13)*$CD$191</f>
        <v>0</v>
      </c>
      <c r="AU174" s="35" t="n">
        <f aca="false">p_sw_M10*Inputs_Banks!$AC13*$CD$192</f>
        <v>0</v>
      </c>
      <c r="AV174" s="35" t="n">
        <f aca="false">p_sw_M8*(Modules!$M13+Modules!$N13*IF(p_liq_on&gt;0,X174,p_htm_forced))</f>
        <v>5.14480625</v>
      </c>
      <c r="AW174" s="35" t="n">
        <f aca="false">SUMPRODUCT(Holdings!$C13:$O13,Holdings!$C$32:$O$32,$AB$192:$AN$192)+Inputs_Banks!$P13*$AL$192</f>
        <v>1.48151506912185</v>
      </c>
      <c r="AX174" s="35" t="n">
        <f aca="false">Modules!$T13+AS174+AT174+AU174+AV174+AW174+AR174</f>
        <v>27.061055175598</v>
      </c>
      <c r="AY174" s="35" t="n">
        <f aca="false">Modules!$U13-(1-p_tax)*AX174</f>
        <v>27.938944824402</v>
      </c>
      <c r="AZ174" s="39" t="n">
        <f aca="false">AY174/Modules!$V13</f>
        <v>0.0509039617393305</v>
      </c>
      <c r="BA174" s="48" t="s">
        <v>641</v>
      </c>
      <c r="BB174" s="43" t="n">
        <f aca="false">INDEX($BJ$167:$BJ$200,BDC_EAD!$B13)</f>
        <v>0.329896338848212</v>
      </c>
      <c r="BC174" s="43" t="n">
        <f aca="false">INDEX($BK$167:$BK$200,BDC_EAD!$B13)</f>
        <v>0.0624513829138554</v>
      </c>
      <c r="BD174" s="22" t="n">
        <f aca="false">INDEX(BDC!$Q$6:$Q$39,BDC_EAD!$B13)</f>
        <v>0.167256637168142</v>
      </c>
      <c r="BE174" s="43" t="n">
        <f aca="false">BB174*(1-$AK$192)-BC174-p_c_liq</f>
        <v>0.068991603452661</v>
      </c>
      <c r="BF174" s="43" t="n">
        <f aca="false">p_phi*MAX(0,p_a_spv-BE174)/p_a_spv+(1-p_phi)*MAX(0,p_a_spv-BB174)/p_a_spv</f>
        <v>0.826896356383184</v>
      </c>
      <c r="BG174" s="43" t="n">
        <f aca="false">IF(BD174&gt;0,p_phi*MAX(0,BD174-BE174)/BD174+(1-p_phi)*MAX(0,BD174-BB174)/BD174,0)</f>
        <v>0.470008415231717</v>
      </c>
      <c r="BI174" s="12" t="str">
        <f aca="false">BDC!$A$13</f>
        <v>OBDC</v>
      </c>
      <c r="BJ174" s="43" t="n">
        <f aca="false">1-((1-BDC!$D$13)*$CD$183+BDC!$D$13*$CD$184)-p_gap-$CD$173*(1-BDC!$M$13)</f>
        <v>0.393709594067855</v>
      </c>
      <c r="BK174" s="43" t="n">
        <f aca="false">(1-BDC!$D$13)*$CD$185+BDC!$D$13*$CD$186</f>
        <v>0.0647242624061503</v>
      </c>
      <c r="BL174" s="45" t="n">
        <f aca="false">BJ174/BDC!$K$13</f>
        <v>0.745236017342725</v>
      </c>
      <c r="BM174" s="35" t="n">
        <f aca="false">IF(BL174&lt;1.5,BDC!$C$13,0)</f>
        <v>14.96</v>
      </c>
      <c r="BN174" s="43" t="n">
        <f aca="false">MAX(0,1-BJ174*(1-CE_mig_hc)-p_bb_cush)*BDC!$Q$13</f>
        <v>0.111074092527053</v>
      </c>
      <c r="BO174" s="43" t="n">
        <f aca="false">MAX(0,BDC!$K$13-BJ174/1.5)</f>
        <v>0.26582882408055</v>
      </c>
      <c r="BP174" s="43" t="n">
        <f aca="false">MIN(MIN(1,BDC!$H$13*$CD$176),$CD$175)</f>
        <v>0</v>
      </c>
      <c r="BQ174" s="43" t="n">
        <f aca="false">BDC!$I$13*BDC!$J$13*BP174*(1-0.3)</f>
        <v>0</v>
      </c>
      <c r="BR174" s="45" t="n">
        <f aca="false">BDC!$C$13*($CD$174*MAX(BN174,BO174)+BQ174)</f>
        <v>3.97679920824502</v>
      </c>
      <c r="CC174" s="10" t="s">
        <v>980</v>
      </c>
      <c r="CD174" s="43" t="n">
        <f aca="false">p_theta_lev+(1-p_theta_lev)*$CD$170</f>
        <v>1</v>
      </c>
    </row>
    <row r="175" customFormat="false" ht="15" hidden="false" customHeight="true" outlineLevel="0" collapsed="false">
      <c r="A175" s="10" t="s">
        <v>512</v>
      </c>
      <c r="B175" s="35" t="n">
        <f aca="false">AY135</f>
        <v>7.3352278932168</v>
      </c>
      <c r="C175" s="39" t="n">
        <f aca="false">AZ135</f>
        <v>0.0157292211183521</v>
      </c>
      <c r="D175" s="44" t="n">
        <f aca="false">IF(C175&lt;Inputs_Banks!$I14,1,0)</f>
        <v>1</v>
      </c>
      <c r="E175" s="44" t="n">
        <f aca="false">IF(C175&lt;0.045,1,0)</f>
        <v>1</v>
      </c>
      <c r="F175" s="44" t="n">
        <f aca="false">IF(B175&lt;0,1,0)</f>
        <v>0</v>
      </c>
      <c r="G175" s="44" t="n">
        <f aca="false">MIN(6,MIN(3,INT(MAX(0,Inputs_Banks!$BA14-C175)/p_notch_step))+D175+2*E175)</f>
        <v>6</v>
      </c>
      <c r="H175" s="39" t="n">
        <f aca="false">C175-Inputs_Banks!$I14</f>
        <v>-0.0542707788816479</v>
      </c>
      <c r="I175" s="44" t="n">
        <f aca="false">RANK(H175,$H$167:$H$190,1)</f>
        <v>15</v>
      </c>
      <c r="J175" s="44" t="n">
        <f aca="false">MAX(IF(I175&lt;=g_n_weak,1,0),E175)</f>
        <v>1</v>
      </c>
      <c r="K175" s="44" t="n">
        <f aca="false">IF(I175&gt;12,1,0)*(1-E175)</f>
        <v>0</v>
      </c>
      <c r="L175" s="35" t="n">
        <f aca="false">INDEX(Inputs_Banks!$AR14:$AX14,1,G175+1)</f>
        <v>0.5568</v>
      </c>
      <c r="M175" s="35" t="n">
        <f aca="false">Inputs_Banks!$AI14*MIN(1,p_u_base+$CD$170*p_u_pan_all+J175*($CD$170*p_u_pan_weak+p_u_mda*D175)+p_u_notch*G175+p_u_fail*E175)</f>
        <v>177.002</v>
      </c>
      <c r="N175" s="35" t="n">
        <f aca="false">Inputs_Banks!$AK14*MIN(1,p_w_base+p_w_pan*$CD$170+p_w_notch*G175+0.5*D175+1*E175)</f>
        <v>3.414</v>
      </c>
      <c r="O175" s="35" t="n">
        <f aca="false">Inputs_Banks!$AO14*MIN(1,p_cp_base+p_cp_pan*$CD$170+p_cp_notch*G175)</f>
        <v>5.98</v>
      </c>
      <c r="P175" s="35" t="n">
        <f aca="false">Inputs_Banks!$AN14*(p_dh+p_dh_pan*$CD$170+MIN(1,0.5*$CD$177+0.25*G175))</f>
        <v>0.8013915</v>
      </c>
      <c r="Q175" s="35" t="n">
        <f aca="false">Modules!$Y14</f>
        <v>19.9439417</v>
      </c>
      <c r="R175" s="35" t="n">
        <f aca="false">Inputs_Banks!$AJ14*K175</f>
        <v>0</v>
      </c>
      <c r="S175" s="35" t="n">
        <f aca="false">p_liq_on*$CD$178*SUM($M$167:$M$190)*R175/MAX(0.000000001,SUM($R$167:$R$190))</f>
        <v>0</v>
      </c>
      <c r="T175" s="35" t="n">
        <f aca="false">p_liq_on*(L175+M175+N175+O175+P175+Q175)</f>
        <v>207.6981332</v>
      </c>
      <c r="U175" s="35" t="n">
        <f aca="false">g_usable*Inputs_Banks!$AG14+p_cb_on*Inputs_Banks!$AQ14+S175</f>
        <v>133.1275</v>
      </c>
      <c r="V175" s="35" t="n">
        <f aca="false">MAX(0,T175-U175)</f>
        <v>74.5706332</v>
      </c>
      <c r="W175" s="44" t="n">
        <f aca="false">IF(V175&gt;0.9*Inputs_Banks!$BB14,1,0)</f>
        <v>1</v>
      </c>
      <c r="X175" s="43" t="n">
        <f aca="false">MAX(p_htm_forced,(1-p_cb_on)*MIN(1,T175/Inputs_Banks!$AG14)*g_theta_sell)</f>
        <v>0.25</v>
      </c>
      <c r="Y175" s="35" t="n">
        <f aca="false">MAX(0,Modules!$V14-B175/(Inputs_Banks!$I14+g_del_buf))</f>
        <v>368.540961423776</v>
      </c>
      <c r="Z175" s="35" t="n">
        <f aca="false">MIN(g_del_cap*Inputs_Banks!$BB14,Y175)</f>
        <v>1.1025</v>
      </c>
      <c r="AA175" s="35" t="n">
        <f aca="false">MIN(Inputs_Banks!$BB14,V175+Z175)</f>
        <v>4.41</v>
      </c>
      <c r="AB175" s="35" t="n">
        <f aca="false">$AA175*Holdings!Q14</f>
        <v>0</v>
      </c>
      <c r="AC175" s="35" t="n">
        <f aca="false">$AA175*Holdings!R14</f>
        <v>0</v>
      </c>
      <c r="AD175" s="35" t="n">
        <f aca="false">$AA175*Holdings!S14</f>
        <v>0</v>
      </c>
      <c r="AE175" s="35" t="n">
        <f aca="false">$AA175*Holdings!T14</f>
        <v>0.34</v>
      </c>
      <c r="AF175" s="35" t="n">
        <f aca="false">$AA175*Holdings!U14</f>
        <v>0</v>
      </c>
      <c r="AG175" s="35" t="n">
        <f aca="false">$AA175*Holdings!V14</f>
        <v>0</v>
      </c>
      <c r="AH175" s="35" t="n">
        <f aca="false">$AA175*Holdings!W14</f>
        <v>0.17</v>
      </c>
      <c r="AI175" s="35" t="n">
        <f aca="false">$AA175*Holdings!X14</f>
        <v>0</v>
      </c>
      <c r="AJ175" s="35" t="n">
        <f aca="false">$AA175*Holdings!Y14</f>
        <v>1.28</v>
      </c>
      <c r="AK175" s="35" t="n">
        <f aca="false">$AA175*Holdings!Z14</f>
        <v>0</v>
      </c>
      <c r="AL175" s="35" t="n">
        <f aca="false">$AA175*Holdings!AA14</f>
        <v>0</v>
      </c>
      <c r="AM175" s="35" t="n">
        <f aca="false">$AA175*Holdings!AB14</f>
        <v>0</v>
      </c>
      <c r="AN175" s="35" t="n">
        <f aca="false">$AA175*Holdings!AC14</f>
        <v>2.62</v>
      </c>
      <c r="AO175" s="43" t="n">
        <f aca="false">MIN(1,$CD$177+0.5*G175)</f>
        <v>1</v>
      </c>
      <c r="AP175" s="35" t="n">
        <f aca="false">p_liq_on*Inputs_Banks!$AP14*AO175*p_mb_psi</f>
        <v>0.03</v>
      </c>
      <c r="AQ175" s="44" t="n">
        <f aca="false">MAX(F175,E175,W175*(1-p_cb_on))</f>
        <v>1</v>
      </c>
      <c r="AR175" s="35" t="n">
        <f aca="false">p_ib_on*p_lgd_ib*g_s_in*g_u_ib*SUMPRODUCT(Network!K$6:K$29,$AQ$167:$AQ$190)</f>
        <v>0.4977941331784</v>
      </c>
      <c r="AS175" s="35" t="n">
        <f aca="false">p_sw_M1*(SUMPRODUCT(BDC_EAD!K$106:K$127,$BF$167:$BF$188)+SUMPRODUCT(BDC_EAD!K$131:K$152,$BG$167:$BG$188)+(Inputs_Banks!$Y14+p_ccf_bl*Inputs_Banks!$Z14)*$CD$190+Modules!$E14)</f>
        <v>29.6250912216605</v>
      </c>
      <c r="AT175" s="35" t="n">
        <f aca="false">p_sw_M3*(Inputs_Banks!$U14+p_ccf_abf*Inputs_Banks!$V14)*$CD$191</f>
        <v>0</v>
      </c>
      <c r="AU175" s="35" t="n">
        <f aca="false">p_sw_M10*Inputs_Banks!$AC14*$CD$192</f>
        <v>0</v>
      </c>
      <c r="AV175" s="35" t="n">
        <f aca="false">p_sw_M8*(Modules!$M14+Modules!$N14*IF(p_liq_on&gt;0,X175,p_htm_forced))</f>
        <v>4.33808375</v>
      </c>
      <c r="AW175" s="35" t="n">
        <f aca="false">SUMPRODUCT(Holdings!$C14:$O14,Holdings!$C$32:$O$32,$AB$192:$AN$192)+Inputs_Banks!$P14*$AL$192</f>
        <v>0.41912800194433</v>
      </c>
      <c r="AX175" s="35" t="n">
        <f aca="false">Modules!$T14+AS175+AT175+AU175+AV175+AW175+AR175</f>
        <v>38.9647721067832</v>
      </c>
      <c r="AY175" s="35" t="n">
        <f aca="false">Modules!$U14-(1-p_tax)*AX175</f>
        <v>7.3352278932168</v>
      </c>
      <c r="AZ175" s="39" t="n">
        <f aca="false">AY175/Modules!$V14</f>
        <v>0.0157292211183521</v>
      </c>
      <c r="BA175" s="48" t="s">
        <v>644</v>
      </c>
      <c r="BB175" s="43" t="n">
        <f aca="false">INDEX($BJ$167:$BJ$200,BDC_EAD!$B14)</f>
        <v>0.440432081141748</v>
      </c>
      <c r="BC175" s="43" t="n">
        <f aca="false">INDEX($BK$167:$BK$200,BDC_EAD!$B14)</f>
        <v>0.0593587763915524</v>
      </c>
      <c r="BD175" s="22" t="n">
        <f aca="false">INDEX(BDC!$Q$6:$Q$39,BDC_EAD!$B14)</f>
        <v>0.198013452914798</v>
      </c>
      <c r="BE175" s="43" t="n">
        <f aca="false">BB175*(1-$AK$192)-BC175-p_c_liq</f>
        <v>0.132878868236409</v>
      </c>
      <c r="BF175" s="43" t="n">
        <f aca="false">p_phi*MAX(0,p_a_spv-BE175)/p_a_spv+(1-p_phi)*MAX(0,p_a_spv-BB175)/p_a_spv</f>
        <v>0.722300698832176</v>
      </c>
      <c r="BG175" s="43" t="n">
        <f aca="false">IF(BD175&gt;0,p_phi*MAX(0,BD175-BE175)/BD175+(1-p_phi)*MAX(0,BD175-BB175)/BD175,0)</f>
        <v>0.26315215949056</v>
      </c>
      <c r="BI175" s="12" t="str">
        <f aca="false">BDC!$A$14</f>
        <v>OTF</v>
      </c>
      <c r="BJ175" s="43" t="n">
        <f aca="false">1-((1-BDC!$D$14)*$CD$183+BDC!$D$14*$CD$184)-p_gap-$CD$173*(1-BDC!$M$14)</f>
        <v>0.261914595446638</v>
      </c>
      <c r="BK175" s="43" t="n">
        <f aca="false">(1-BDC!$D$14)*$CD$185+BDC!$D$14*$CD$186</f>
        <v>0.0568250746624368</v>
      </c>
      <c r="BL175" s="45" t="n">
        <f aca="false">BJ175/BDC!$K$14</f>
        <v>0.537614169600993</v>
      </c>
      <c r="BM175" s="35" t="n">
        <f aca="false">IF(BL175&lt;1.5,BDC!$C$14,0)</f>
        <v>14.68</v>
      </c>
      <c r="BN175" s="43" t="n">
        <f aca="false">MAX(0,1-BJ175*(1-CE_mig_hc)-p_bb_cush)*BDC!$Q$14</f>
        <v>0.230311529202363</v>
      </c>
      <c r="BO175" s="43" t="n">
        <f aca="false">MAX(0,BDC!$K$14-BJ175/1.5)</f>
        <v>0.312569756881729</v>
      </c>
      <c r="BP175" s="43" t="n">
        <f aca="false">MIN(MIN(1,BDC!$H$14*$CD$176),$CD$175)</f>
        <v>0</v>
      </c>
      <c r="BQ175" s="43" t="n">
        <f aca="false">BDC!$I$14*BDC!$J$14*BP175*(1-0.3)</f>
        <v>0</v>
      </c>
      <c r="BR175" s="45" t="n">
        <f aca="false">BDC!$C$14*($CD$174*MAX(BN175,BO175)+BQ175)</f>
        <v>4.58852403102378</v>
      </c>
      <c r="CC175" s="10" t="s">
        <v>981</v>
      </c>
      <c r="CD175" s="43" t="n">
        <f aca="false">p_red_rate+p_red_pan*$CD$170</f>
        <v>0.25</v>
      </c>
    </row>
    <row r="176" customFormat="false" ht="15" hidden="false" customHeight="true" outlineLevel="0" collapsed="false">
      <c r="A176" s="10" t="s">
        <v>514</v>
      </c>
      <c r="B176" s="35" t="n">
        <f aca="false">AY136</f>
        <v>-17.14502991394</v>
      </c>
      <c r="C176" s="39" t="n">
        <f aca="false">AZ136</f>
        <v>-0.112909158592408</v>
      </c>
      <c r="D176" s="44" t="n">
        <f aca="false">IF(C176&lt;Inputs_Banks!$I15,1,0)</f>
        <v>1</v>
      </c>
      <c r="E176" s="44" t="n">
        <f aca="false">IF(C176&lt;0.045,1,0)</f>
        <v>1</v>
      </c>
      <c r="F176" s="44" t="n">
        <f aca="false">IF(B176&lt;0,1,0)</f>
        <v>1</v>
      </c>
      <c r="G176" s="44" t="n">
        <f aca="false">MIN(6,MIN(3,INT(MAX(0,Inputs_Banks!$BA15-C176)/p_notch_step))+D176+2*E176)</f>
        <v>6</v>
      </c>
      <c r="H176" s="39" t="n">
        <f aca="false">C176-Inputs_Banks!$I15</f>
        <v>-0.192909158592408</v>
      </c>
      <c r="I176" s="44" t="n">
        <f aca="false">RANK(H176,$H$167:$H$190,1)</f>
        <v>1</v>
      </c>
      <c r="J176" s="44" t="n">
        <f aca="false">MAX(IF(I176&lt;=g_n_weak,1,0),E176)</f>
        <v>1</v>
      </c>
      <c r="K176" s="44" t="n">
        <f aca="false">IF(I176&gt;12,1,0)*(1-E176)</f>
        <v>0</v>
      </c>
      <c r="L176" s="35" t="n">
        <f aca="false">INDEX(Inputs_Banks!$AR15:$AX15,1,G176+1)</f>
        <v>1.65</v>
      </c>
      <c r="M176" s="35" t="n">
        <f aca="false">Inputs_Banks!$AI15*MIN(1,p_u_base+$CD$170*p_u_pan_all+J176*($CD$170*p_u_pan_weak+p_u_mda*D176)+p_u_notch*G176+p_u_fail*E176)</f>
        <v>232.74682</v>
      </c>
      <c r="N176" s="35" t="n">
        <f aca="false">Inputs_Banks!$AK15*MIN(1,p_w_base+p_w_pan*$CD$170+p_w_notch*G176+0.5*D176+1*E176)</f>
        <v>4.372</v>
      </c>
      <c r="O176" s="35" t="n">
        <f aca="false">Inputs_Banks!$AO15*MIN(1,p_cp_base+p_cp_pan*$CD$170+p_cp_notch*G176)</f>
        <v>0</v>
      </c>
      <c r="P176" s="35" t="n">
        <f aca="false">Inputs_Banks!$AN15*(p_dh+p_dh_pan*$CD$170+MIN(1,0.5*$CD$177+0.25*G176))</f>
        <v>0.076848062953995</v>
      </c>
      <c r="Q176" s="35" t="n">
        <f aca="false">Modules!$Y15</f>
        <v>9.3479398</v>
      </c>
      <c r="R176" s="35" t="n">
        <f aca="false">Inputs_Banks!$AJ15*K176</f>
        <v>0</v>
      </c>
      <c r="S176" s="35" t="n">
        <f aca="false">p_liq_on*$CD$178*SUM($M$167:$M$190)*R176/MAX(0.000000001,SUM($R$167:$R$190))</f>
        <v>0</v>
      </c>
      <c r="T176" s="35" t="n">
        <f aca="false">p_liq_on*(L176+M176+N176+O176+P176+Q176)</f>
        <v>248.193607862954</v>
      </c>
      <c r="U176" s="35" t="n">
        <f aca="false">g_usable*Inputs_Banks!$AG15+p_cb_on*Inputs_Banks!$AQ15+S176</f>
        <v>131.22555</v>
      </c>
      <c r="V176" s="35" t="n">
        <f aca="false">MAX(0,T176-U176)</f>
        <v>116.968057862954</v>
      </c>
      <c r="W176" s="44" t="n">
        <f aca="false">IF(V176&gt;0.9*Inputs_Banks!$BB15,1,0)</f>
        <v>1</v>
      </c>
      <c r="X176" s="43" t="n">
        <f aca="false">MAX(p_htm_forced,(1-p_cb_on)*MIN(1,T176/Inputs_Banks!$AG15)*g_theta_sell)</f>
        <v>0.25</v>
      </c>
      <c r="Y176" s="35" t="n">
        <f aca="false">MAX(0,Modules!$V15-B176/(Inputs_Banks!$I15+g_del_buf))</f>
        <v>353.554234281647</v>
      </c>
      <c r="Z176" s="35" t="n">
        <f aca="false">MIN(g_del_cap*Inputs_Banks!$BB15,Y176)</f>
        <v>4.0175</v>
      </c>
      <c r="AA176" s="35" t="n">
        <f aca="false">MIN(Inputs_Banks!$BB15,V176+Z176)</f>
        <v>16.07</v>
      </c>
      <c r="AB176" s="35" t="n">
        <f aca="false">$AA176*Holdings!Q15</f>
        <v>0</v>
      </c>
      <c r="AC176" s="35" t="n">
        <f aca="false">$AA176*Holdings!R15</f>
        <v>0</v>
      </c>
      <c r="AD176" s="35" t="n">
        <f aca="false">$AA176*Holdings!S15</f>
        <v>0</v>
      </c>
      <c r="AE176" s="35" t="n">
        <f aca="false">$AA176*Holdings!T15</f>
        <v>0.03</v>
      </c>
      <c r="AF176" s="35" t="n">
        <f aca="false">$AA176*Holdings!U15</f>
        <v>0.12</v>
      </c>
      <c r="AG176" s="35" t="n">
        <f aca="false">$AA176*Holdings!V15</f>
        <v>0</v>
      </c>
      <c r="AH176" s="35" t="n">
        <f aca="false">$AA176*Holdings!W15</f>
        <v>0</v>
      </c>
      <c r="AI176" s="35" t="n">
        <f aca="false">$AA176*Holdings!X15</f>
        <v>4.01</v>
      </c>
      <c r="AJ176" s="35" t="n">
        <f aca="false">$AA176*Holdings!Y15</f>
        <v>11.79</v>
      </c>
      <c r="AK176" s="35" t="n">
        <f aca="false">$AA176*Holdings!Z15</f>
        <v>0</v>
      </c>
      <c r="AL176" s="35" t="n">
        <f aca="false">$AA176*Holdings!AA15</f>
        <v>0</v>
      </c>
      <c r="AM176" s="35" t="n">
        <f aca="false">$AA176*Holdings!AB15</f>
        <v>0</v>
      </c>
      <c r="AN176" s="35" t="n">
        <f aca="false">$AA176*Holdings!AC15</f>
        <v>0.12</v>
      </c>
      <c r="AO176" s="43" t="n">
        <f aca="false">MIN(1,$CD$177+0.5*G176)</f>
        <v>1</v>
      </c>
      <c r="AP176" s="35" t="n">
        <f aca="false">p_liq_on*Inputs_Banks!$AP15*AO176*p_mb_psi</f>
        <v>0</v>
      </c>
      <c r="AQ176" s="44" t="n">
        <f aca="false">MAX(F176,E176,W176*(1-p_cb_on))</f>
        <v>1</v>
      </c>
      <c r="AR176" s="35" t="n">
        <f aca="false">p_ib_on*p_lgd_ib*g_s_in*g_u_ib*SUMPRODUCT(Network!L$6:L$29,$AQ$167:$AQ$190)</f>
        <v>2.98883625010824</v>
      </c>
      <c r="AS176" s="35" t="n">
        <f aca="false">p_sw_M1*(SUMPRODUCT(BDC_EAD!L$106:L$127,$BF$167:$BF$188)+SUMPRODUCT(BDC_EAD!L$131:L$152,$BG$167:$BG$188)+(Inputs_Banks!$Y15+p_ccf_bl*Inputs_Banks!$Z15)*$CD$190+Modules!$E15)</f>
        <v>21.1544650700422</v>
      </c>
      <c r="AT176" s="35" t="n">
        <f aca="false">p_sw_M3*(Inputs_Banks!$U15+p_ccf_abf*Inputs_Banks!$V15)*$CD$191</f>
        <v>0</v>
      </c>
      <c r="AU176" s="35" t="n">
        <f aca="false">p_sw_M10*Inputs_Banks!$AC15*$CD$192</f>
        <v>0</v>
      </c>
      <c r="AV176" s="35" t="n">
        <f aca="false">p_sw_M8*(Modules!$M15+Modules!$N15*IF(p_liq_on&gt;0,X176,p_htm_forced))</f>
        <v>3.383275</v>
      </c>
      <c r="AW176" s="35" t="n">
        <f aca="false">SUMPRODUCT(Holdings!$C15:$O15,Holdings!$C$32:$O$32,$AB$192:$AN$192)+Inputs_Banks!$P15*$AL$192</f>
        <v>2.55458359378958</v>
      </c>
      <c r="AX176" s="35" t="n">
        <f aca="false">Modules!$T15+AS176+AT176+AU176+AV176+AW176+AR176</f>
        <v>32.54502991394</v>
      </c>
      <c r="AY176" s="35" t="n">
        <f aca="false">Modules!$U15-(1-p_tax)*AX176</f>
        <v>-17.14502991394</v>
      </c>
      <c r="AZ176" s="39" t="n">
        <f aca="false">AY176/Modules!$V15</f>
        <v>-0.112909158592408</v>
      </c>
      <c r="BA176" s="48" t="s">
        <v>654</v>
      </c>
      <c r="BB176" s="43" t="n">
        <f aca="false">INDEX($BJ$167:$BJ$200,BDC_EAD!$B15)</f>
        <v>0.402673902876419</v>
      </c>
      <c r="BC176" s="43" t="n">
        <f aca="false">INDEX($BK$167:$BK$200,BDC_EAD!$B15)</f>
        <v>0.0617434368424848</v>
      </c>
      <c r="BD176" s="22" t="n">
        <f aca="false">INDEX(BDC!$Q$6:$Q$39,BDC_EAD!$B15)</f>
        <v>0.211491525423729</v>
      </c>
      <c r="BE176" s="43" t="n">
        <f aca="false">BB176*(1-$AK$192)-BC176-p_c_liq</f>
        <v>0.109727209739546</v>
      </c>
      <c r="BF176" s="43" t="n">
        <f aca="false">p_phi*MAX(0,p_a_spv-BE176)/p_a_spv+(1-p_phi)*MAX(0,p_a_spv-BB176)/p_a_spv</f>
        <v>0.759547788047257</v>
      </c>
      <c r="BG176" s="43" t="n">
        <f aca="false">IF(BD176&gt;0,p_phi*MAX(0,BD176-BE176)/BD176+(1-p_phi)*MAX(0,BD176-BB176)/BD176,0)</f>
        <v>0.384939549630826</v>
      </c>
      <c r="BI176" s="12" t="str">
        <f aca="false">BDC!$A$15</f>
        <v>BXSL</v>
      </c>
      <c r="BJ176" s="43" t="n">
        <f aca="false">1-((1-BDC!$D$15)*$CD$183+BDC!$D$15*$CD$184)-p_gap-$CD$173*(1-BDC!$M$15)</f>
        <v>0.48930871061707</v>
      </c>
      <c r="BK176" s="43" t="n">
        <f aca="false">(1-BDC!$D$15)*$CD$185+BDC!$D$15*$CD$186</f>
        <v>0.0620042590793056</v>
      </c>
      <c r="BL176" s="45" t="n">
        <f aca="false">BJ176/BDC!$K$15</f>
        <v>0.874591159921849</v>
      </c>
      <c r="BM176" s="35" t="n">
        <f aca="false">IF(BL176&lt;1.5,BDC!$C$15,0)</f>
        <v>13.36</v>
      </c>
      <c r="BN176" s="43" t="n">
        <f aca="false">MAX(0,1-BJ176*(1-CE_mig_hc)-p_bb_cush)*BDC!$Q$15</f>
        <v>0.0982736463037332</v>
      </c>
      <c r="BO176" s="43" t="n">
        <f aca="false">MAX(0,BDC!$K$15-BJ176/1.5)</f>
        <v>0.23326555856072</v>
      </c>
      <c r="BP176" s="43" t="n">
        <f aca="false">MIN(MIN(1,BDC!$H$15*$CD$176),$CD$175)</f>
        <v>0</v>
      </c>
      <c r="BQ176" s="43" t="n">
        <f aca="false">BDC!$I$15*BDC!$J$15*BP176*(1-0.3)</f>
        <v>0</v>
      </c>
      <c r="BR176" s="45" t="n">
        <f aca="false">BDC!$C$15*($CD$174*MAX(BN176,BO176)+BQ176)</f>
        <v>3.11642786237122</v>
      </c>
      <c r="CC176" s="10" t="s">
        <v>982</v>
      </c>
      <c r="CD176" s="45" t="n">
        <f aca="false">1+p_req_pan*$CD$170</f>
        <v>3</v>
      </c>
    </row>
    <row r="177" customFormat="false" ht="15" hidden="false" customHeight="true" outlineLevel="0" collapsed="false">
      <c r="A177" s="10" t="s">
        <v>516</v>
      </c>
      <c r="B177" s="35" t="n">
        <f aca="false">AY137</f>
        <v>6.93301753118636</v>
      </c>
      <c r="C177" s="39" t="n">
        <f aca="false">AZ137</f>
        <v>0.0334695551461126</v>
      </c>
      <c r="D177" s="44" t="n">
        <f aca="false">IF(C177&lt;Inputs_Banks!$I16,1,0)</f>
        <v>1</v>
      </c>
      <c r="E177" s="44" t="n">
        <f aca="false">IF(C177&lt;0.045,1,0)</f>
        <v>1</v>
      </c>
      <c r="F177" s="44" t="n">
        <f aca="false">IF(B177&lt;0,1,0)</f>
        <v>0</v>
      </c>
      <c r="G177" s="44" t="n">
        <f aca="false">MIN(6,MIN(3,INT(MAX(0,Inputs_Banks!$BA16-C177)/p_notch_step))+D177+2*E177)</f>
        <v>6</v>
      </c>
      <c r="H177" s="39" t="n">
        <f aca="false">C177-Inputs_Banks!$I16</f>
        <v>-0.0515304448538874</v>
      </c>
      <c r="I177" s="44" t="n">
        <f aca="false">RANK(H177,$H$167:$H$190,1)</f>
        <v>16</v>
      </c>
      <c r="J177" s="44" t="n">
        <f aca="false">MAX(IF(I177&lt;=g_n_weak,1,0),E177)</f>
        <v>1</v>
      </c>
      <c r="K177" s="44" t="n">
        <f aca="false">IF(I177&gt;12,1,0)*(1-E177)</f>
        <v>0</v>
      </c>
      <c r="L177" s="35" t="n">
        <f aca="false">INDEX(Inputs_Banks!$AR16:$AX16,1,G177+1)</f>
        <v>0.099</v>
      </c>
      <c r="M177" s="35" t="n">
        <f aca="false">Inputs_Banks!$AI16*MIN(1,p_u_base+$CD$170*p_u_pan_all+J177*($CD$170*p_u_pan_weak+p_u_mda*D177)+p_u_notch*G177+p_u_fail*E177)</f>
        <v>238.80042</v>
      </c>
      <c r="N177" s="35" t="n">
        <f aca="false">Inputs_Banks!$AK16*MIN(1,p_w_base+p_w_pan*$CD$170+p_w_notch*G177+0.5*D177+1*E177)</f>
        <v>5.217</v>
      </c>
      <c r="O177" s="35" t="n">
        <f aca="false">Inputs_Banks!$AO16*MIN(1,p_cp_base+p_cp_pan*$CD$170+p_cp_notch*G177)</f>
        <v>0</v>
      </c>
      <c r="P177" s="35" t="n">
        <f aca="false">Inputs_Banks!$AN16*(p_dh+p_dh_pan*$CD$170+MIN(1,0.5*$CD$177+0.25*G177))</f>
        <v>5.66399469476295</v>
      </c>
      <c r="Q177" s="35" t="n">
        <f aca="false">Modules!$Y16</f>
        <v>2.4536497</v>
      </c>
      <c r="R177" s="35" t="n">
        <f aca="false">Inputs_Banks!$AJ16*K177</f>
        <v>0</v>
      </c>
      <c r="S177" s="35" t="n">
        <f aca="false">p_liq_on*$CD$178*SUM($M$167:$M$190)*R177/MAX(0.000000001,SUM($R$167:$R$190))</f>
        <v>0</v>
      </c>
      <c r="T177" s="35" t="n">
        <f aca="false">p_liq_on*(L177+M177+N177+O177+P177+Q177)</f>
        <v>252.234064394763</v>
      </c>
      <c r="U177" s="35" t="n">
        <f aca="false">g_usable*Inputs_Banks!$AG16+p_cb_on*Inputs_Banks!$AQ16+S177</f>
        <v>166.7</v>
      </c>
      <c r="V177" s="35" t="n">
        <f aca="false">MAX(0,T177-U177)</f>
        <v>85.534064394763</v>
      </c>
      <c r="W177" s="44" t="n">
        <f aca="false">IF(V177&gt;0.9*Inputs_Banks!$BB16,1,0)</f>
        <v>1</v>
      </c>
      <c r="X177" s="43" t="n">
        <f aca="false">MAX(p_htm_forced,(1-p_cb_on)*MIN(1,T177/Inputs_Banks!$AG16)*g_theta_sell)</f>
        <v>0.25</v>
      </c>
      <c r="Y177" s="35" t="n">
        <f aca="false">MAX(0,Modules!$V16-B177/(Inputs_Banks!$I16+g_del_buf))</f>
        <v>130.110471875707</v>
      </c>
      <c r="Z177" s="35" t="n">
        <f aca="false">MIN(g_del_cap*Inputs_Banks!$BB16,Y177)</f>
        <v>6.73</v>
      </c>
      <c r="AA177" s="35" t="n">
        <f aca="false">MIN(Inputs_Banks!$BB16,V177+Z177)</f>
        <v>26.92</v>
      </c>
      <c r="AB177" s="35" t="n">
        <f aca="false">$AA177*Holdings!Q16</f>
        <v>0</v>
      </c>
      <c r="AC177" s="35" t="n">
        <f aca="false">$AA177*Holdings!R16</f>
        <v>0</v>
      </c>
      <c r="AD177" s="35" t="n">
        <f aca="false">$AA177*Holdings!S16</f>
        <v>0</v>
      </c>
      <c r="AE177" s="35" t="n">
        <f aca="false">$AA177*Holdings!T16</f>
        <v>0.01</v>
      </c>
      <c r="AF177" s="35" t="n">
        <f aca="false">$AA177*Holdings!U16</f>
        <v>8.57</v>
      </c>
      <c r="AG177" s="35" t="n">
        <f aca="false">$AA177*Holdings!V16</f>
        <v>0</v>
      </c>
      <c r="AH177" s="35" t="n">
        <f aca="false">$AA177*Holdings!W16</f>
        <v>0</v>
      </c>
      <c r="AI177" s="35" t="n">
        <f aca="false">$AA177*Holdings!X16</f>
        <v>8.85</v>
      </c>
      <c r="AJ177" s="35" t="n">
        <f aca="false">$AA177*Holdings!Y16</f>
        <v>3.8</v>
      </c>
      <c r="AK177" s="35" t="n">
        <f aca="false">$AA177*Holdings!Z16</f>
        <v>0</v>
      </c>
      <c r="AL177" s="35" t="n">
        <f aca="false">$AA177*Holdings!AA16</f>
        <v>0</v>
      </c>
      <c r="AM177" s="35" t="n">
        <f aca="false">$AA177*Holdings!AB16</f>
        <v>0</v>
      </c>
      <c r="AN177" s="35" t="n">
        <f aca="false">$AA177*Holdings!AC16</f>
        <v>5.69</v>
      </c>
      <c r="AO177" s="43" t="n">
        <f aca="false">MIN(1,$CD$177+0.5*G177)</f>
        <v>1</v>
      </c>
      <c r="AP177" s="35" t="n">
        <f aca="false">p_liq_on*Inputs_Banks!$AP16*AO177*p_mb_psi</f>
        <v>0.42</v>
      </c>
      <c r="AQ177" s="44" t="n">
        <f aca="false">MAX(F177,E177,W177*(1-p_cb_on))</f>
        <v>1</v>
      </c>
      <c r="AR177" s="35" t="n">
        <f aca="false">p_ib_on*p_lgd_ib*g_s_in*g_u_ib*SUMPRODUCT(Network!M$6:M$29,$AQ$167:$AQ$190)</f>
        <v>2.72751307306586</v>
      </c>
      <c r="AS177" s="35" t="n">
        <f aca="false">p_sw_M1*(SUMPRODUCT(BDC_EAD!M$106:M$127,$BF$167:$BF$188)+SUMPRODUCT(BDC_EAD!M$131:M$152,$BG$167:$BG$188)+(Inputs_Banks!$Y16+p_ccf_bl*Inputs_Banks!$Z16)*$CD$190+Modules!$E16)</f>
        <v>0.407121874997196</v>
      </c>
      <c r="AT177" s="35" t="n">
        <f aca="false">p_sw_M3*(Inputs_Banks!$U16+p_ccf_abf*Inputs_Banks!$V16)*$CD$191</f>
        <v>0</v>
      </c>
      <c r="AU177" s="35" t="n">
        <f aca="false">p_sw_M10*Inputs_Banks!$AC16*$CD$192</f>
        <v>0</v>
      </c>
      <c r="AV177" s="35" t="n">
        <f aca="false">p_sw_M8*(Modules!$M16+Modules!$N16*IF(p_liq_on&gt;0,X177,p_htm_forced))</f>
        <v>4.143335</v>
      </c>
      <c r="AW177" s="35" t="n">
        <f aca="false">SUMPRODUCT(Holdings!$C16:$O16,Holdings!$C$32:$O$32,$AB$192:$AN$192)+Inputs_Banks!$P16*$AL$192</f>
        <v>3.32048302075058</v>
      </c>
      <c r="AX177" s="35" t="n">
        <f aca="false">Modules!$T16+AS177+AT177+AU177+AV177+AW177+AR177</f>
        <v>14.0669824688136</v>
      </c>
      <c r="AY177" s="35" t="n">
        <f aca="false">Modules!$U16-(1-p_tax)*AX177</f>
        <v>6.93301753118636</v>
      </c>
      <c r="AZ177" s="39" t="n">
        <f aca="false">AY177/Modules!$V16</f>
        <v>0.0334695551461126</v>
      </c>
      <c r="BA177" s="48" t="s">
        <v>635</v>
      </c>
      <c r="BB177" s="43" t="n">
        <f aca="false">INDEX($BJ$167:$BJ$200,BDC_EAD!$B16)</f>
        <v>0.412682242137413</v>
      </c>
      <c r="BC177" s="43" t="n">
        <f aca="false">INDEX($BK$167:$BK$200,BDC_EAD!$B16)</f>
        <v>0.0624886432334012</v>
      </c>
      <c r="BD177" s="22" t="n">
        <f aca="false">INDEX(BDC!$Q$6:$Q$39,BDC_EAD!$B16)</f>
        <v>0.274</v>
      </c>
      <c r="BE177" s="43" t="n">
        <f aca="false">BB177*(1-$AK$192)-BC177-p_c_liq</f>
        <v>0.114486589942176</v>
      </c>
      <c r="BF177" s="43" t="n">
        <f aca="false">p_phi*MAX(0,p_a_spv-BE177)/p_a_spv+(1-p_phi)*MAX(0,p_a_spv-BB177)/p_a_spv</f>
        <v>0.751248970883967</v>
      </c>
      <c r="BG177" s="43" t="n">
        <f aca="false">IF(BD177&gt;0,p_phi*MAX(0,BD177-BE177)/BD177+(1-p_phi)*MAX(0,BD177-BB177)/BD177,0)</f>
        <v>0.465732584110435</v>
      </c>
      <c r="BI177" s="12" t="str">
        <f aca="false">BDC!$A$16</f>
        <v>FSK</v>
      </c>
      <c r="BJ177" s="43" t="n">
        <f aca="false">1-((1-BDC!$D$16)*$CD$183+BDC!$D$16*$CD$184)-p_gap-$CD$173*(1-BDC!$M$16)</f>
        <v>0.329896338848212</v>
      </c>
      <c r="BK177" s="43" t="n">
        <f aca="false">(1-BDC!$D$16)*$CD$185+BDC!$D$16*$CD$186</f>
        <v>0.0624513829138554</v>
      </c>
      <c r="BL177" s="45" t="n">
        <f aca="false">BJ177/BDC!$K$16</f>
        <v>0.591718829997586</v>
      </c>
      <c r="BM177" s="35" t="n">
        <f aca="false">IF(BL177&lt;1.5,BDC!$C$16,0)</f>
        <v>11.42</v>
      </c>
      <c r="BN177" s="43" t="n">
        <f aca="false">MAX(0,1-BJ177*(1-CE_mig_hc)-p_bb_cush)*BDC!$Q$16</f>
        <v>0.113991293243687</v>
      </c>
      <c r="BO177" s="43" t="n">
        <f aca="false">MAX(0,BDC!$K$16-BJ177/1.5)</f>
        <v>0.337591231328331</v>
      </c>
      <c r="BP177" s="43" t="n">
        <f aca="false">MIN(MIN(1,BDC!$H$16*$CD$176),$CD$175)</f>
        <v>0</v>
      </c>
      <c r="BQ177" s="43" t="n">
        <f aca="false">BDC!$I$16*BDC!$J$16*BP177*(1-0.3)</f>
        <v>0</v>
      </c>
      <c r="BR177" s="45" t="n">
        <f aca="false">BDC!$C$16*($CD$174*MAX(BN177,BO177)+BQ177)</f>
        <v>3.85529186176954</v>
      </c>
      <c r="CC177" s="10" t="s">
        <v>983</v>
      </c>
      <c r="CD177" s="43" t="n">
        <f aca="false">p_pull_base+p_pull_pan*$CD$170</f>
        <v>1.25</v>
      </c>
    </row>
    <row r="178" customFormat="false" ht="15" hidden="false" customHeight="true" outlineLevel="0" collapsed="false">
      <c r="A178" s="10" t="s">
        <v>518</v>
      </c>
      <c r="B178" s="35" t="n">
        <f aca="false">AY138</f>
        <v>11.8616115947604</v>
      </c>
      <c r="C178" s="39" t="n">
        <f aca="false">AZ138</f>
        <v>0.0594960655409115</v>
      </c>
      <c r="D178" s="44" t="n">
        <f aca="false">IF(C178&lt;Inputs_Banks!$I17,1,0)</f>
        <v>1</v>
      </c>
      <c r="E178" s="44" t="n">
        <f aca="false">IF(C178&lt;0.045,1,0)</f>
        <v>0</v>
      </c>
      <c r="F178" s="44" t="n">
        <f aca="false">IF(B178&lt;0,1,0)</f>
        <v>0</v>
      </c>
      <c r="G178" s="44" t="n">
        <f aca="false">MIN(6,MIN(3,INT(MAX(0,Inputs_Banks!$BA17-C178)/p_notch_step))+D178+2*E178)</f>
        <v>2</v>
      </c>
      <c r="H178" s="39" t="n">
        <f aca="false">C178-Inputs_Banks!$I17</f>
        <v>-0.0105039344590885</v>
      </c>
      <c r="I178" s="44" t="n">
        <f aca="false">RANK(H178,$H$167:$H$190,1)</f>
        <v>24</v>
      </c>
      <c r="J178" s="44" t="n">
        <f aca="false">MAX(IF(I178&lt;=g_n_weak,1,0),E178)</f>
        <v>0</v>
      </c>
      <c r="K178" s="44" t="n">
        <f aca="false">IF(I178&gt;12,1,0)*(1-E178)</f>
        <v>1</v>
      </c>
      <c r="L178" s="35" t="n">
        <f aca="false">INDEX(Inputs_Banks!$AR17:$AX17,1,G178+1)</f>
        <v>0.11828</v>
      </c>
      <c r="M178" s="35" t="n">
        <f aca="false">Inputs_Banks!$AI17*MIN(1,p_u_base+$CD$170*p_u_pan_all+J178*($CD$170*p_u_pan_weak+p_u_mda*D178)+p_u_notch*G178+p_u_fail*E178)</f>
        <v>14.9638</v>
      </c>
      <c r="N178" s="35" t="n">
        <f aca="false">Inputs_Banks!$AK17*MIN(1,p_w_base+p_w_pan*$CD$170+p_w_notch*G178+0.5*D178+1*E178)</f>
        <v>0</v>
      </c>
      <c r="O178" s="35" t="n">
        <f aca="false">Inputs_Banks!$AO17*MIN(1,p_cp_base+p_cp_pan*$CD$170+p_cp_notch*G178)</f>
        <v>0</v>
      </c>
      <c r="P178" s="35" t="n">
        <f aca="false">Inputs_Banks!$AN17*(p_dh+p_dh_pan*$CD$170+MIN(1,0.5*$CD$177+0.25*G178))</f>
        <v>0.020748</v>
      </c>
      <c r="Q178" s="35" t="n">
        <f aca="false">Modules!$Y17</f>
        <v>9.4376065</v>
      </c>
      <c r="R178" s="35" t="n">
        <f aca="false">Inputs_Banks!$AJ17*K178</f>
        <v>173.427</v>
      </c>
      <c r="S178" s="35" t="n">
        <f aca="false">p_liq_on*$CD$178*SUM($M$167:$M$190)*R178/MAX(0.000000001,SUM($R$167:$R$190))</f>
        <v>35.9134013977626</v>
      </c>
      <c r="T178" s="35" t="n">
        <f aca="false">p_liq_on*(L178+M178+N178+O178+P178+Q178)</f>
        <v>24.5404345</v>
      </c>
      <c r="U178" s="35" t="n">
        <f aca="false">g_usable*Inputs_Banks!$AG17+p_cb_on*Inputs_Banks!$AQ17+S178</f>
        <v>101.442401397763</v>
      </c>
      <c r="V178" s="35" t="n">
        <f aca="false">MAX(0,T178-U178)</f>
        <v>0</v>
      </c>
      <c r="W178" s="44" t="n">
        <f aca="false">IF(V178&gt;0.9*Inputs_Banks!$BB17,1,0)</f>
        <v>0</v>
      </c>
      <c r="X178" s="43" t="n">
        <f aca="false">MAX(p_htm_forced,(1-p_cb_on)*MIN(1,T178/Inputs_Banks!$AG17)*g_theta_sell)</f>
        <v>0.103738732245519</v>
      </c>
      <c r="Y178" s="35" t="n">
        <f aca="false">MAX(0,Modules!$V17-B178/(Inputs_Banks!$I17+g_del_buf))</f>
        <v>41.2131787365274</v>
      </c>
      <c r="Z178" s="35" t="n">
        <f aca="false">MIN(g_del_cap*Inputs_Banks!$BB17,Y178)</f>
        <v>0.04</v>
      </c>
      <c r="AA178" s="35" t="n">
        <f aca="false">MIN(Inputs_Banks!$BB17,V178+Z178)</f>
        <v>0.04</v>
      </c>
      <c r="AB178" s="35" t="n">
        <f aca="false">$AA178*Holdings!Q17</f>
        <v>0</v>
      </c>
      <c r="AC178" s="35" t="n">
        <f aca="false">$AA178*Holdings!R17</f>
        <v>0</v>
      </c>
      <c r="AD178" s="35" t="n">
        <f aca="false">$AA178*Holdings!S17</f>
        <v>0</v>
      </c>
      <c r="AE178" s="35" t="n">
        <f aca="false">$AA178*Holdings!T17</f>
        <v>0.0025</v>
      </c>
      <c r="AF178" s="35" t="n">
        <f aca="false">$AA178*Holdings!U17</f>
        <v>0.0325</v>
      </c>
      <c r="AG178" s="35" t="n">
        <f aca="false">$AA178*Holdings!V17</f>
        <v>0</v>
      </c>
      <c r="AH178" s="35" t="n">
        <f aca="false">$AA178*Holdings!W17</f>
        <v>0</v>
      </c>
      <c r="AI178" s="35" t="n">
        <f aca="false">$AA178*Holdings!X17</f>
        <v>0</v>
      </c>
      <c r="AJ178" s="35" t="n">
        <f aca="false">$AA178*Holdings!Y17</f>
        <v>0.005</v>
      </c>
      <c r="AK178" s="35" t="n">
        <f aca="false">$AA178*Holdings!Z17</f>
        <v>0</v>
      </c>
      <c r="AL178" s="35" t="n">
        <f aca="false">$AA178*Holdings!AA17</f>
        <v>0</v>
      </c>
      <c r="AM178" s="35" t="n">
        <f aca="false">$AA178*Holdings!AB17</f>
        <v>0</v>
      </c>
      <c r="AN178" s="35" t="n">
        <f aca="false">$AA178*Holdings!AC17</f>
        <v>0</v>
      </c>
      <c r="AO178" s="43" t="n">
        <f aca="false">MIN(1,$CD$177+0.5*G178)</f>
        <v>1</v>
      </c>
      <c r="AP178" s="35" t="n">
        <f aca="false">p_liq_on*Inputs_Banks!$AP17*AO178*p_mb_psi</f>
        <v>0</v>
      </c>
      <c r="AQ178" s="44" t="n">
        <f aca="false">MAX(F178,E178,W178*(1-p_cb_on))</f>
        <v>0</v>
      </c>
      <c r="AR178" s="35" t="n">
        <f aca="false">p_ib_on*p_lgd_ib*g_s_in*g_u_ib*SUMPRODUCT(Network!N$6:N$29,$AQ$167:$AQ$190)</f>
        <v>0.21536570652345</v>
      </c>
      <c r="AS178" s="35" t="n">
        <f aca="false">p_sw_M1*(SUMPRODUCT(BDC_EAD!N$106:N$127,$BF$167:$BF$188)+SUMPRODUCT(BDC_EAD!N$131:N$152,$BG$167:$BG$188)+(Inputs_Banks!$Y17+p_ccf_bl*Inputs_Banks!$Z17)*$CD$190+Modules!$E17)</f>
        <v>2.93860692950688</v>
      </c>
      <c r="AT178" s="35" t="n">
        <f aca="false">p_sw_M3*(Inputs_Banks!$U17+p_ccf_abf*Inputs_Banks!$V17)*$CD$191</f>
        <v>0</v>
      </c>
      <c r="AU178" s="35" t="n">
        <f aca="false">p_sw_M10*Inputs_Banks!$AC17*$CD$192</f>
        <v>0</v>
      </c>
      <c r="AV178" s="35" t="n">
        <f aca="false">p_sw_M8*(Modules!$M17+Modules!$N17*IF(p_liq_on&gt;0,X178,p_htm_forced))</f>
        <v>0.326326261781778</v>
      </c>
      <c r="AW178" s="35" t="n">
        <f aca="false">SUMPRODUCT(Holdings!$C17:$O17,Holdings!$C$32:$O$32,$AB$192:$AN$192)+Inputs_Banks!$P17*$AL$192</f>
        <v>0.0407895074274526</v>
      </c>
      <c r="AX178" s="35" t="n">
        <f aca="false">Modules!$T17+AS178+AT178+AU178+AV178+AW178+AR178</f>
        <v>8.02338840523956</v>
      </c>
      <c r="AY178" s="35" t="n">
        <f aca="false">Modules!$U17-(1-p_tax)*AX178</f>
        <v>11.8616115947604</v>
      </c>
      <c r="AZ178" s="39" t="n">
        <f aca="false">AY178/Modules!$V17</f>
        <v>0.0594960655409115</v>
      </c>
      <c r="BA178" s="48" t="s">
        <v>651</v>
      </c>
      <c r="BB178" s="43" t="n">
        <f aca="false">INDEX($BJ$167:$BJ$200,BDC_EAD!$B17)</f>
        <v>0.49422228775433</v>
      </c>
      <c r="BC178" s="43" t="n">
        <f aca="false">INDEX($BK$167:$BK$200,BDC_EAD!$B17)</f>
        <v>0.0568250746624368</v>
      </c>
      <c r="BD178" s="22" t="n">
        <f aca="false">INDEX(BDC!$Q$6:$Q$39,BDC_EAD!$B17)</f>
        <v>0.253694581280788</v>
      </c>
      <c r="BE178" s="43" t="n">
        <f aca="false">BB178*(1-$AK$192)-BC178-p_c_liq</f>
        <v>0.164997183602445</v>
      </c>
      <c r="BF178" s="43" t="n">
        <f aca="false">p_phi*MAX(0,p_a_spv-BE178)/p_a_spv+(1-p_phi)*MAX(0,p_a_spv-BB178)/p_a_spv</f>
        <v>0.670225422238826</v>
      </c>
      <c r="BG178" s="43" t="n">
        <f aca="false">IF(BD178&gt;0,p_phi*MAX(0,BD178-BE178)/BD178+(1-p_phi)*MAX(0,BD178-BB178)/BD178,0)</f>
        <v>0.279698201610932</v>
      </c>
      <c r="BI178" s="12" t="str">
        <f aca="false">BDC!$A$17</f>
        <v>GCRED</v>
      </c>
      <c r="BJ178" s="43" t="n">
        <f aca="false">1-((1-BDC!$D$17)*$CD$183+BDC!$D$17*$CD$184)-p_gap-$CD$173*(1-BDC!$M$17)</f>
        <v>0.405048197461641</v>
      </c>
      <c r="BK178" s="43" t="n">
        <f aca="false">(1-BDC!$D$17)*$CD$185+BDC!$D$17*$CD$186</f>
        <v>0.0612217923688434</v>
      </c>
      <c r="BL178" s="45" t="n">
        <f aca="false">BJ178/BDC!$K$17</f>
        <v>0.757264021341329</v>
      </c>
      <c r="BM178" s="35" t="n">
        <f aca="false">IF(BL178&lt;1.5,BDC!$C$17,0)</f>
        <v>9.62</v>
      </c>
      <c r="BN178" s="43" t="n">
        <f aca="false">MAX(0,1-BJ178*(1-CE_mig_hc)-p_bb_cush)*BDC!$Q$17</f>
        <v>0.180836754320013</v>
      </c>
      <c r="BO178" s="43" t="n">
        <f aca="false">MAX(0,BDC!$K$17-BJ178/1.5)</f>
        <v>0.264851589289138</v>
      </c>
      <c r="BP178" s="43" t="n">
        <f aca="false">MIN(MIN(1,BDC!$H$17*$CD$176),$CD$175)</f>
        <v>0.15</v>
      </c>
      <c r="BQ178" s="43" t="n">
        <f aca="false">BDC!$I$17*BDC!$J$17*BP178*(1-0.3)</f>
        <v>0.0488372093023256</v>
      </c>
      <c r="BR178" s="45" t="n">
        <f aca="false">BDC!$C$17*($CD$174*MAX(BN178,BO178)+BQ178)</f>
        <v>3.01768624244988</v>
      </c>
      <c r="CC178" s="10" t="s">
        <v>984</v>
      </c>
      <c r="CD178" s="43" t="n">
        <f aca="false">p_recyc*(1-p_rec_pan*$CD$170)</f>
        <v>0.225</v>
      </c>
    </row>
    <row r="179" customFormat="false" ht="15" hidden="false" customHeight="true" outlineLevel="0" collapsed="false">
      <c r="A179" s="10" t="s">
        <v>520</v>
      </c>
      <c r="B179" s="35" t="n">
        <f aca="false">AY139</f>
        <v>7.58803884672162</v>
      </c>
      <c r="C179" s="39" t="n">
        <f aca="false">AZ139</f>
        <v>0.0396275346594056</v>
      </c>
      <c r="D179" s="44" t="n">
        <f aca="false">IF(C179&lt;Inputs_Banks!$I18,1,0)</f>
        <v>1</v>
      </c>
      <c r="E179" s="44" t="n">
        <f aca="false">IF(C179&lt;0.045,1,0)</f>
        <v>1</v>
      </c>
      <c r="F179" s="44" t="n">
        <f aca="false">IF(B179&lt;0,1,0)</f>
        <v>0</v>
      </c>
      <c r="G179" s="44" t="n">
        <f aca="false">MIN(6,MIN(3,INT(MAX(0,Inputs_Banks!$BA18-C179)/p_notch_step))+D179+2*E179)</f>
        <v>5</v>
      </c>
      <c r="H179" s="39" t="n">
        <f aca="false">C179-Inputs_Banks!$I18</f>
        <v>-0.0503724653405944</v>
      </c>
      <c r="I179" s="44" t="n">
        <f aca="false">RANK(H179,$H$167:$H$190,1)</f>
        <v>17</v>
      </c>
      <c r="J179" s="44" t="n">
        <f aca="false">MAX(IF(I179&lt;=g_n_weak,1,0),E179)</f>
        <v>1</v>
      </c>
      <c r="K179" s="44" t="n">
        <f aca="false">IF(I179&gt;12,1,0)*(1-E179)</f>
        <v>0</v>
      </c>
      <c r="L179" s="35" t="n">
        <f aca="false">INDEX(Inputs_Banks!$AR18:$AX18,1,G179+1)</f>
        <v>0.2565</v>
      </c>
      <c r="M179" s="35" t="n">
        <f aca="false">Inputs_Banks!$AI18*MIN(1,p_u_base+$CD$170*p_u_pan_all+J179*($CD$170*p_u_pan_weak+p_u_mda*D179)+p_u_notch*G179+p_u_fail*E179)</f>
        <v>80.6553</v>
      </c>
      <c r="N179" s="35" t="n">
        <f aca="false">Inputs_Banks!$AK18*MIN(1,p_w_base+p_w_pan*$CD$170+p_w_notch*G179+0.5*D179+1*E179)</f>
        <v>1.159</v>
      </c>
      <c r="O179" s="35" t="n">
        <f aca="false">Inputs_Banks!$AO18*MIN(1,p_cp_base+p_cp_pan*$CD$170+p_cp_notch*G179)</f>
        <v>0</v>
      </c>
      <c r="P179" s="35" t="n">
        <f aca="false">Inputs_Banks!$AN18*(p_dh+p_dh_pan*$CD$170+MIN(1,0.5*$CD$177+0.25*G179))</f>
        <v>0</v>
      </c>
      <c r="Q179" s="35" t="n">
        <f aca="false">Modules!$Y18</f>
        <v>9.1258367</v>
      </c>
      <c r="R179" s="35" t="n">
        <f aca="false">Inputs_Banks!$AJ18*K179</f>
        <v>0</v>
      </c>
      <c r="S179" s="35" t="n">
        <f aca="false">p_liq_on*$CD$178*SUM($M$167:$M$190)*R179/MAX(0.000000001,SUM($R$167:$R$190))</f>
        <v>0</v>
      </c>
      <c r="T179" s="35" t="n">
        <f aca="false">p_liq_on*(L179+M179+N179+O179+P179+Q179)</f>
        <v>91.1966367</v>
      </c>
      <c r="U179" s="35" t="n">
        <f aca="false">g_usable*Inputs_Banks!$AG18+p_cb_on*Inputs_Banks!$AQ18+S179</f>
        <v>82.755</v>
      </c>
      <c r="V179" s="35" t="n">
        <f aca="false">MAX(0,T179-U179)</f>
        <v>8.44163670000003</v>
      </c>
      <c r="W179" s="44" t="n">
        <f aca="false">IF(V179&gt;0.9*Inputs_Banks!$BB18,1,0)</f>
        <v>1</v>
      </c>
      <c r="X179" s="43" t="n">
        <f aca="false">MAX(p_htm_forced,(1-p_cb_on)*MIN(1,T179/Inputs_Banks!$AG18)*g_theta_sell)</f>
        <v>0.25</v>
      </c>
      <c r="Y179" s="35" t="n">
        <f aca="false">MAX(0,Modules!$V18-B179/(Inputs_Banks!$I18+g_del_buf))</f>
        <v>111.609906876615</v>
      </c>
      <c r="Z179" s="35" t="n">
        <f aca="false">MIN(g_del_cap*Inputs_Banks!$BB18,Y179)</f>
        <v>0.1825</v>
      </c>
      <c r="AA179" s="35" t="n">
        <f aca="false">MIN(Inputs_Banks!$BB18,V179+Z179)</f>
        <v>0.73</v>
      </c>
      <c r="AB179" s="35" t="n">
        <f aca="false">$AA179*Holdings!Q18</f>
        <v>0</v>
      </c>
      <c r="AC179" s="35" t="n">
        <f aca="false">$AA179*Holdings!R18</f>
        <v>0</v>
      </c>
      <c r="AD179" s="35" t="n">
        <f aca="false">$AA179*Holdings!S18</f>
        <v>0</v>
      </c>
      <c r="AE179" s="35" t="n">
        <f aca="false">$AA179*Holdings!T18</f>
        <v>0</v>
      </c>
      <c r="AF179" s="35" t="n">
        <f aca="false">$AA179*Holdings!U18</f>
        <v>0</v>
      </c>
      <c r="AG179" s="35" t="n">
        <f aca="false">$AA179*Holdings!V18</f>
        <v>0</v>
      </c>
      <c r="AH179" s="35" t="n">
        <f aca="false">$AA179*Holdings!W18</f>
        <v>0.15</v>
      </c>
      <c r="AI179" s="35" t="n">
        <f aca="false">$AA179*Holdings!X18</f>
        <v>0.04</v>
      </c>
      <c r="AJ179" s="35" t="n">
        <f aca="false">$AA179*Holdings!Y18</f>
        <v>0.54</v>
      </c>
      <c r="AK179" s="35" t="n">
        <f aca="false">$AA179*Holdings!Z18</f>
        <v>0</v>
      </c>
      <c r="AL179" s="35" t="n">
        <f aca="false">$AA179*Holdings!AA18</f>
        <v>0</v>
      </c>
      <c r="AM179" s="35" t="n">
        <f aca="false">$AA179*Holdings!AB18</f>
        <v>0</v>
      </c>
      <c r="AN179" s="35" t="n">
        <f aca="false">$AA179*Holdings!AC18</f>
        <v>0</v>
      </c>
      <c r="AO179" s="43" t="n">
        <f aca="false">MIN(1,$CD$177+0.5*G179)</f>
        <v>1</v>
      </c>
      <c r="AP179" s="35" t="n">
        <f aca="false">p_liq_on*Inputs_Banks!$AP18*AO179*p_mb_psi</f>
        <v>0</v>
      </c>
      <c r="AQ179" s="44" t="n">
        <f aca="false">MAX(F179,E179,W179*(1-p_cb_on))</f>
        <v>1</v>
      </c>
      <c r="AR179" s="35" t="n">
        <f aca="false">p_ib_on*p_lgd_ib*g_s_in*g_u_ib*SUMPRODUCT(Network!O$6:O$29,$AQ$167:$AQ$190)</f>
        <v>0.211388228855768</v>
      </c>
      <c r="AS179" s="35" t="n">
        <f aca="false">p_sw_M1*(SUMPRODUCT(BDC_EAD!O$106:O$127,$BF$167:$BF$188)+SUMPRODUCT(BDC_EAD!O$131:O$152,$BG$167:$BG$188)+(Inputs_Banks!$Y18+p_ccf_bl*Inputs_Banks!$Z18)*$CD$190+Modules!$E18)</f>
        <v>7.14534260130844</v>
      </c>
      <c r="AT179" s="35" t="n">
        <f aca="false">p_sw_M3*(Inputs_Banks!$U18+p_ccf_abf*Inputs_Banks!$V18)*$CD$191</f>
        <v>0</v>
      </c>
      <c r="AU179" s="35" t="n">
        <f aca="false">p_sw_M10*Inputs_Banks!$AC18*$CD$192</f>
        <v>0</v>
      </c>
      <c r="AV179" s="35" t="n">
        <f aca="false">p_sw_M8*(Modules!$M18+Modules!$N18*IF(p_liq_on&gt;0,X179,p_htm_forced))</f>
        <v>0.93737</v>
      </c>
      <c r="AW179" s="35" t="n">
        <f aca="false">SUMPRODUCT(Holdings!$C18:$O18,Holdings!$C$32:$O$32,$AB$192:$AN$192)+Inputs_Banks!$P18*$AL$192</f>
        <v>0.18056032311418</v>
      </c>
      <c r="AX179" s="35" t="n">
        <f aca="false">Modules!$T18+AS179+AT179+AU179+AV179+AW179+AR179</f>
        <v>11.1119611532784</v>
      </c>
      <c r="AY179" s="35" t="n">
        <f aca="false">Modules!$U18-(1-p_tax)*AX179</f>
        <v>7.58803884672162</v>
      </c>
      <c r="AZ179" s="39" t="n">
        <f aca="false">AY179/Modules!$V18</f>
        <v>0.0396275346594056</v>
      </c>
      <c r="BA179" s="48" t="s">
        <v>648</v>
      </c>
      <c r="BB179" s="43" t="n">
        <f aca="false">INDEX($BJ$167:$BJ$200,BDC_EAD!$B18)</f>
        <v>0.556417298789294</v>
      </c>
      <c r="BC179" s="43" t="n">
        <f aca="false">INDEX($BK$167:$BK$200,BDC_EAD!$B18)</f>
        <v>0.0671461831766286</v>
      </c>
      <c r="BD179" s="22" t="n">
        <f aca="false">INDEX(BDC!$Q$6:$Q$39,BDC_EAD!$B18)</f>
        <v>0.103555555555556</v>
      </c>
      <c r="BE179" s="43" t="n">
        <f aca="false">BB179*(1-$AK$192)-BC179-p_c_liq</f>
        <v>0.188883331157483</v>
      </c>
      <c r="BF179" s="43" t="n">
        <f aca="false">p_phi*MAX(0,p_a_spv-BE179)/p_a_spv+(1-p_phi)*MAX(0,p_a_spv-BB179)/p_a_spv</f>
        <v>0.625156964737364</v>
      </c>
      <c r="BG179" s="43" t="n">
        <f aca="false">IF(BD179&gt;0,p_phi*MAX(0,BD179-BE179)/BD179+(1-p_phi)*MAX(0,BD179-BB179)/BD179,0)</f>
        <v>0</v>
      </c>
      <c r="BI179" s="12" t="str">
        <f aca="false">BDC!$A$18</f>
        <v>SSLP</v>
      </c>
      <c r="BJ179" s="43" t="n">
        <f aca="false">1-((1-BDC!$D$18)*$CD$183+BDC!$D$18*$CD$184)-p_gap-$CD$173*(1-BDC!$M$18)</f>
        <v>0.432216415278359</v>
      </c>
      <c r="BK179" s="43" t="n">
        <f aca="false">(1-BDC!$D$18)*$CD$185+BDC!$D$18*$CD$186</f>
        <v>0.0657302910338875</v>
      </c>
      <c r="BL179" s="45" t="n">
        <f aca="false">BJ179/BDC!$K$18</f>
        <v>0.90717950899084</v>
      </c>
      <c r="BM179" s="35" t="n">
        <f aca="false">IF(BL179&lt;1.5,BDC!$C$18,0)</f>
        <v>8.65</v>
      </c>
      <c r="BN179" s="43" t="n">
        <f aca="false">MAX(0,1-BJ179*(1-CE_mig_hc)-p_bb_cush)*BDC!$Q$18</f>
        <v>0.139067200512426</v>
      </c>
      <c r="BO179" s="43" t="n">
        <f aca="false">MAX(0,BDC!$K$18-BJ179/1.5)</f>
        <v>0.188295513723677</v>
      </c>
      <c r="BP179" s="43" t="n">
        <f aca="false">MIN(MIN(1,BDC!$H$18*$CD$176),$CD$175)</f>
        <v>0</v>
      </c>
      <c r="BQ179" s="43" t="n">
        <f aca="false">BDC!$I$18*BDC!$J$18*BP179*(1-0.3)</f>
        <v>0</v>
      </c>
      <c r="BR179" s="45" t="n">
        <f aca="false">BDC!$C$18*($CD$174*MAX(BN179,BO179)+BQ179)</f>
        <v>1.62875619370981</v>
      </c>
      <c r="CC179" s="10" t="s">
        <v>985</v>
      </c>
      <c r="CD179" s="45" t="n">
        <f aca="false">p_dealer_mult*(1+p_dm_pan*$CD$170)</f>
        <v>10</v>
      </c>
    </row>
    <row r="180" customFormat="false" ht="15" hidden="false" customHeight="true" outlineLevel="0" collapsed="false">
      <c r="A180" s="10" t="s">
        <v>522</v>
      </c>
      <c r="B180" s="35" t="n">
        <f aca="false">AY140</f>
        <v>-11.0481129610457</v>
      </c>
      <c r="C180" s="39" t="n">
        <f aca="false">AZ140</f>
        <v>-0.0211494340470956</v>
      </c>
      <c r="D180" s="44" t="n">
        <f aca="false">IF(C180&lt;Inputs_Banks!$I19,1,0)</f>
        <v>1</v>
      </c>
      <c r="E180" s="44" t="n">
        <f aca="false">IF(C180&lt;0.045,1,0)</f>
        <v>1</v>
      </c>
      <c r="F180" s="44" t="n">
        <f aca="false">IF(B180&lt;0,1,0)</f>
        <v>1</v>
      </c>
      <c r="G180" s="44" t="n">
        <f aca="false">MIN(6,MIN(3,INT(MAX(0,Inputs_Banks!$BA19-C180)/p_notch_step))+D180+2*E180)</f>
        <v>6</v>
      </c>
      <c r="H180" s="39" t="n">
        <f aca="false">C180-Inputs_Banks!$I19</f>
        <v>-0.143149434047096</v>
      </c>
      <c r="I180" s="44" t="n">
        <f aca="false">RANK(H180,$H$167:$H$190,1)</f>
        <v>2</v>
      </c>
      <c r="J180" s="44" t="n">
        <f aca="false">MAX(IF(I180&lt;=g_n_weak,1,0),E180)</f>
        <v>1</v>
      </c>
      <c r="K180" s="44" t="n">
        <f aca="false">IF(I180&gt;12,1,0)*(1-E180)</f>
        <v>0</v>
      </c>
      <c r="L180" s="35" t="n">
        <f aca="false">INDEX(Inputs_Banks!$AR19:$AX19,1,G180+1)</f>
        <v>14.916375</v>
      </c>
      <c r="M180" s="35" t="n">
        <f aca="false">Inputs_Banks!$AI19*MIN(1,p_u_base+$CD$170*p_u_pan_all+J180*($CD$170*p_u_pan_weak+p_u_mda*D180)+p_u_notch*G180+p_u_fail*E180)</f>
        <v>333.3485112849</v>
      </c>
      <c r="N180" s="35" t="n">
        <f aca="false">Inputs_Banks!$AK19*MIN(1,p_w_base+p_w_pan*$CD$170+p_w_notch*G180+0.5*D180+1*E180)</f>
        <v>103.81797</v>
      </c>
      <c r="O180" s="35" t="n">
        <f aca="false">Inputs_Banks!$AO19*MIN(1,p_cp_base+p_cp_pan*$CD$170+p_cp_notch*G180)</f>
        <v>30.26</v>
      </c>
      <c r="P180" s="35" t="n">
        <f aca="false">Inputs_Banks!$AN19*(p_dh+p_dh_pan*$CD$170+MIN(1,0.5*$CD$177+0.25*G180))</f>
        <v>159.617894592383</v>
      </c>
      <c r="Q180" s="35" t="n">
        <f aca="false">Modules!$Y19</f>
        <v>26.8418486</v>
      </c>
      <c r="R180" s="35" t="n">
        <f aca="false">Inputs_Banks!$AJ19*K180</f>
        <v>0</v>
      </c>
      <c r="S180" s="35" t="n">
        <f aca="false">p_liq_on*$CD$178*SUM($M$167:$M$190)*R180/MAX(0.000000001,SUM($R$167:$R$190))</f>
        <v>0</v>
      </c>
      <c r="T180" s="35" t="n">
        <f aca="false">p_liq_on*(L180+M180+N180+O180+P180+Q180)</f>
        <v>668.802599477283</v>
      </c>
      <c r="U180" s="35" t="n">
        <f aca="false">g_usable*Inputs_Banks!$AG19+p_cb_on*Inputs_Banks!$AQ19+S180</f>
        <v>591.841983</v>
      </c>
      <c r="V180" s="35" t="n">
        <f aca="false">MAX(0,T180-U180)</f>
        <v>76.9606164772833</v>
      </c>
      <c r="W180" s="44" t="n">
        <f aca="false">IF(V180&gt;0.9*Inputs_Banks!$BB19,1,0)</f>
        <v>0</v>
      </c>
      <c r="X180" s="43" t="n">
        <f aca="false">MAX(p_htm_forced,(1-p_cb_on)*MIN(1,T180/Inputs_Banks!$AG19)*g_theta_sell)</f>
        <v>0.25</v>
      </c>
      <c r="Y180" s="35" t="n">
        <f aca="false">MAX(0,Modules!$V19-B180/(Inputs_Banks!$I19+g_del_buf))</f>
        <v>609.376401041305</v>
      </c>
      <c r="Z180" s="35" t="n">
        <f aca="false">MIN(g_del_cap*Inputs_Banks!$BB19,Y180)</f>
        <v>55.795</v>
      </c>
      <c r="AA180" s="35" t="n">
        <f aca="false">MIN(Inputs_Banks!$BB19,V180+Z180)</f>
        <v>132.755616477283</v>
      </c>
      <c r="AB180" s="35" t="n">
        <f aca="false">$AA180*Holdings!Q19</f>
        <v>0</v>
      </c>
      <c r="AC180" s="35" t="n">
        <f aca="false">$AA180*Holdings!R19</f>
        <v>0</v>
      </c>
      <c r="AD180" s="35" t="n">
        <f aca="false">$AA180*Holdings!S19</f>
        <v>0</v>
      </c>
      <c r="AE180" s="35" t="n">
        <f aca="false">$AA180*Holdings!T19</f>
        <v>0</v>
      </c>
      <c r="AF180" s="35" t="n">
        <f aca="false">$AA180*Holdings!U19</f>
        <v>35.993558352184</v>
      </c>
      <c r="AG180" s="35" t="n">
        <f aca="false">$AA180*Holdings!V19</f>
        <v>0</v>
      </c>
      <c r="AH180" s="35" t="n">
        <f aca="false">$AA180*Holdings!W19</f>
        <v>9.66014522623479</v>
      </c>
      <c r="AI180" s="35" t="n">
        <f aca="false">$AA180*Holdings!X19</f>
        <v>0</v>
      </c>
      <c r="AJ180" s="35" t="n">
        <f aca="false">$AA180*Holdings!Y19</f>
        <v>21.2832509972094</v>
      </c>
      <c r="AK180" s="35" t="n">
        <f aca="false">$AA180*Holdings!Z19</f>
        <v>0</v>
      </c>
      <c r="AL180" s="35" t="n">
        <f aca="false">$AA180*Holdings!AA19</f>
        <v>65.6521076736167</v>
      </c>
      <c r="AM180" s="35" t="n">
        <f aca="false">$AA180*Holdings!AB19</f>
        <v>0</v>
      </c>
      <c r="AN180" s="35" t="n">
        <f aca="false">$AA180*Holdings!AC19</f>
        <v>0.166554228038531</v>
      </c>
      <c r="AO180" s="43" t="n">
        <f aca="false">MIN(1,$CD$177+0.5*G180)</f>
        <v>1</v>
      </c>
      <c r="AP180" s="35" t="n">
        <f aca="false">p_liq_on*Inputs_Banks!$AP19*AO180*p_mb_psi</f>
        <v>1.692</v>
      </c>
      <c r="AQ180" s="44" t="n">
        <f aca="false">MAX(F180,E180,W180*(1-p_cb_on))</f>
        <v>1</v>
      </c>
      <c r="AR180" s="35" t="n">
        <f aca="false">p_ib_on*p_lgd_ib*g_s_in*g_u_ib*SUMPRODUCT(Network!P$6:P$29,$AQ$167:$AQ$190)</f>
        <v>7.22507743441053</v>
      </c>
      <c r="AS180" s="35" t="n">
        <f aca="false">p_sw_M1*(SUMPRODUCT(BDC_EAD!P$106:P$127,$BF$167:$BF$188)+SUMPRODUCT(BDC_EAD!P$131:P$152,$BG$167:$BG$188)+(Inputs_Banks!$Y19+p_ccf_bl*Inputs_Banks!$Z19)*$CD$190+Modules!$E19)</f>
        <v>20.643374291426</v>
      </c>
      <c r="AT180" s="35" t="n">
        <f aca="false">p_sw_M3*(Inputs_Banks!$U19+p_ccf_abf*Inputs_Banks!$V19)*$CD$191</f>
        <v>14.3395683697332</v>
      </c>
      <c r="AU180" s="35" t="n">
        <f aca="false">p_sw_M10*Inputs_Banks!$AC19*$CD$192</f>
        <v>0</v>
      </c>
      <c r="AV180" s="35" t="n">
        <f aca="false">p_sw_M8*(Modules!$M19+Modules!$N19*IF(p_liq_on&gt;0,X180,p_htm_forced))</f>
        <v>2.742</v>
      </c>
      <c r="AW180" s="35" t="n">
        <f aca="false">SUMPRODUCT(Holdings!$C19:$O19,Holdings!$C$32:$O$32,$AB$192:$AN$192)+Inputs_Banks!$P19*$AL$192</f>
        <v>16.082128119204</v>
      </c>
      <c r="AX180" s="35" t="n">
        <f aca="false">Modules!$T19+AS180+AT180+AU180+AV180+AW180+AR180</f>
        <v>80.2600929610457</v>
      </c>
      <c r="AY180" s="35" t="n">
        <f aca="false">Modules!$U19-(1-p_tax)*AX180</f>
        <v>-11.0481129610457</v>
      </c>
      <c r="AZ180" s="39" t="n">
        <f aca="false">AY180/Modules!$V19</f>
        <v>-0.0211494340470956</v>
      </c>
      <c r="BA180" s="48" t="s">
        <v>652</v>
      </c>
      <c r="BB180" s="43" t="n">
        <f aca="false">INDEX($BJ$167:$BJ$200,BDC_EAD!$B19)</f>
        <v>0.363449670124075</v>
      </c>
      <c r="BC180" s="43" t="n">
        <f aca="false">INDEX($BK$167:$BK$200,BDC_EAD!$B19)</f>
        <v>0.0611472717297517</v>
      </c>
      <c r="BD180" s="22" t="n">
        <f aca="false">INDEX(BDC!$Q$6:$Q$39,BDC_EAD!$B19)</f>
        <v>0.238909090909091</v>
      </c>
      <c r="BE180" s="43" t="n">
        <f aca="false">BB180*(1-$AK$192)-BC180-p_c_liq</f>
        <v>0.0887500468384897</v>
      </c>
      <c r="BF180" s="43" t="n">
        <f aca="false">p_phi*MAX(0,p_a_spv-BE180)/p_a_spv+(1-p_phi)*MAX(0,p_a_spv-BB180)/p_a_spv</f>
        <v>0.794728612149133</v>
      </c>
      <c r="BG180" s="43" t="n">
        <f aca="false">IF(BD180&gt;0,p_phi*MAX(0,BD180-BE180)/BD180+(1-p_phi)*MAX(0,BD180-BB180)/BD180,0)</f>
        <v>0.502815672686945</v>
      </c>
      <c r="BI180" s="12" t="str">
        <f aca="false">BDC!$A$19</f>
        <v>GBDC</v>
      </c>
      <c r="BJ180" s="43" t="n">
        <f aca="false">1-((1-BDC!$D$19)*$CD$183+BDC!$D$19*$CD$184)-p_gap-$CD$173*(1-BDC!$M$19)</f>
        <v>0.440432081141748</v>
      </c>
      <c r="BK180" s="43" t="n">
        <f aca="false">(1-BDC!$D$19)*$CD$185+BDC!$D$19*$CD$186</f>
        <v>0.0593587763915524</v>
      </c>
      <c r="BL180" s="45" t="n">
        <f aca="false">BJ180/BDC!$K$19</f>
        <v>0.798506943858616</v>
      </c>
      <c r="BM180" s="35" t="n">
        <f aca="false">IF(BL180&lt;1.5,BDC!$C$19,0)</f>
        <v>8.2</v>
      </c>
      <c r="BN180" s="43" t="n">
        <f aca="false">MAX(0,1-BJ180*(1-CE_mig_hc)-p_bb_cush)*BDC!$Q$19</f>
        <v>0.115814435932283</v>
      </c>
      <c r="BO180" s="43" t="n">
        <f aca="false">MAX(0,BDC!$K$19-BJ180/1.5)</f>
        <v>0.257948119298626</v>
      </c>
      <c r="BP180" s="43" t="n">
        <f aca="false">MIN(MIN(1,BDC!$H$19*$CD$176),$CD$175)</f>
        <v>0</v>
      </c>
      <c r="BQ180" s="43" t="n">
        <f aca="false">BDC!$I$19*BDC!$J$19*BP180*(1-0.3)</f>
        <v>0</v>
      </c>
      <c r="BR180" s="45" t="n">
        <f aca="false">BDC!$C$19*($CD$174*MAX(BN180,BO180)+BQ180)</f>
        <v>2.11517457824873</v>
      </c>
      <c r="CC180" s="10" t="s">
        <v>871</v>
      </c>
      <c r="CD180" s="35" t="n">
        <f aca="false">MIN(1,p_ins_run+p_ins_pan*$CD$170)*(g_fabr+g_fabn_6m)</f>
        <v>47.3</v>
      </c>
    </row>
    <row r="181" customFormat="false" ht="15" hidden="false" customHeight="true" outlineLevel="0" collapsed="false">
      <c r="A181" s="10" t="s">
        <v>525</v>
      </c>
      <c r="B181" s="35" t="n">
        <f aca="false">AY141</f>
        <v>73.9341946596885</v>
      </c>
      <c r="C181" s="39" t="n">
        <f aca="false">AZ141</f>
        <v>0.0755269060545672</v>
      </c>
      <c r="D181" s="44" t="n">
        <f aca="false">IF(C181&lt;Inputs_Banks!$I20,1,0)</f>
        <v>1</v>
      </c>
      <c r="E181" s="44" t="n">
        <f aca="false">IF(C181&lt;0.045,1,0)</f>
        <v>0</v>
      </c>
      <c r="F181" s="44" t="n">
        <f aca="false">IF(B181&lt;0,1,0)</f>
        <v>0</v>
      </c>
      <c r="G181" s="44" t="n">
        <f aca="false">MIN(6,MIN(3,INT(MAX(0,Inputs_Banks!$BA20-C181)/p_notch_step))+D181+2*E181)</f>
        <v>3</v>
      </c>
      <c r="H181" s="39" t="n">
        <f aca="false">C181-Inputs_Banks!$I20</f>
        <v>-0.0364730939454328</v>
      </c>
      <c r="I181" s="44" t="n">
        <f aca="false">RANK(H181,$H$167:$H$190,1)</f>
        <v>18</v>
      </c>
      <c r="J181" s="44" t="n">
        <f aca="false">MAX(IF(I181&lt;=g_n_weak,1,0),E181)</f>
        <v>0</v>
      </c>
      <c r="K181" s="44" t="n">
        <f aca="false">IF(I181&gt;12,1,0)*(1-E181)</f>
        <v>1</v>
      </c>
      <c r="L181" s="35" t="n">
        <f aca="false">INDEX(Inputs_Banks!$AR20:$AX20,1,G181+1)</f>
        <v>0.18</v>
      </c>
      <c r="M181" s="35" t="n">
        <f aca="false">Inputs_Banks!$AI20*MIN(1,p_u_base+$CD$170*p_u_pan_all+J181*($CD$170*p_u_pan_weak+p_u_mda*D181)+p_u_notch*G181+p_u_fail*E181)</f>
        <v>256.5027</v>
      </c>
      <c r="N181" s="35" t="n">
        <f aca="false">Inputs_Banks!$AK20*MIN(1,p_w_base+p_w_pan*$CD$170+p_w_notch*G181+0.5*D181+1*E181)</f>
        <v>0</v>
      </c>
      <c r="O181" s="35" t="n">
        <f aca="false">Inputs_Banks!$AO20*MIN(1,p_cp_base+p_cp_pan*$CD$170+p_cp_notch*G181)</f>
        <v>0</v>
      </c>
      <c r="P181" s="35" t="n">
        <f aca="false">Inputs_Banks!$AN20*(p_dh+p_dh_pan*$CD$170+MIN(1,0.5*$CD$177+0.25*G181))</f>
        <v>143.147499934354</v>
      </c>
      <c r="Q181" s="35" t="n">
        <f aca="false">Modules!$Y20</f>
        <v>5.4922829</v>
      </c>
      <c r="R181" s="35" t="n">
        <f aca="false">Inputs_Banks!$AJ20*K181</f>
        <v>1919.104</v>
      </c>
      <c r="S181" s="35" t="n">
        <f aca="false">p_liq_on*$CD$178*SUM($M$167:$M$190)*R181/MAX(0.000000001,SUM($R$167:$R$190))</f>
        <v>397.409586027849</v>
      </c>
      <c r="T181" s="35" t="n">
        <f aca="false">p_liq_on*(L181+M181+N181+O181+P181+Q181)</f>
        <v>405.322482834355</v>
      </c>
      <c r="U181" s="35" t="n">
        <f aca="false">g_usable*Inputs_Banks!$AG20+p_cb_on*Inputs_Banks!$AQ20+S181</f>
        <v>1182.44548602785</v>
      </c>
      <c r="V181" s="35" t="n">
        <f aca="false">MAX(0,T181-U181)</f>
        <v>0</v>
      </c>
      <c r="W181" s="44" t="n">
        <f aca="false">IF(V181&gt;0.9*Inputs_Banks!$BB20,1,0)</f>
        <v>0</v>
      </c>
      <c r="X181" s="43" t="n">
        <f aca="false">MAX(p_htm_forced,(1-p_cb_on)*MIN(1,T181/Inputs_Banks!$AG20)*g_theta_sell)</f>
        <v>0.14198545923753</v>
      </c>
      <c r="Y181" s="35" t="n">
        <f aca="false">MAX(0,Modules!$V20-B181/(Inputs_Banks!$I20+g_del_buf))</f>
        <v>346.995806327449</v>
      </c>
      <c r="Z181" s="35" t="n">
        <f aca="false">MIN(g_del_cap*Inputs_Banks!$BB20,Y181)</f>
        <v>81.9675</v>
      </c>
      <c r="AA181" s="35" t="n">
        <f aca="false">MIN(Inputs_Banks!$BB20,V181+Z181)</f>
        <v>81.9675</v>
      </c>
      <c r="AB181" s="35" t="n">
        <f aca="false">$AA181*Holdings!Q20</f>
        <v>0</v>
      </c>
      <c r="AC181" s="35" t="n">
        <f aca="false">$AA181*Holdings!R20</f>
        <v>0</v>
      </c>
      <c r="AD181" s="35" t="n">
        <f aca="false">$AA181*Holdings!S20</f>
        <v>0</v>
      </c>
      <c r="AE181" s="35" t="n">
        <f aca="false">$AA181*Holdings!T20</f>
        <v>0</v>
      </c>
      <c r="AF181" s="35" t="n">
        <f aca="false">$AA181*Holdings!U20</f>
        <v>0</v>
      </c>
      <c r="AG181" s="35" t="n">
        <f aca="false">$AA181*Holdings!V20</f>
        <v>0</v>
      </c>
      <c r="AH181" s="35" t="n">
        <f aca="false">$AA181*Holdings!W20</f>
        <v>0</v>
      </c>
      <c r="AI181" s="35" t="n">
        <f aca="false">$AA181*Holdings!X20</f>
        <v>0.0525</v>
      </c>
      <c r="AJ181" s="35" t="n">
        <f aca="false">$AA181*Holdings!Y20</f>
        <v>0.02</v>
      </c>
      <c r="AK181" s="35" t="n">
        <f aca="false">$AA181*Holdings!Z20</f>
        <v>0</v>
      </c>
      <c r="AL181" s="35" t="n">
        <f aca="false">$AA181*Holdings!AA20</f>
        <v>44.0775</v>
      </c>
      <c r="AM181" s="35" t="n">
        <f aca="false">$AA181*Holdings!AB20</f>
        <v>0</v>
      </c>
      <c r="AN181" s="35" t="n">
        <f aca="false">$AA181*Holdings!AC20</f>
        <v>37.8175</v>
      </c>
      <c r="AO181" s="43" t="n">
        <f aca="false">MIN(1,$CD$177+0.5*G181)</f>
        <v>1</v>
      </c>
      <c r="AP181" s="35" t="n">
        <f aca="false">p_liq_on*Inputs_Banks!$AP20*AO181*p_mb_psi</f>
        <v>1.272</v>
      </c>
      <c r="AQ181" s="44" t="n">
        <f aca="false">MAX(F181,E181,W181*(1-p_cb_on))</f>
        <v>0</v>
      </c>
      <c r="AR181" s="35" t="n">
        <f aca="false">p_ib_on*p_lgd_ib*g_s_in*g_u_ib*SUMPRODUCT(Network!Q$6:Q$29,$AQ$167:$AQ$190)</f>
        <v>10.8845927122174</v>
      </c>
      <c r="AS181" s="35" t="n">
        <f aca="false">p_sw_M1*(SUMPRODUCT(BDC_EAD!Q$106:Q$127,$BF$167:$BF$188)+SUMPRODUCT(BDC_EAD!Q$131:Q$152,$BG$167:$BG$188)+(Inputs_Banks!$Y20+p_ccf_bl*Inputs_Banks!$Z20)*$CD$190+Modules!$E20)</f>
        <v>16.3815151661489</v>
      </c>
      <c r="AT181" s="35" t="n">
        <f aca="false">p_sw_M3*(Inputs_Banks!$U20+p_ccf_abf*Inputs_Banks!$V20)*$CD$191</f>
        <v>6.71968055027487</v>
      </c>
      <c r="AU181" s="35" t="n">
        <f aca="false">p_sw_M10*Inputs_Banks!$AC20*$CD$192</f>
        <v>0</v>
      </c>
      <c r="AV181" s="35" t="n">
        <f aca="false">p_sw_M8*(Modules!$M20+Modules!$N20*IF(p_liq_on&gt;0,X181,p_htm_forced))</f>
        <v>4.87915345185631</v>
      </c>
      <c r="AW181" s="35" t="n">
        <f aca="false">SUMPRODUCT(Holdings!$C20:$O20,Holdings!$C$32:$O$32,$AB$192:$AN$192)+Inputs_Banks!$P20*$AL$192</f>
        <v>6.49948178004504</v>
      </c>
      <c r="AX181" s="35" t="n">
        <f aca="false">Modules!$T20+AS181+AT181+AU181+AV181+AW181+AR181</f>
        <v>53.7658053403115</v>
      </c>
      <c r="AY181" s="35" t="n">
        <f aca="false">Modules!$U20-(1-p_tax)*AX181</f>
        <v>73.9341946596885</v>
      </c>
      <c r="AZ181" s="39" t="n">
        <f aca="false">AY181/Modules!$V20</f>
        <v>0.0755269060545672</v>
      </c>
      <c r="BA181" s="48" t="s">
        <v>647</v>
      </c>
      <c r="BB181" s="43" t="n">
        <f aca="false">INDEX($BJ$167:$BJ$200,BDC_EAD!$B20)</f>
        <v>0.401231175123755</v>
      </c>
      <c r="BC181" s="43" t="n">
        <f aca="false">INDEX($BK$167:$BK$200,BDC_EAD!$B20)</f>
        <v>0.0605883669365645</v>
      </c>
      <c r="BD181" s="22" t="n">
        <f aca="false">INDEX(BDC!$Q$6:$Q$39,BDC_EAD!$B20)</f>
        <v>0.244897959183673</v>
      </c>
      <c r="BE181" s="43" t="n">
        <f aca="false">BB181*(1-$AK$192)-BC181-p_c_liq</f>
        <v>0.110088779381501</v>
      </c>
      <c r="BF181" s="43" t="n">
        <f aca="false">p_phi*MAX(0,p_a_spv-BE181)/p_a_spv+(1-p_phi)*MAX(0,p_a_spv-BB181)/p_a_spv</f>
        <v>0.75954677352864</v>
      </c>
      <c r="BG181" s="43" t="n">
        <f aca="false">IF(BD181&gt;0,p_phi*MAX(0,BD181-BE181)/BD181+(1-p_phi)*MAX(0,BD181-BB181)/BD181,0)</f>
        <v>0.44037665402043</v>
      </c>
      <c r="BI181" s="12" t="str">
        <f aca="false">BDC!$A$20</f>
        <v>OSCF</v>
      </c>
      <c r="BJ181" s="43" t="n">
        <f aca="false">1-((1-BDC!$D$20)*$CD$183+BDC!$D$20*$CD$184)-p_gap-$CD$173*(1-BDC!$M$20)</f>
        <v>0.413355834314687</v>
      </c>
      <c r="BK181" s="43" t="n">
        <f aca="false">(1-BDC!$D$20)*$CD$185+BDC!$D$20*$CD$186</f>
        <v>0.0626004241920387</v>
      </c>
      <c r="BL181" s="45" t="n">
        <f aca="false">BJ181/BDC!$K$20</f>
        <v>1.09098834958467</v>
      </c>
      <c r="BM181" s="35" t="n">
        <f aca="false">IF(BL181&lt;1.5,BDC!$C$20,0)</f>
        <v>6.8</v>
      </c>
      <c r="BN181" s="43" t="n">
        <f aca="false">MAX(0,1-BJ181*(1-CE_mig_hc)-p_bb_cush)*BDC!$Q$20</f>
        <v>0.129350577017109</v>
      </c>
      <c r="BO181" s="43" t="n">
        <f aca="false">MAX(0,BDC!$K$20-BJ181/1.5)</f>
        <v>0.103311431367848</v>
      </c>
      <c r="BP181" s="43" t="n">
        <f aca="false">MIN(MIN(1,BDC!$H$20*$CD$176),$CD$175)</f>
        <v>0.114</v>
      </c>
      <c r="BQ181" s="43" t="n">
        <f aca="false">BDC!$I$20*BDC!$J$20*BP181*(1-0.3)</f>
        <v>0.0495652173913043</v>
      </c>
      <c r="BR181" s="45" t="n">
        <f aca="false">BDC!$C$20*($CD$174*MAX(BN181,BO181)+BQ181)</f>
        <v>1.21662740197721</v>
      </c>
      <c r="CC181" s="10" t="s">
        <v>986</v>
      </c>
      <c r="CD181" s="43" t="n">
        <f aca="false">SUMPRODUCT(CreditEngine!$B$6:$B$10,$BU$167:$BU$171)</f>
        <v>0.790768304625863</v>
      </c>
    </row>
    <row r="182" customFormat="false" ht="15" hidden="false" customHeight="true" outlineLevel="0" collapsed="false">
      <c r="A182" s="10" t="s">
        <v>527</v>
      </c>
      <c r="B182" s="35" t="n">
        <f aca="false">AY142</f>
        <v>-9.28772691434693</v>
      </c>
      <c r="C182" s="39" t="n">
        <f aca="false">AZ142</f>
        <v>-0.0205130863573704</v>
      </c>
      <c r="D182" s="44" t="n">
        <f aca="false">IF(C182&lt;Inputs_Banks!$I21,1,0)</f>
        <v>1</v>
      </c>
      <c r="E182" s="44" t="n">
        <f aca="false">IF(C182&lt;0.045,1,0)</f>
        <v>1</v>
      </c>
      <c r="F182" s="44" t="n">
        <f aca="false">IF(B182&lt;0,1,0)</f>
        <v>1</v>
      </c>
      <c r="G182" s="44" t="n">
        <f aca="false">MIN(6,MIN(3,INT(MAX(0,Inputs_Banks!$BA21-C182)/p_notch_step))+D182+2*E182)</f>
        <v>6</v>
      </c>
      <c r="H182" s="39" t="n">
        <f aca="false">C182-Inputs_Banks!$I21</f>
        <v>-0.13251308635737</v>
      </c>
      <c r="I182" s="44" t="n">
        <f aca="false">RANK(H182,$H$167:$H$190,1)</f>
        <v>3</v>
      </c>
      <c r="J182" s="44" t="n">
        <f aca="false">MAX(IF(I182&lt;=g_n_weak,1,0),E182)</f>
        <v>1</v>
      </c>
      <c r="K182" s="44" t="n">
        <f aca="false">IF(I182&gt;12,1,0)*(1-E182)</f>
        <v>0</v>
      </c>
      <c r="L182" s="35" t="n">
        <f aca="false">INDEX(Inputs_Banks!$AR21:$AX21,1,G182+1)</f>
        <v>0.9076515</v>
      </c>
      <c r="M182" s="35" t="n">
        <f aca="false">Inputs_Banks!$AI21*MIN(1,p_u_base+$CD$170*p_u_pan_all+J182*($CD$170*p_u_pan_weak+p_u_mda*D182)+p_u_notch*G182+p_u_fail*E182)</f>
        <v>279.352366202</v>
      </c>
      <c r="N182" s="35" t="n">
        <f aca="false">Inputs_Banks!$AK21*MIN(1,p_w_base+p_w_pan*$CD$170+p_w_notch*G182+0.5*D182+1*E182)</f>
        <v>28.371245</v>
      </c>
      <c r="O182" s="35" t="n">
        <f aca="false">Inputs_Banks!$AO21*MIN(1,p_cp_base+p_cp_pan*$CD$170+p_cp_notch*G182)</f>
        <v>5.15</v>
      </c>
      <c r="P182" s="35" t="n">
        <f aca="false">Inputs_Banks!$AN21*(p_dh+p_dh_pan*$CD$170+MIN(1,0.5*$CD$177+0.25*G182))</f>
        <v>44.8565902707607</v>
      </c>
      <c r="Q182" s="35" t="n">
        <f aca="false">Modules!$Y21</f>
        <v>9.2558384</v>
      </c>
      <c r="R182" s="35" t="n">
        <f aca="false">Inputs_Banks!$AJ21*K182</f>
        <v>0</v>
      </c>
      <c r="S182" s="35" t="n">
        <f aca="false">p_liq_on*$CD$178*SUM($M$167:$M$190)*R182/MAX(0.000000001,SUM($R$167:$R$190))</f>
        <v>0</v>
      </c>
      <c r="T182" s="35" t="n">
        <f aca="false">p_liq_on*(L182+M182+N182+O182+P182+Q182)</f>
        <v>367.893691372761</v>
      </c>
      <c r="U182" s="35" t="n">
        <f aca="false">g_usable*Inputs_Banks!$AG21+p_cb_on*Inputs_Banks!$AQ21+S182</f>
        <v>309.53302303</v>
      </c>
      <c r="V182" s="35" t="n">
        <f aca="false">MAX(0,T182-U182)</f>
        <v>58.3606683427607</v>
      </c>
      <c r="W182" s="44" t="n">
        <f aca="false">IF(V182&gt;0.9*Inputs_Banks!$BB21,1,0)</f>
        <v>0</v>
      </c>
      <c r="X182" s="43" t="n">
        <f aca="false">MAX(p_htm_forced,(1-p_cb_on)*MIN(1,T182/Inputs_Banks!$AG21)*g_theta_sell)</f>
        <v>0.25</v>
      </c>
      <c r="Y182" s="35" t="n">
        <f aca="false">MAX(0,Modules!$V21-B182/(Inputs_Banks!$I21+g_del_buf))</f>
        <v>532.153100519205</v>
      </c>
      <c r="Z182" s="35" t="n">
        <f aca="false">MIN(g_del_cap*Inputs_Banks!$BB21,Y182)</f>
        <v>21.8225</v>
      </c>
      <c r="AA182" s="35" t="n">
        <f aca="false">MIN(Inputs_Banks!$BB21,V182+Z182)</f>
        <v>80.1831683427607</v>
      </c>
      <c r="AB182" s="35" t="n">
        <f aca="false">$AA182*Holdings!Q21</f>
        <v>0</v>
      </c>
      <c r="AC182" s="35" t="n">
        <f aca="false">$AA182*Holdings!R21</f>
        <v>0</v>
      </c>
      <c r="AD182" s="35" t="n">
        <f aca="false">$AA182*Holdings!S21</f>
        <v>0</v>
      </c>
      <c r="AE182" s="35" t="n">
        <f aca="false">$AA182*Holdings!T21</f>
        <v>1.42380468474372</v>
      </c>
      <c r="AF182" s="35" t="n">
        <f aca="false">$AA182*Holdings!U21</f>
        <v>63.4006447361364</v>
      </c>
      <c r="AG182" s="35" t="n">
        <f aca="false">$AA182*Holdings!V21</f>
        <v>0</v>
      </c>
      <c r="AH182" s="35" t="n">
        <f aca="false">$AA182*Holdings!W21</f>
        <v>13.420507383294</v>
      </c>
      <c r="AI182" s="35" t="n">
        <f aca="false">$AA182*Holdings!X21</f>
        <v>0</v>
      </c>
      <c r="AJ182" s="35" t="n">
        <f aca="false">$AA182*Holdings!Y21</f>
        <v>0</v>
      </c>
      <c r="AK182" s="35" t="n">
        <f aca="false">$AA182*Holdings!Z21</f>
        <v>0</v>
      </c>
      <c r="AL182" s="35" t="n">
        <f aca="false">$AA182*Holdings!AA21</f>
        <v>1.93821153858661</v>
      </c>
      <c r="AM182" s="35" t="n">
        <f aca="false">$AA182*Holdings!AB21</f>
        <v>0</v>
      </c>
      <c r="AN182" s="35" t="n">
        <f aca="false">$AA182*Holdings!AC21</f>
        <v>0</v>
      </c>
      <c r="AO182" s="43" t="n">
        <f aca="false">MIN(1,$CD$177+0.5*G182)</f>
        <v>1</v>
      </c>
      <c r="AP182" s="35" t="n">
        <f aca="false">p_liq_on*Inputs_Banks!$AP21*AO182*p_mb_psi</f>
        <v>0</v>
      </c>
      <c r="AQ182" s="44" t="n">
        <f aca="false">MAX(F182,E182,W182*(1-p_cb_on))</f>
        <v>1</v>
      </c>
      <c r="AR182" s="35" t="n">
        <f aca="false">p_ib_on*p_lgd_ib*g_s_in*g_u_ib*SUMPRODUCT(Network!R$6:R$29,$AQ$167:$AQ$190)</f>
        <v>4.21649398828672</v>
      </c>
      <c r="AS182" s="35" t="n">
        <f aca="false">p_sw_M1*(SUMPRODUCT(BDC_EAD!R$106:R$127,$BF$167:$BF$188)+SUMPRODUCT(BDC_EAD!R$131:R$152,$BG$167:$BG$188)+(Inputs_Banks!$Y21+p_ccf_bl*Inputs_Banks!$Z21)*$CD$190+Modules!$E21)</f>
        <v>28.674151775399</v>
      </c>
      <c r="AT182" s="35" t="n">
        <f aca="false">p_sw_M3*(Inputs_Banks!$U21+p_ccf_abf*Inputs_Banks!$V21)*$CD$191</f>
        <v>10.6062570749984</v>
      </c>
      <c r="AU182" s="35" t="n">
        <f aca="false">p_sw_M10*Inputs_Banks!$AC21*$CD$192</f>
        <v>0</v>
      </c>
      <c r="AV182" s="35" t="n">
        <f aca="false">p_sw_M8*(Modules!$M21+Modules!$N21*IF(p_liq_on&gt;0,X182,p_htm_forced))</f>
        <v>2.171</v>
      </c>
      <c r="AW182" s="35" t="n">
        <f aca="false">SUMPRODUCT(Holdings!$C21:$O21,Holdings!$C$32:$O$32,$AB$192:$AN$192)+Inputs_Banks!$P21*$AL$192</f>
        <v>10.5166125128823</v>
      </c>
      <c r="AX182" s="35" t="n">
        <f aca="false">Modules!$T21+AS182+AT182+AU182+AV182+AW182+AR182</f>
        <v>67.6274552143469</v>
      </c>
      <c r="AY182" s="35" t="n">
        <f aca="false">Modules!$U21-(1-p_tax)*AX182</f>
        <v>-9.28772691434693</v>
      </c>
      <c r="AZ182" s="39" t="n">
        <f aca="false">AY182/Modules!$V21</f>
        <v>-0.0205130863573704</v>
      </c>
      <c r="BA182" s="48" t="s">
        <v>659</v>
      </c>
      <c r="BB182" s="43" t="n">
        <f aca="false">INDEX($BJ$167:$BJ$200,BDC_EAD!$B21)</f>
        <v>0.361123826355913</v>
      </c>
      <c r="BC182" s="43" t="n">
        <f aca="false">INDEX($BK$167:$BK$200,BDC_EAD!$B21)</f>
        <v>0.0628985067484052</v>
      </c>
      <c r="BD182" s="22" t="n">
        <f aca="false">INDEX(BDC!$Q$6:$Q$39,BDC_EAD!$B21)</f>
        <v>0.239316017316017</v>
      </c>
      <c r="BE182" s="43" t="n">
        <f aca="false">BB182*(1-$AK$192)-BC182-p_c_liq</f>
        <v>0.085719597747347</v>
      </c>
      <c r="BF182" s="43" t="n">
        <f aca="false">p_phi*MAX(0,p_a_spv-BE182)/p_a_spv+(1-p_phi)*MAX(0,p_a_spv-BB182)/p_a_spv</f>
        <v>0.798856509329914</v>
      </c>
      <c r="BG182" s="43" t="n">
        <f aca="false">IF(BD182&gt;0,p_phi*MAX(0,BD182-BE182)/BD182+(1-p_phi)*MAX(0,BD182-BB182)/BD182,0)</f>
        <v>0.513451364572379</v>
      </c>
      <c r="BI182" s="12" t="str">
        <f aca="false">BDC!$A$21</f>
        <v>PSEC</v>
      </c>
      <c r="BJ182" s="43" t="n">
        <f aca="false">1-((1-BDC!$D$21)*$CD$183+BDC!$D$21*$CD$184)-p_gap-$CD$173*(1-BDC!$M$21)</f>
        <v>0.113624404509291</v>
      </c>
      <c r="BK182" s="43" t="n">
        <f aca="false">(1-BDC!$D$21)*$CD$185+BDC!$D$21*$CD$186</f>
        <v>0.0681894721239115</v>
      </c>
      <c r="BL182" s="45" t="n">
        <f aca="false">BJ182/BDC!$K$21</f>
        <v>0.293980602143086</v>
      </c>
      <c r="BM182" s="35" t="n">
        <f aca="false">IF(BL182&lt;1.5,BDC!$C$21,0)</f>
        <v>6.34</v>
      </c>
      <c r="BN182" s="43" t="n">
        <f aca="false">MAX(0,1-BJ182*(1-CE_mig_hc)-p_bb_cush)*BDC!$Q$21</f>
        <v>0.168253607408428</v>
      </c>
      <c r="BO182" s="43" t="n">
        <f aca="false">MAX(0,BDC!$K$21-BJ182/1.5)</f>
        <v>0.310753464478469</v>
      </c>
      <c r="BP182" s="43" t="n">
        <f aca="false">MIN(MIN(1,BDC!$H$21*$CD$176),$CD$175)</f>
        <v>0</v>
      </c>
      <c r="BQ182" s="43" t="n">
        <f aca="false">BDC!$I$21*BDC!$J$21*BP182*(1-0.3)</f>
        <v>0</v>
      </c>
      <c r="BR182" s="45" t="n">
        <f aca="false">BDC!$C$21*($CD$174*MAX(BN182,BO182)+BQ182)</f>
        <v>1.97017696479349</v>
      </c>
      <c r="CC182" s="10" t="s">
        <v>987</v>
      </c>
      <c r="CD182" s="43" t="n">
        <f aca="false">SUMPRODUCT(CreditEngine!$B$6:$B$10,$BV$167:$BV$171)</f>
        <v>0.924318714457985</v>
      </c>
    </row>
    <row r="183" customFormat="false" ht="15" hidden="false" customHeight="true" outlineLevel="0" collapsed="false">
      <c r="A183" s="10" t="s">
        <v>530</v>
      </c>
      <c r="B183" s="35" t="n">
        <f aca="false">AY143</f>
        <v>36.664953036146</v>
      </c>
      <c r="C183" s="39" t="n">
        <f aca="false">AZ143</f>
        <v>0.0374031559348759</v>
      </c>
      <c r="D183" s="44" t="n">
        <f aca="false">IF(C183&lt;Inputs_Banks!$I22,1,0)</f>
        <v>1</v>
      </c>
      <c r="E183" s="44" t="n">
        <f aca="false">IF(C183&lt;0.045,1,0)</f>
        <v>1</v>
      </c>
      <c r="F183" s="44" t="n">
        <f aca="false">IF(B183&lt;0,1,0)</f>
        <v>0</v>
      </c>
      <c r="G183" s="44" t="n">
        <f aca="false">MIN(6,MIN(3,INT(MAX(0,Inputs_Banks!$BA22-C183)/p_notch_step))+D183+2*E183)</f>
        <v>6</v>
      </c>
      <c r="H183" s="39" t="n">
        <f aca="false">C183-Inputs_Banks!$I22</f>
        <v>-0.0668968440651241</v>
      </c>
      <c r="I183" s="44" t="n">
        <f aca="false">RANK(H183,$H$167:$H$190,1)</f>
        <v>10</v>
      </c>
      <c r="J183" s="44" t="n">
        <f aca="false">MAX(IF(I183&lt;=g_n_weak,1,0),E183)</f>
        <v>1</v>
      </c>
      <c r="K183" s="44" t="n">
        <f aca="false">IF(I183&gt;12,1,0)*(1-E183)</f>
        <v>0</v>
      </c>
      <c r="L183" s="35" t="n">
        <f aca="false">INDEX(Inputs_Banks!$AR22:$AX22,1,G183+1)</f>
        <v>2.945586</v>
      </c>
      <c r="M183" s="35" t="n">
        <f aca="false">Inputs_Banks!$AI22*MIN(1,p_u_base+$CD$170*p_u_pan_all+J183*($CD$170*p_u_pan_weak+p_u_mda*D183)+p_u_notch*G183+p_u_fail*E183)</f>
        <v>546.513203124</v>
      </c>
      <c r="N183" s="35" t="n">
        <f aca="false">Inputs_Banks!$AK22*MIN(1,p_w_base+p_w_pan*$CD$170+p_w_notch*G183+0.5*D183+1*E183)</f>
        <v>28.3758118</v>
      </c>
      <c r="O183" s="35" t="n">
        <f aca="false">Inputs_Banks!$AO22*MIN(1,p_cp_base+p_cp_pan*$CD$170+p_cp_notch*G183)</f>
        <v>6.01</v>
      </c>
      <c r="P183" s="35" t="n">
        <f aca="false">Inputs_Banks!$AN22*(p_dh+p_dh_pan*$CD$170+MIN(1,0.5*$CD$177+0.25*G183))</f>
        <v>327.022854105455</v>
      </c>
      <c r="Q183" s="35" t="n">
        <f aca="false">Modules!$Y22</f>
        <v>9.7948712</v>
      </c>
      <c r="R183" s="35" t="n">
        <f aca="false">Inputs_Banks!$AJ22*K183</f>
        <v>0</v>
      </c>
      <c r="S183" s="35" t="n">
        <f aca="false">p_liq_on*$CD$178*SUM($M$167:$M$190)*R183/MAX(0.000000001,SUM($R$167:$R$190))</f>
        <v>0</v>
      </c>
      <c r="T183" s="35" t="n">
        <f aca="false">p_liq_on*(L183+M183+N183+O183+P183+Q183)</f>
        <v>920.662326229455</v>
      </c>
      <c r="U183" s="35" t="n">
        <f aca="false">g_usable*Inputs_Banks!$AG22+p_cb_on*Inputs_Banks!$AQ22+S183</f>
        <v>714.7042</v>
      </c>
      <c r="V183" s="35" t="n">
        <f aca="false">MAX(0,T183-U183)</f>
        <v>205.958126229456</v>
      </c>
      <c r="W183" s="44" t="n">
        <f aca="false">IF(V183&gt;0.9*Inputs_Banks!$BB22,1,0)</f>
        <v>0</v>
      </c>
      <c r="X183" s="43" t="n">
        <f aca="false">MAX(p_htm_forced,(1-p_cb_on)*MIN(1,T183/Inputs_Banks!$AG22)*g_theta_sell)</f>
        <v>0.25</v>
      </c>
      <c r="Y183" s="35" t="n">
        <f aca="false">MAX(0,Modules!$V22-B183/(Inputs_Banks!$I22+g_del_buf))</f>
        <v>644.811167702233</v>
      </c>
      <c r="Z183" s="35" t="n">
        <f aca="false">MIN(g_del_cap*Inputs_Banks!$BB22,Y183)</f>
        <v>88.1275</v>
      </c>
      <c r="AA183" s="35" t="n">
        <f aca="false">MIN(Inputs_Banks!$BB22,V183+Z183)</f>
        <v>294.085626229456</v>
      </c>
      <c r="AB183" s="35" t="n">
        <f aca="false">$AA183*Holdings!Q22</f>
        <v>0</v>
      </c>
      <c r="AC183" s="35" t="n">
        <f aca="false">$AA183*Holdings!R22</f>
        <v>0</v>
      </c>
      <c r="AD183" s="35" t="n">
        <f aca="false">$AA183*Holdings!S22</f>
        <v>0</v>
      </c>
      <c r="AE183" s="35" t="n">
        <f aca="false">$AA183*Holdings!T22</f>
        <v>0</v>
      </c>
      <c r="AF183" s="35" t="n">
        <f aca="false">$AA183*Holdings!U22</f>
        <v>121.243267027678</v>
      </c>
      <c r="AG183" s="35" t="n">
        <f aca="false">$AA183*Holdings!V22</f>
        <v>0</v>
      </c>
      <c r="AH183" s="35" t="n">
        <f aca="false">$AA183*Holdings!W22</f>
        <v>11.2291637940724</v>
      </c>
      <c r="AI183" s="35" t="n">
        <f aca="false">$AA183*Holdings!X22</f>
        <v>0</v>
      </c>
      <c r="AJ183" s="35" t="n">
        <f aca="false">$AA183*Holdings!Y22</f>
        <v>0</v>
      </c>
      <c r="AK183" s="35" t="n">
        <f aca="false">$AA183*Holdings!Z22</f>
        <v>0</v>
      </c>
      <c r="AL183" s="35" t="n">
        <f aca="false">$AA183*Holdings!AA22</f>
        <v>161.613195407705</v>
      </c>
      <c r="AM183" s="35" t="n">
        <f aca="false">$AA183*Holdings!AB22</f>
        <v>0</v>
      </c>
      <c r="AN183" s="35" t="n">
        <f aca="false">$AA183*Holdings!AC22</f>
        <v>0</v>
      </c>
      <c r="AO183" s="43" t="n">
        <f aca="false">MIN(1,$CD$177+0.5*G183)</f>
        <v>1</v>
      </c>
      <c r="AP183" s="35" t="n">
        <f aca="false">p_liq_on*Inputs_Banks!$AP22*AO183*p_mb_psi</f>
        <v>11.592</v>
      </c>
      <c r="AQ183" s="44" t="n">
        <f aca="false">MAX(F183,E183,W183*(1-p_cb_on))</f>
        <v>1</v>
      </c>
      <c r="AR183" s="35" t="n">
        <f aca="false">p_ib_on*p_lgd_ib*g_s_in*g_u_ib*SUMPRODUCT(Network!S$6:S$29,$AQ$167:$AQ$190)</f>
        <v>12.8576723198117</v>
      </c>
      <c r="AS183" s="35" t="n">
        <f aca="false">p_sw_M1*(SUMPRODUCT(BDC_EAD!S$106:S$127,$BF$167:$BF$188)+SUMPRODUCT(BDC_EAD!S$131:S$152,$BG$167:$BG$188)+(Inputs_Banks!$Y22+p_ccf_bl*Inputs_Banks!$Z22)*$CD$190+Modules!$E22)</f>
        <v>23.7487346889017</v>
      </c>
      <c r="AT183" s="35" t="n">
        <f aca="false">p_sw_M3*(Inputs_Banks!$U22+p_ccf_abf*Inputs_Banks!$V22)*$CD$191</f>
        <v>3.81118170894942</v>
      </c>
      <c r="AU183" s="35" t="n">
        <f aca="false">p_sw_M10*Inputs_Banks!$AC22*$CD$192</f>
        <v>0</v>
      </c>
      <c r="AV183" s="35" t="n">
        <f aca="false">p_sw_M8*(Modules!$M22+Modules!$N22*IF(p_liq_on&gt;0,X183,p_htm_forced))</f>
        <v>4.40625</v>
      </c>
      <c r="AW183" s="35" t="n">
        <f aca="false">SUMPRODUCT(Holdings!$C22:$O22,Holdings!$C$32:$O$32,$AB$192:$AN$192)+Inputs_Banks!$P22*$AL$192</f>
        <v>16.3242704898486</v>
      </c>
      <c r="AX183" s="35" t="n">
        <f aca="false">Modules!$T22+AS183+AT183+AU183+AV183+AW183+AR183</f>
        <v>81.1584869638541</v>
      </c>
      <c r="AY183" s="35" t="n">
        <f aca="false">Modules!$U22-(1-p_tax)*AX183</f>
        <v>36.664953036146</v>
      </c>
      <c r="AZ183" s="39" t="n">
        <f aca="false">AY183/Modules!$V22</f>
        <v>0.0374031559348759</v>
      </c>
      <c r="BA183" s="48" t="s">
        <v>638</v>
      </c>
      <c r="BB183" s="43" t="n">
        <f aca="false">INDEX($BJ$167:$BJ$200,BDC_EAD!$B22)</f>
        <v>0.393709594067855</v>
      </c>
      <c r="BC183" s="43" t="n">
        <f aca="false">INDEX($BK$167:$BK$200,BDC_EAD!$B22)</f>
        <v>0.0647242624061503</v>
      </c>
      <c r="BD183" s="22" t="n">
        <f aca="false">INDEX(BDC!$Q$6:$Q$39,BDC_EAD!$B22)</f>
        <v>0.177509433962264</v>
      </c>
      <c r="BE183" s="43" t="n">
        <f aca="false">BB183*(1-$AK$192)-BC183-p_c_liq</f>
        <v>0.10181601433117</v>
      </c>
      <c r="BF183" s="43" t="n">
        <f aca="false">p_phi*MAX(0,p_a_spv-BE183)/p_a_spv+(1-p_phi)*MAX(0,p_a_spv-BB183)/p_a_spv</f>
        <v>0.771150385316419</v>
      </c>
      <c r="BG183" s="43" t="n">
        <f aca="false">IF(BD183&gt;0,p_phi*MAX(0,BD183-BE183)/BD183+(1-p_phi)*MAX(0,BD183-BB183)/BD183,0)</f>
        <v>0.341135309561905</v>
      </c>
      <c r="BI183" s="12" t="str">
        <f aca="false">BDC!$A$22</f>
        <v>NHPIF</v>
      </c>
      <c r="BJ183" s="43" t="n">
        <f aca="false">1-((1-BDC!$D$22)*$CD$183+BDC!$D$22*$CD$184)-p_gap-$CD$173*(1-BDC!$M$22)</f>
        <v>0.401231175123755</v>
      </c>
      <c r="BK183" s="43" t="n">
        <f aca="false">(1-BDC!$D$22)*$CD$185+BDC!$D$22*$CD$186</f>
        <v>0.0605883669365645</v>
      </c>
      <c r="BL183" s="45" t="n">
        <f aca="false">BJ183/BDC!$K$22</f>
        <v>0.819180315877667</v>
      </c>
      <c r="BM183" s="35" t="n">
        <f aca="false">IF(BL183&lt;1.5,BDC!$C$22,0)</f>
        <v>5.98</v>
      </c>
      <c r="BN183" s="43" t="n">
        <f aca="false">MAX(0,1-BJ183*(1-CE_mig_hc)-p_bb_cush)*BDC!$Q$22</f>
        <v>0.151630856363478</v>
      </c>
      <c r="BO183" s="43" t="n">
        <f aca="false">MAX(0,BDC!$K$22-BJ183/1.5)</f>
        <v>0.222308468284843</v>
      </c>
      <c r="BP183" s="43" t="n">
        <f aca="false">MIN(MIN(1,BDC!$H$22*$CD$176),$CD$175)</f>
        <v>0.25</v>
      </c>
      <c r="BQ183" s="43" t="n">
        <f aca="false">BDC!$I$22*BDC!$J$22*BP183*(1-0.3)</f>
        <v>0.0892857142857143</v>
      </c>
      <c r="BR183" s="45" t="n">
        <f aca="false">BDC!$C$22*($CD$174*MAX(BN183,BO183)+BQ183)</f>
        <v>1.86333321177194</v>
      </c>
      <c r="CC183" s="10" t="s">
        <v>988</v>
      </c>
      <c r="CD183" s="43" t="n">
        <f aca="false">$CD$181*p_lgd_gen-CE_PDb*g_lgd_gen_b</f>
        <v>0.332131634197048</v>
      </c>
    </row>
    <row r="184" customFormat="false" ht="15" hidden="false" customHeight="true" outlineLevel="0" collapsed="false">
      <c r="A184" s="10" t="s">
        <v>532</v>
      </c>
      <c r="B184" s="35" t="n">
        <f aca="false">AY144</f>
        <v>23.6598018358836</v>
      </c>
      <c r="C184" s="39" t="n">
        <f aca="false">AZ144</f>
        <v>0.0472616971280715</v>
      </c>
      <c r="D184" s="44" t="n">
        <f aca="false">IF(C184&lt;Inputs_Banks!$I23,1,0)</f>
        <v>1</v>
      </c>
      <c r="E184" s="44" t="n">
        <f aca="false">IF(C184&lt;0.045,1,0)</f>
        <v>0</v>
      </c>
      <c r="F184" s="44" t="n">
        <f aca="false">IF(B184&lt;0,1,0)</f>
        <v>0</v>
      </c>
      <c r="G184" s="44" t="n">
        <f aca="false">MIN(6,MIN(3,INT(MAX(0,Inputs_Banks!$BA23-C184)/p_notch_step))+D184+2*E184)</f>
        <v>4</v>
      </c>
      <c r="H184" s="39" t="n">
        <f aca="false">C184-Inputs_Banks!$I23</f>
        <v>-0.0553383028719285</v>
      </c>
      <c r="I184" s="44" t="n">
        <f aca="false">RANK(H184,$H$167:$H$190,1)</f>
        <v>13</v>
      </c>
      <c r="J184" s="44" t="n">
        <f aca="false">MAX(IF(I184&lt;=g_n_weak,1,0),E184)</f>
        <v>0</v>
      </c>
      <c r="K184" s="44" t="n">
        <f aca="false">IF(I184&gt;12,1,0)*(1-E184)</f>
        <v>1</v>
      </c>
      <c r="L184" s="35" t="n">
        <f aca="false">INDEX(Inputs_Banks!$AR23:$AX23,1,G184+1)</f>
        <v>1.2010684</v>
      </c>
      <c r="M184" s="35" t="n">
        <f aca="false">Inputs_Banks!$AI23*MIN(1,p_u_base+$CD$170*p_u_pan_all+J184*($CD$170*p_u_pan_weak+p_u_mda*D184)+p_u_notch*G184+p_u_fail*E184)</f>
        <v>85.2942480453</v>
      </c>
      <c r="N184" s="35" t="n">
        <f aca="false">Inputs_Banks!$AK23*MIN(1,p_w_base+p_w_pan*$CD$170+p_w_notch*G184+0.5*D184+1*E184)</f>
        <v>0</v>
      </c>
      <c r="O184" s="35" t="n">
        <f aca="false">Inputs_Banks!$AO23*MIN(1,p_cp_base+p_cp_pan*$CD$170+p_cp_notch*G184)</f>
        <v>3.8</v>
      </c>
      <c r="P184" s="35" t="n">
        <f aca="false">Inputs_Banks!$AN23*(p_dh+p_dh_pan*$CD$170+MIN(1,0.5*$CD$177+0.25*G184))</f>
        <v>128.300227265032</v>
      </c>
      <c r="Q184" s="35" t="n">
        <f aca="false">Modules!$Y23</f>
        <v>3.506521</v>
      </c>
      <c r="R184" s="35" t="n">
        <f aca="false">Inputs_Banks!$AJ23*K184</f>
        <v>611.4283014</v>
      </c>
      <c r="S184" s="35" t="n">
        <f aca="false">p_liq_on*$CD$178*SUM($M$167:$M$190)*R184/MAX(0.000000001,SUM($R$167:$R$190))</f>
        <v>126.615060020241</v>
      </c>
      <c r="T184" s="35" t="n">
        <f aca="false">p_liq_on*(L184+M184+N184+O184+P184+Q184)</f>
        <v>222.102064710332</v>
      </c>
      <c r="U184" s="35" t="n">
        <f aca="false">g_usable*Inputs_Banks!$AG23+p_cb_on*Inputs_Banks!$AQ23+S184</f>
        <v>563.372395020241</v>
      </c>
      <c r="V184" s="35" t="n">
        <f aca="false">MAX(0,T184-U184)</f>
        <v>0</v>
      </c>
      <c r="W184" s="44" t="n">
        <f aca="false">IF(V184&gt;0.9*Inputs_Banks!$BB23,1,0)</f>
        <v>0</v>
      </c>
      <c r="X184" s="43" t="n">
        <f aca="false">MAX(p_htm_forced,(1-p_cb_on)*MIN(1,T184/Inputs_Banks!$AG23)*g_theta_sell)</f>
        <v>0.184920413117464</v>
      </c>
      <c r="Y184" s="35" t="n">
        <f aca="false">MAX(0,Modules!$V23-B184/(Inputs_Banks!$I23+g_del_buf))</f>
        <v>280.725981837513</v>
      </c>
      <c r="Z184" s="35" t="n">
        <f aca="false">MIN(g_del_cap*Inputs_Banks!$BB23,Y184)</f>
        <v>40.9075</v>
      </c>
      <c r="AA184" s="35" t="n">
        <f aca="false">MIN(Inputs_Banks!$BB23,V184+Z184)</f>
        <v>40.9075</v>
      </c>
      <c r="AB184" s="35" t="n">
        <f aca="false">$AA184*Holdings!Q23</f>
        <v>0</v>
      </c>
      <c r="AC184" s="35" t="n">
        <f aca="false">$AA184*Holdings!R23</f>
        <v>0</v>
      </c>
      <c r="AD184" s="35" t="n">
        <f aca="false">$AA184*Holdings!S23</f>
        <v>0</v>
      </c>
      <c r="AE184" s="35" t="n">
        <f aca="false">$AA184*Holdings!T23</f>
        <v>0</v>
      </c>
      <c r="AF184" s="35" t="n">
        <f aca="false">$AA184*Holdings!U23</f>
        <v>6.4975</v>
      </c>
      <c r="AG184" s="35" t="n">
        <f aca="false">$AA184*Holdings!V23</f>
        <v>0</v>
      </c>
      <c r="AH184" s="35" t="n">
        <f aca="false">$AA184*Holdings!W23</f>
        <v>2.6375</v>
      </c>
      <c r="AI184" s="35" t="n">
        <f aca="false">$AA184*Holdings!X23</f>
        <v>0</v>
      </c>
      <c r="AJ184" s="35" t="n">
        <f aca="false">$AA184*Holdings!Y23</f>
        <v>0</v>
      </c>
      <c r="AK184" s="35" t="n">
        <f aca="false">$AA184*Holdings!Z23</f>
        <v>0</v>
      </c>
      <c r="AL184" s="35" t="n">
        <f aca="false">$AA184*Holdings!AA23</f>
        <v>31.7725</v>
      </c>
      <c r="AM184" s="35" t="n">
        <f aca="false">$AA184*Holdings!AB23</f>
        <v>0</v>
      </c>
      <c r="AN184" s="35" t="n">
        <f aca="false">$AA184*Holdings!AC23</f>
        <v>0</v>
      </c>
      <c r="AO184" s="43" t="n">
        <f aca="false">MIN(1,$CD$177+0.5*G184)</f>
        <v>1</v>
      </c>
      <c r="AP184" s="35" t="n">
        <f aca="false">p_liq_on*Inputs_Banks!$AP23*AO184*p_mb_psi</f>
        <v>5.856</v>
      </c>
      <c r="AQ184" s="44" t="n">
        <f aca="false">MAX(F184,E184,W184*(1-p_cb_on))</f>
        <v>0</v>
      </c>
      <c r="AR184" s="35" t="n">
        <f aca="false">p_ib_on*p_lgd_ib*g_s_in*g_u_ib*SUMPRODUCT(Network!T$6:T$29,$AQ$167:$AQ$190)</f>
        <v>9.57333551838029</v>
      </c>
      <c r="AS184" s="35" t="n">
        <f aca="false">p_sw_M1*(SUMPRODUCT(BDC_EAD!T$106:T$127,$BF$167:$BF$188)+SUMPRODUCT(BDC_EAD!T$131:T$152,$BG$167:$BG$188)+(Inputs_Banks!$Y23+p_ccf_bl*Inputs_Banks!$Z23)*$CD$190+Modules!$E23)</f>
        <v>11.9173703231754</v>
      </c>
      <c r="AT184" s="35" t="n">
        <f aca="false">p_sw_M3*(Inputs_Banks!$U23+p_ccf_abf*Inputs_Banks!$V23)*$CD$191</f>
        <v>0</v>
      </c>
      <c r="AU184" s="35" t="n">
        <f aca="false">p_sw_M10*Inputs_Banks!$AC23*$CD$192</f>
        <v>0</v>
      </c>
      <c r="AV184" s="35" t="n">
        <f aca="false">p_sw_M8*(Modules!$M23+Modules!$N23*IF(p_liq_on&gt;0,X184,p_htm_forced))</f>
        <v>1.51600832932119</v>
      </c>
      <c r="AW184" s="35" t="n">
        <f aca="false">SUMPRODUCT(Holdings!$C23:$O23,Holdings!$C$32:$O$32,$AB$192:$AN$192)+Inputs_Banks!$P23*$AL$192</f>
        <v>6.94276181715746</v>
      </c>
      <c r="AX184" s="35" t="n">
        <f aca="false">Modules!$T23+AS184+AT184+AU184+AV184+AW184+AR184</f>
        <v>37.4211481641164</v>
      </c>
      <c r="AY184" s="35" t="n">
        <f aca="false">Modules!$U23-(1-p_tax)*AX184</f>
        <v>23.6598018358836</v>
      </c>
      <c r="AZ184" s="39" t="n">
        <f aca="false">AY184/Modules!$V23</f>
        <v>0.0472616971280715</v>
      </c>
      <c r="BA184" s="48" t="s">
        <v>631</v>
      </c>
      <c r="BB184" s="43" t="n">
        <f aca="false">INDEX($BJ$167:$BJ$200,BDC_EAD!$B23)</f>
        <v>0.421663471167733</v>
      </c>
      <c r="BC184" s="43" t="n">
        <f aca="false">INDEX($BK$167:$BK$200,BDC_EAD!$B23)</f>
        <v>0.063979056015234</v>
      </c>
      <c r="BD184" s="22" t="n">
        <f aca="false">INDEX(BDC!$Q$6:$Q$39,BDC_EAD!$B23)</f>
        <v>0.276335078534031</v>
      </c>
      <c r="BE184" s="43" t="n">
        <f aca="false">BB184*(1-$AK$192)-BC184-p_c_liq</f>
        <v>0.117935853127019</v>
      </c>
      <c r="BF184" s="43" t="n">
        <f aca="false">p_phi*MAX(0,p_a_spv-BE184)/p_a_spv+(1-p_phi)*MAX(0,p_a_spv-BB184)/p_a_spv</f>
        <v>0.74474089037834</v>
      </c>
      <c r="BG184" s="43" t="n">
        <f aca="false">IF(BD184&gt;0,p_phi*MAX(0,BD184-BE184)/BD184+(1-p_phi)*MAX(0,BD184-BB184)/BD184,0)</f>
        <v>0.458571459685326</v>
      </c>
      <c r="BI184" s="12" t="str">
        <f aca="false">BDC!$A$23</f>
        <v>MAIN</v>
      </c>
      <c r="BJ184" s="43" t="n">
        <f aca="false">1-((1-BDC!$D$23)*$CD$183+BDC!$D$23*$CD$184)-p_gap-$CD$173*(1-BDC!$M$23)</f>
        <v>0.556417298789294</v>
      </c>
      <c r="BK184" s="43" t="n">
        <f aca="false">(1-BDC!$D$23)*$CD$185+BDC!$D$23*$CD$186</f>
        <v>0.0671461831766286</v>
      </c>
      <c r="BL184" s="45" t="n">
        <f aca="false">BJ184/BDC!$K$23</f>
        <v>1.25193892227591</v>
      </c>
      <c r="BM184" s="35" t="n">
        <f aca="false">IF(BL184&lt;1.5,BDC!$C$23,0)</f>
        <v>5.75</v>
      </c>
      <c r="BN184" s="43" t="n">
        <f aca="false">MAX(0,1-BJ184*(1-CE_mig_hc)-p_bb_cush)*BDC!$Q$23</f>
        <v>0.050065278117532</v>
      </c>
      <c r="BO184" s="43" t="n">
        <f aca="false">MAX(0,BDC!$K$23-BJ184/1.5)</f>
        <v>0.0734995785849151</v>
      </c>
      <c r="BP184" s="43" t="n">
        <f aca="false">MIN(MIN(1,BDC!$H$23*$CD$176),$CD$175)</f>
        <v>0</v>
      </c>
      <c r="BQ184" s="43" t="n">
        <f aca="false">BDC!$I$23*BDC!$J$23*BP184*(1-0.3)</f>
        <v>0</v>
      </c>
      <c r="BR184" s="45" t="n">
        <f aca="false">BDC!$C$23*($CD$174*MAX(BN184,BO184)+BQ184)</f>
        <v>0.422622576863262</v>
      </c>
      <c r="CC184" s="10" t="s">
        <v>989</v>
      </c>
      <c r="CD184" s="43" t="n">
        <f aca="false">$CD$182*p_lgd_sw-CE_PDb*g_lgd_sw_b</f>
        <v>0.556662359955042</v>
      </c>
    </row>
    <row r="185" customFormat="false" ht="15" hidden="false" customHeight="true" outlineLevel="0" collapsed="false">
      <c r="A185" s="10" t="s">
        <v>534</v>
      </c>
      <c r="B185" s="35" t="n">
        <f aca="false">AY145</f>
        <v>43.1850972513385</v>
      </c>
      <c r="C185" s="39" t="n">
        <f aca="false">AZ145</f>
        <v>0.0793534454428393</v>
      </c>
      <c r="D185" s="44" t="n">
        <f aca="false">IF(C185&lt;Inputs_Banks!$I24,1,0)</f>
        <v>1</v>
      </c>
      <c r="E185" s="44" t="n">
        <f aca="false">IF(C185&lt;0.045,1,0)</f>
        <v>0</v>
      </c>
      <c r="F185" s="44" t="n">
        <f aca="false">IF(B185&lt;0,1,0)</f>
        <v>0</v>
      </c>
      <c r="G185" s="44" t="n">
        <f aca="false">MIN(6,MIN(3,INT(MAX(0,Inputs_Banks!$BA24-C185)/p_notch_step))+D185+2*E185)</f>
        <v>3</v>
      </c>
      <c r="H185" s="39" t="n">
        <f aca="false">C185-Inputs_Banks!$I24</f>
        <v>-0.0289465545571607</v>
      </c>
      <c r="I185" s="44" t="n">
        <f aca="false">RANK(H185,$H$167:$H$190,1)</f>
        <v>20</v>
      </c>
      <c r="J185" s="44" t="n">
        <f aca="false">MAX(IF(I185&lt;=g_n_weak,1,0),E185)</f>
        <v>0</v>
      </c>
      <c r="K185" s="44" t="n">
        <f aca="false">IF(I185&gt;12,1,0)*(1-E185)</f>
        <v>1</v>
      </c>
      <c r="L185" s="35" t="n">
        <f aca="false">INDEX(Inputs_Banks!$AR24:$AX24,1,G185+1)</f>
        <v>1.0254</v>
      </c>
      <c r="M185" s="35" t="n">
        <f aca="false">Inputs_Banks!$AI24*MIN(1,p_u_base+$CD$170*p_u_pan_all+J185*($CD$170*p_u_pan_weak+p_u_mda*D185)+p_u_notch*G185+p_u_fail*E185)</f>
        <v>98.681085</v>
      </c>
      <c r="N185" s="35" t="n">
        <f aca="false">Inputs_Banks!$AK24*MIN(1,p_w_base+p_w_pan*$CD$170+p_w_notch*G185+0.5*D185+1*E185)</f>
        <v>44.031</v>
      </c>
      <c r="O185" s="35" t="n">
        <f aca="false">Inputs_Banks!$AO24*MIN(1,p_cp_base+p_cp_pan*$CD$170+p_cp_notch*G185)</f>
        <v>6.29</v>
      </c>
      <c r="P185" s="35" t="n">
        <f aca="false">Inputs_Banks!$AN24*(p_dh+p_dh_pan*$CD$170+MIN(1,0.5*$CD$177+0.25*G185))</f>
        <v>21.26696</v>
      </c>
      <c r="Q185" s="35" t="n">
        <f aca="false">Modules!$Y24</f>
        <v>0.730916</v>
      </c>
      <c r="R185" s="35" t="n">
        <f aca="false">Inputs_Banks!$AJ24*K185</f>
        <v>812.19</v>
      </c>
      <c r="S185" s="35" t="n">
        <f aca="false">p_liq_on*$CD$178*SUM($M$167:$M$190)*R185/MAX(0.000000001,SUM($R$167:$R$190))</f>
        <v>168.188952592438</v>
      </c>
      <c r="T185" s="35" t="n">
        <f aca="false">p_liq_on*(L185+M185+N185+O185+P185+Q185)</f>
        <v>172.025361</v>
      </c>
      <c r="U185" s="35" t="n">
        <f aca="false">g_usable*Inputs_Banks!$AG24+p_cb_on*Inputs_Banks!$AQ24+S185</f>
        <v>544.168952592438</v>
      </c>
      <c r="V185" s="35" t="n">
        <f aca="false">MAX(0,T185-U185)</f>
        <v>0</v>
      </c>
      <c r="W185" s="44" t="n">
        <f aca="false">IF(V185&gt;0.9*Inputs_Banks!$BB24,1,0)</f>
        <v>0</v>
      </c>
      <c r="X185" s="43" t="n">
        <f aca="false">MAX(p_htm_forced,(1-p_cb_on)*MIN(1,T185/Inputs_Banks!$AG24)*g_theta_sell)</f>
        <v>0.125823113662961</v>
      </c>
      <c r="Y185" s="35" t="n">
        <f aca="false">MAX(0,Modules!$V24-B185/(Inputs_Banks!$I24+g_del_buf))</f>
        <v>163.05491922914</v>
      </c>
      <c r="Z185" s="35" t="n">
        <f aca="false">MIN(g_del_cap*Inputs_Banks!$BB24,Y185)</f>
        <v>63.9425</v>
      </c>
      <c r="AA185" s="35" t="n">
        <f aca="false">MIN(Inputs_Banks!$BB24,V185+Z185)</f>
        <v>63.9425</v>
      </c>
      <c r="AB185" s="35" t="n">
        <f aca="false">$AA185*Holdings!Q24</f>
        <v>0</v>
      </c>
      <c r="AC185" s="35" t="n">
        <f aca="false">$AA185*Holdings!R24</f>
        <v>0</v>
      </c>
      <c r="AD185" s="35" t="n">
        <f aca="false">$AA185*Holdings!S24</f>
        <v>0</v>
      </c>
      <c r="AE185" s="35" t="n">
        <f aca="false">$AA185*Holdings!T24</f>
        <v>0</v>
      </c>
      <c r="AF185" s="35" t="n">
        <f aca="false">$AA185*Holdings!U24</f>
        <v>10.3475</v>
      </c>
      <c r="AG185" s="35" t="n">
        <f aca="false">$AA185*Holdings!V24</f>
        <v>0</v>
      </c>
      <c r="AH185" s="35" t="n">
        <f aca="false">$AA185*Holdings!W24</f>
        <v>0.915</v>
      </c>
      <c r="AI185" s="35" t="n">
        <f aca="false">$AA185*Holdings!X24</f>
        <v>0</v>
      </c>
      <c r="AJ185" s="35" t="n">
        <f aca="false">$AA185*Holdings!Y24</f>
        <v>0.535</v>
      </c>
      <c r="AK185" s="35" t="n">
        <f aca="false">$AA185*Holdings!Z24</f>
        <v>0</v>
      </c>
      <c r="AL185" s="35" t="n">
        <f aca="false">$AA185*Holdings!AA24</f>
        <v>32.3075</v>
      </c>
      <c r="AM185" s="35" t="n">
        <f aca="false">$AA185*Holdings!AB24</f>
        <v>0</v>
      </c>
      <c r="AN185" s="35" t="n">
        <f aca="false">$AA185*Holdings!AC24</f>
        <v>19.8375</v>
      </c>
      <c r="AO185" s="43" t="n">
        <f aca="false">MIN(1,$CD$177+0.5*G185)</f>
        <v>1</v>
      </c>
      <c r="AP185" s="35" t="n">
        <f aca="false">p_liq_on*Inputs_Banks!$AP24*AO185*p_mb_psi</f>
        <v>0.18</v>
      </c>
      <c r="AQ185" s="44" t="n">
        <f aca="false">MAX(F185,E185,W185*(1-p_cb_on))</f>
        <v>0</v>
      </c>
      <c r="AR185" s="35" t="n">
        <f aca="false">p_ib_on*p_lgd_ib*g_s_in*g_u_ib*SUMPRODUCT(Network!U$6:U$29,$AQ$167:$AQ$190)</f>
        <v>10.91666863851</v>
      </c>
      <c r="AS185" s="35" t="n">
        <f aca="false">p_sw_M1*(SUMPRODUCT(BDC_EAD!U$106:U$127,$BF$167:$BF$188)+SUMPRODUCT(BDC_EAD!U$131:U$152,$BG$167:$BG$188)+(Inputs_Banks!$Y24+p_ccf_bl*Inputs_Banks!$Z24)*$CD$190+Modules!$E24)</f>
        <v>0.0607767881736133</v>
      </c>
      <c r="AT185" s="35" t="n">
        <f aca="false">p_sw_M3*(Inputs_Banks!$U24+p_ccf_abf*Inputs_Banks!$V24)*$CD$191</f>
        <v>0</v>
      </c>
      <c r="AU185" s="35" t="n">
        <f aca="false">p_sw_M10*Inputs_Banks!$AC24*$CD$192</f>
        <v>0</v>
      </c>
      <c r="AV185" s="35" t="n">
        <f aca="false">p_sw_M8*(Modules!$M24+Modules!$N24*IF(p_liq_on&gt;0,X185,p_htm_forced))</f>
        <v>0.542714787401624</v>
      </c>
      <c r="AW185" s="35" t="n">
        <f aca="false">SUMPRODUCT(Holdings!$C24:$O24,Holdings!$C$32:$O$32,$AB$192:$AN$192)+Inputs_Banks!$P24*$AL$192</f>
        <v>7.60623973690638</v>
      </c>
      <c r="AX185" s="35" t="n">
        <f aca="false">Modules!$T24+AS185+AT185+AU185+AV185+AW185+AR185</f>
        <v>29.2789027486616</v>
      </c>
      <c r="AY185" s="35" t="n">
        <f aca="false">Modules!$U24-(1-p_tax)*AX185</f>
        <v>43.1850972513385</v>
      </c>
      <c r="AZ185" s="39" t="n">
        <f aca="false">AY185/Modules!$V24</f>
        <v>0.0793534454428393</v>
      </c>
      <c r="BA185" s="48" t="s">
        <v>655</v>
      </c>
      <c r="BB185" s="43" t="n">
        <f aca="false">INDEX($BJ$167:$BJ$200,BDC_EAD!$B24)</f>
        <v>0.392098725301358</v>
      </c>
      <c r="BC185" s="43" t="n">
        <f aca="false">INDEX($BK$167:$BK$200,BDC_EAD!$B24)</f>
        <v>0.0620042590793056</v>
      </c>
      <c r="BD185" s="22" t="n">
        <f aca="false">INDEX(BDC!$Q$6:$Q$39,BDC_EAD!$B24)</f>
        <v>0.254901960784314</v>
      </c>
      <c r="BE185" s="43" t="n">
        <f aca="false">BB185*(1-$AK$192)-BC185-p_c_liq</f>
        <v>0.103650039836441</v>
      </c>
      <c r="BF185" s="43" t="n">
        <f aca="false">p_phi*MAX(0,p_a_spv-BE185)/p_a_spv+(1-p_phi)*MAX(0,p_a_spv-BB185)/p_a_spv</f>
        <v>0.769514604386537</v>
      </c>
      <c r="BG185" s="43" t="n">
        <f aca="false">IF(BD185&gt;0,p_phi*MAX(0,BD185-BE185)/BD185+(1-p_phi)*MAX(0,BD185-BB185)/BD185,0)</f>
        <v>0.474698336513323</v>
      </c>
      <c r="BI185" s="12" t="str">
        <f aca="false">BDC!$A$24</f>
        <v>OTIC</v>
      </c>
      <c r="BJ185" s="43" t="n">
        <f aca="false">1-((1-BDC!$D$24)*$CD$183+BDC!$D$24*$CD$184)-p_gap-$CD$173*(1-BDC!$M$24)</f>
        <v>0.384840432143422</v>
      </c>
      <c r="BK185" s="43" t="n">
        <f aca="false">(1-BDC!$D$24)*$CD$185+BDC!$D$24*$CD$186</f>
        <v>0.0578683636097197</v>
      </c>
      <c r="BL185" s="45" t="n">
        <f aca="false">BJ185/BDC!$K$24</f>
        <v>0.832329306728796</v>
      </c>
      <c r="BM185" s="35" t="n">
        <f aca="false">IF(BL185&lt;1.5,BDC!$C$24,0)</f>
        <v>5.06</v>
      </c>
      <c r="BN185" s="43" t="n">
        <f aca="false">MAX(0,1-BJ185*(1-CE_mig_hc)-p_bb_cush)*BDC!$Q$24</f>
        <v>0.270936849243253</v>
      </c>
      <c r="BO185" s="43" t="n">
        <f aca="false">MAX(0,BDC!$K$24-BJ185/1.5)</f>
        <v>0.205805303302235</v>
      </c>
      <c r="BP185" s="43" t="n">
        <f aca="false">MIN(MIN(1,BDC!$H$24*$CD$176),$CD$175)</f>
        <v>0.25</v>
      </c>
      <c r="BQ185" s="43" t="n">
        <f aca="false">BDC!$I$24*BDC!$J$24*BP185*(1-0.3)</f>
        <v>0.0940860215053764</v>
      </c>
      <c r="BR185" s="45" t="n">
        <f aca="false">BDC!$C$24*($CD$174*MAX(BN185,BO185)+BQ185)</f>
        <v>1.84701572598807</v>
      </c>
      <c r="CC185" s="10" t="s">
        <v>990</v>
      </c>
      <c r="CD185" s="43" t="n">
        <f aca="false">(1-$CD$181)*$CD$172/10000*g_dur_s</f>
        <v>0.0690464594734653</v>
      </c>
    </row>
    <row r="186" customFormat="false" ht="15" hidden="false" customHeight="true" outlineLevel="0" collapsed="false">
      <c r="A186" s="10" t="s">
        <v>535</v>
      </c>
      <c r="B186" s="35" t="n">
        <f aca="false">AY146</f>
        <v>2.33549298402798</v>
      </c>
      <c r="C186" s="39" t="n">
        <f aca="false">AZ146</f>
        <v>0.00281267876952754</v>
      </c>
      <c r="D186" s="44" t="n">
        <f aca="false">IF(C186&lt;Inputs_Banks!$I25,1,0)</f>
        <v>1</v>
      </c>
      <c r="E186" s="44" t="n">
        <f aca="false">IF(C186&lt;0.045,1,0)</f>
        <v>1</v>
      </c>
      <c r="F186" s="44" t="n">
        <f aca="false">IF(B186&lt;0,1,0)</f>
        <v>0</v>
      </c>
      <c r="G186" s="44" t="n">
        <f aca="false">MIN(6,MIN(3,INT(MAX(0,Inputs_Banks!$BA25-C186)/p_notch_step))+D186+2*E186)</f>
        <v>6</v>
      </c>
      <c r="H186" s="39" t="n">
        <f aca="false">C186-Inputs_Banks!$I25</f>
        <v>-0.0840873212304725</v>
      </c>
      <c r="I186" s="44" t="n">
        <f aca="false">RANK(H186,$H$167:$H$190,1)</f>
        <v>6</v>
      </c>
      <c r="J186" s="44" t="n">
        <f aca="false">MAX(IF(I186&lt;=g_n_weak,1,0),E186)</f>
        <v>1</v>
      </c>
      <c r="K186" s="44" t="n">
        <f aca="false">IF(I186&gt;12,1,0)*(1-E186)</f>
        <v>0</v>
      </c>
      <c r="L186" s="35" t="n">
        <f aca="false">INDEX(Inputs_Banks!$AR25:$AX25,1,G186+1)</f>
        <v>0.817907877744296</v>
      </c>
      <c r="M186" s="35" t="n">
        <f aca="false">Inputs_Banks!$AI25*MIN(1,p_u_base+$CD$170*p_u_pan_all+J186*($CD$170*p_u_pan_weak+p_u_mda*D186)+p_u_notch*G186+p_u_fail*E186)</f>
        <v>715.108384601193</v>
      </c>
      <c r="N186" s="35" t="n">
        <f aca="false">Inputs_Banks!$AK25*MIN(1,p_w_base+p_w_pan*$CD$170+p_w_notch*G186+0.5*D186+1*E186)</f>
        <v>111.414716192116</v>
      </c>
      <c r="O186" s="35" t="n">
        <f aca="false">Inputs_Banks!$AO25*MIN(1,p_cp_base+p_cp_pan*$CD$170+p_cp_notch*G186)</f>
        <v>32.9</v>
      </c>
      <c r="P186" s="35" t="n">
        <f aca="false">Inputs_Banks!$AN25*(p_dh+p_dh_pan*$CD$170+MIN(1,0.5*$CD$177+0.25*G186))</f>
        <v>76.0290509481086</v>
      </c>
      <c r="Q186" s="35" t="n">
        <f aca="false">Modules!$Y25</f>
        <v>21.0243399144764</v>
      </c>
      <c r="R186" s="35" t="n">
        <f aca="false">Inputs_Banks!$AJ25*K186</f>
        <v>0</v>
      </c>
      <c r="S186" s="35" t="n">
        <f aca="false">p_liq_on*$CD$178*SUM($M$167:$M$190)*R186/MAX(0.000000001,SUM($R$167:$R$190))</f>
        <v>0</v>
      </c>
      <c r="T186" s="35" t="n">
        <f aca="false">p_liq_on*(L186+M186+N186+O186+P186+Q186)</f>
        <v>957.294399533638</v>
      </c>
      <c r="U186" s="35" t="n">
        <f aca="false">g_usable*Inputs_Banks!$AG25+p_cb_on*Inputs_Banks!$AQ25+S186</f>
        <v>834.979565832359</v>
      </c>
      <c r="V186" s="35" t="n">
        <f aca="false">MAX(0,T186-U186)</f>
        <v>122.314833701279</v>
      </c>
      <c r="W186" s="44" t="n">
        <f aca="false">IF(V186&gt;0.9*Inputs_Banks!$BB25,1,0)</f>
        <v>0</v>
      </c>
      <c r="X186" s="43" t="n">
        <f aca="false">MAX(p_htm_forced,(1-p_cb_on)*MIN(1,T186/Inputs_Banks!$AG25)*g_theta_sell)</f>
        <v>0.25</v>
      </c>
      <c r="Y186" s="35" t="n">
        <f aca="false">MAX(0,Modules!$V25-B186/(Inputs_Banks!$I25+g_del_buf))</f>
        <v>804.93131006303</v>
      </c>
      <c r="Z186" s="35" t="n">
        <f aca="false">MIN(g_del_cap*Inputs_Banks!$BB25,Y186)</f>
        <v>34.975</v>
      </c>
      <c r="AA186" s="35" t="n">
        <f aca="false">MIN(Inputs_Banks!$BB25,V186+Z186)</f>
        <v>139.9</v>
      </c>
      <c r="AB186" s="35" t="n">
        <f aca="false">$AA186*Holdings!Q25</f>
        <v>0</v>
      </c>
      <c r="AC186" s="35" t="n">
        <f aca="false">$AA186*Holdings!R25</f>
        <v>0</v>
      </c>
      <c r="AD186" s="35" t="n">
        <f aca="false">$AA186*Holdings!S25</f>
        <v>0</v>
      </c>
      <c r="AE186" s="35" t="n">
        <f aca="false">$AA186*Holdings!T25</f>
        <v>0</v>
      </c>
      <c r="AF186" s="35" t="n">
        <f aca="false">$AA186*Holdings!U25</f>
        <v>24.89</v>
      </c>
      <c r="AG186" s="35" t="n">
        <f aca="false">$AA186*Holdings!V25</f>
        <v>0</v>
      </c>
      <c r="AH186" s="35" t="n">
        <f aca="false">$AA186*Holdings!W25</f>
        <v>0</v>
      </c>
      <c r="AI186" s="35" t="n">
        <f aca="false">$AA186*Holdings!X25</f>
        <v>42.43</v>
      </c>
      <c r="AJ186" s="35" t="n">
        <f aca="false">$AA186*Holdings!Y25</f>
        <v>0</v>
      </c>
      <c r="AK186" s="35" t="n">
        <f aca="false">$AA186*Holdings!Z25</f>
        <v>0</v>
      </c>
      <c r="AL186" s="35" t="n">
        <f aca="false">$AA186*Holdings!AA25</f>
        <v>33.46</v>
      </c>
      <c r="AM186" s="35" t="n">
        <f aca="false">$AA186*Holdings!AB25</f>
        <v>0</v>
      </c>
      <c r="AN186" s="35" t="n">
        <f aca="false">$AA186*Holdings!AC25</f>
        <v>39.12</v>
      </c>
      <c r="AO186" s="43" t="n">
        <f aca="false">MIN(1,$CD$177+0.5*G186)</f>
        <v>1</v>
      </c>
      <c r="AP186" s="35" t="n">
        <f aca="false">p_liq_on*Inputs_Banks!$AP25*AO186*p_mb_psi</f>
        <v>1.674</v>
      </c>
      <c r="AQ186" s="44" t="n">
        <f aca="false">MAX(F186,E186,W186*(1-p_cb_on))</f>
        <v>1</v>
      </c>
      <c r="AR186" s="35" t="n">
        <f aca="false">p_ib_on*p_lgd_ib*g_s_in*g_u_ib*SUMPRODUCT(Network!V$6:V$29,$AQ$167:$AQ$190)</f>
        <v>9.81310841621088</v>
      </c>
      <c r="AS186" s="35" t="n">
        <f aca="false">p_sw_M1*(SUMPRODUCT(BDC_EAD!V$106:V$127,$BF$167:$BF$188)+SUMPRODUCT(BDC_EAD!V$131:V$152,$BG$167:$BG$188)+(Inputs_Banks!$Y25+p_ccf_bl*Inputs_Banks!$Z25)*$CD$190+Modules!$E25)</f>
        <v>28.8226410800686</v>
      </c>
      <c r="AT186" s="35" t="n">
        <f aca="false">p_sw_M3*(Inputs_Banks!$U25+p_ccf_abf*Inputs_Banks!$V25)*$CD$191</f>
        <v>0</v>
      </c>
      <c r="AU186" s="35" t="n">
        <f aca="false">p_sw_M10*Inputs_Banks!$AC25*$CD$192</f>
        <v>0</v>
      </c>
      <c r="AV186" s="35" t="n">
        <f aca="false">p_sw_M8*(Modules!$M25+Modules!$N25*IF(p_liq_on&gt;0,X186,p_htm_forced))</f>
        <v>7.68041297429432</v>
      </c>
      <c r="AW186" s="35" t="n">
        <f aca="false">SUMPRODUCT(Holdings!$C25:$O25,Holdings!$C$32:$O$32,$AB$192:$AN$192)+Inputs_Banks!$P25*$AL$192</f>
        <v>22.2442070071431</v>
      </c>
      <c r="AX186" s="35" t="n">
        <f aca="false">Modules!$T25+AS186+AT186+AU186+AV186+AW186+AR186</f>
        <v>97.3022906701138</v>
      </c>
      <c r="AY186" s="35" t="n">
        <f aca="false">Modules!$U25-(1-p_tax)*AX186</f>
        <v>2.33549298402798</v>
      </c>
      <c r="AZ186" s="39" t="n">
        <f aca="false">AY186/Modules!$V25</f>
        <v>0.00281267876952754</v>
      </c>
      <c r="BA186" s="48" t="s">
        <v>645</v>
      </c>
      <c r="BB186" s="43" t="n">
        <f aca="false">INDEX($BJ$167:$BJ$200,BDC_EAD!$B25)</f>
        <v>0.413355834314687</v>
      </c>
      <c r="BC186" s="43" t="n">
        <f aca="false">INDEX($BK$167:$BK$200,BDC_EAD!$B25)</f>
        <v>0.0626004241920387</v>
      </c>
      <c r="BD186" s="22" t="n">
        <f aca="false">INDEX(BDC!$Q$6:$Q$39,BDC_EAD!$B25)</f>
        <v>0.212552795031056</v>
      </c>
      <c r="BE186" s="43" t="n">
        <f aca="false">BB186*(1-$AK$192)-BC186-p_c_liq</f>
        <v>0.114745284681039</v>
      </c>
      <c r="BF186" s="43" t="n">
        <f aca="false">p_phi*MAX(0,p_a_spv-BE186)/p_a_spv+(1-p_phi)*MAX(0,p_a_spv-BB186)/p_a_spv</f>
        <v>0.750760864846045</v>
      </c>
      <c r="BG186" s="43" t="n">
        <f aca="false">IF(BD186&gt;0,p_phi*MAX(0,BD186-BE186)/BD186+(1-p_phi)*MAX(0,BD186-BB186)/BD186,0)</f>
        <v>0.368125049913274</v>
      </c>
      <c r="BI186" s="12" t="str">
        <f aca="false">BDC!$A$25</f>
        <v>ASCF</v>
      </c>
      <c r="BJ186" s="43" t="n">
        <f aca="false">1-((1-BDC!$D$25)*$CD$183+BDC!$D$25*$CD$184)-p_gap-$CD$173*(1-BDC!$M$25)</f>
        <v>0.410212404154075</v>
      </c>
      <c r="BK186" s="43" t="n">
        <f aca="false">(1-BDC!$D$25)*$CD$185+BDC!$D$25*$CD$186</f>
        <v>0.0620787797183972</v>
      </c>
      <c r="BL186" s="45" t="n">
        <f aca="false">BJ186/BDC!$K$25</f>
        <v>0.760821296593456</v>
      </c>
      <c r="BM186" s="35" t="n">
        <f aca="false">IF(BL186&lt;1.5,BDC!$C$25,0)</f>
        <v>4.62</v>
      </c>
      <c r="BN186" s="43" t="n">
        <f aca="false">MAX(0,1-BJ186*(1-CE_mig_hc)-p_bb_cush)*BDC!$Q$25</f>
        <v>0.164799096707034</v>
      </c>
      <c r="BO186" s="43" t="n">
        <f aca="false">MAX(0,BDC!$K$25-BJ186/1.5)</f>
        <v>0.265695570809726</v>
      </c>
      <c r="BP186" s="43" t="n">
        <f aca="false">MIN(MIN(1,BDC!$H$25*$CD$176),$CD$175)</f>
        <v>0.25</v>
      </c>
      <c r="BQ186" s="43" t="n">
        <f aca="false">BDC!$I$25*BDC!$J$25*BP186*(1-0.3)</f>
        <v>0.0806451612903226</v>
      </c>
      <c r="BR186" s="45" t="n">
        <f aca="false">BDC!$C$25*($CD$174*MAX(BN186,BO186)+BQ186)</f>
        <v>1.60009418230222</v>
      </c>
      <c r="CC186" s="10" t="s">
        <v>991</v>
      </c>
      <c r="CD186" s="43" t="n">
        <f aca="false">(1-$CD$182)*($CD$172+p_ds_sw)/10000*g_dur_s</f>
        <v>0.0317861399276465</v>
      </c>
    </row>
    <row r="187" customFormat="false" ht="15" hidden="false" customHeight="true" outlineLevel="0" collapsed="false">
      <c r="A187" s="10" t="s">
        <v>537</v>
      </c>
      <c r="B187" s="35" t="n">
        <f aca="false">AY147</f>
        <v>31.4382369652748</v>
      </c>
      <c r="C187" s="39" t="n">
        <f aca="false">AZ147</f>
        <v>0.0463485337720714</v>
      </c>
      <c r="D187" s="44" t="n">
        <f aca="false">IF(C187&lt;Inputs_Banks!$I26,1,0)</f>
        <v>1</v>
      </c>
      <c r="E187" s="44" t="n">
        <f aca="false">IF(C187&lt;0.045,1,0)</f>
        <v>0</v>
      </c>
      <c r="F187" s="44" t="n">
        <f aca="false">IF(B187&lt;0,1,0)</f>
        <v>0</v>
      </c>
      <c r="G187" s="44" t="n">
        <f aca="false">MIN(6,MIN(3,INT(MAX(0,Inputs_Banks!$BA26-C187)/p_notch_step))+D187+2*E187)</f>
        <v>4</v>
      </c>
      <c r="H187" s="39" t="n">
        <f aca="false">C187-Inputs_Banks!$I26</f>
        <v>-0.0353514662279286</v>
      </c>
      <c r="I187" s="44" t="n">
        <f aca="false">RANK(H187,$H$167:$H$190,1)</f>
        <v>19</v>
      </c>
      <c r="J187" s="44" t="n">
        <f aca="false">MAX(IF(I187&lt;=g_n_weak,1,0),E187)</f>
        <v>0</v>
      </c>
      <c r="K187" s="44" t="n">
        <f aca="false">IF(I187&gt;12,1,0)*(1-E187)</f>
        <v>1</v>
      </c>
      <c r="L187" s="35" t="n">
        <f aca="false">INDEX(Inputs_Banks!$AR26:$AX26,1,G187+1)</f>
        <v>2.38995739499416</v>
      </c>
      <c r="M187" s="35" t="n">
        <f aca="false">Inputs_Banks!$AI26*MIN(1,p_u_base+$CD$170*p_u_pan_all+J187*($CD$170*p_u_pan_weak+p_u_mda*D187)+p_u_notch*G187+p_u_fail*E187)</f>
        <v>179.605346842138</v>
      </c>
      <c r="N187" s="35" t="n">
        <f aca="false">Inputs_Banks!$AK26*MIN(1,p_w_base+p_w_pan*$CD$170+p_w_notch*G187+0.5*D187+1*E187)</f>
        <v>142.213430908308</v>
      </c>
      <c r="O187" s="35" t="n">
        <f aca="false">Inputs_Banks!$AO26*MIN(1,p_cp_base+p_cp_pan*$CD$170+p_cp_notch*G187)</f>
        <v>24.02</v>
      </c>
      <c r="P187" s="35" t="n">
        <f aca="false">Inputs_Banks!$AN26*(p_dh+p_dh_pan*$CD$170+MIN(1,0.5*$CD$177+0.25*G187))</f>
        <v>30.3571427289411</v>
      </c>
      <c r="Q187" s="35" t="n">
        <f aca="false">Modules!$Y26</f>
        <v>5.08130839142734</v>
      </c>
      <c r="R187" s="35" t="n">
        <f aca="false">Inputs_Banks!$AJ26*K187</f>
        <v>1241.80817292909</v>
      </c>
      <c r="S187" s="35" t="n">
        <f aca="false">p_liq_on*$CD$178*SUM($M$167:$M$190)*R187/MAX(0.000000001,SUM($R$167:$R$190))</f>
        <v>257.154626289013</v>
      </c>
      <c r="T187" s="35" t="n">
        <f aca="false">p_liq_on*(L187+M187+N187+O187+P187+Q187)</f>
        <v>383.667186265808</v>
      </c>
      <c r="U187" s="35" t="n">
        <f aca="false">g_usable*Inputs_Banks!$AG26+p_cb_on*Inputs_Banks!$AQ26+S187</f>
        <v>914.392909912406</v>
      </c>
      <c r="V187" s="35" t="n">
        <f aca="false">MAX(0,T187-U187)</f>
        <v>0</v>
      </c>
      <c r="W187" s="44" t="n">
        <f aca="false">IF(V187&gt;0.9*Inputs_Banks!$BB26,1,0)</f>
        <v>0</v>
      </c>
      <c r="X187" s="43" t="n">
        <f aca="false">MAX(p_htm_forced,(1-p_cb_on)*MIN(1,T187/Inputs_Banks!$AG26)*g_theta_sell)</f>
        <v>0.160533065179075</v>
      </c>
      <c r="Y187" s="35" t="n">
        <f aca="false">MAX(0,Modules!$V26-B187/(Inputs_Banks!$I26+g_del_buf))</f>
        <v>315.691149022337</v>
      </c>
      <c r="Z187" s="35" t="n">
        <f aca="false">MIN(g_del_cap*Inputs_Banks!$BB26,Y187)</f>
        <v>9.4025</v>
      </c>
      <c r="AA187" s="35" t="n">
        <f aca="false">MIN(Inputs_Banks!$BB26,V187+Z187)</f>
        <v>9.4025</v>
      </c>
      <c r="AB187" s="35" t="n">
        <f aca="false">$AA187*Holdings!Q26</f>
        <v>0</v>
      </c>
      <c r="AC187" s="35" t="n">
        <f aca="false">$AA187*Holdings!R26</f>
        <v>0</v>
      </c>
      <c r="AD187" s="35" t="n">
        <f aca="false">$AA187*Holdings!S26</f>
        <v>0</v>
      </c>
      <c r="AE187" s="35" t="n">
        <f aca="false">$AA187*Holdings!T26</f>
        <v>0</v>
      </c>
      <c r="AF187" s="35" t="n">
        <f aca="false">$AA187*Holdings!U26</f>
        <v>0.78</v>
      </c>
      <c r="AG187" s="35" t="n">
        <f aca="false">$AA187*Holdings!V26</f>
        <v>0</v>
      </c>
      <c r="AH187" s="35" t="n">
        <f aca="false">$AA187*Holdings!W26</f>
        <v>0</v>
      </c>
      <c r="AI187" s="35" t="n">
        <f aca="false">$AA187*Holdings!X26</f>
        <v>0</v>
      </c>
      <c r="AJ187" s="35" t="n">
        <f aca="false">$AA187*Holdings!Y26</f>
        <v>0</v>
      </c>
      <c r="AK187" s="35" t="n">
        <f aca="false">$AA187*Holdings!Z26</f>
        <v>0</v>
      </c>
      <c r="AL187" s="35" t="n">
        <f aca="false">$AA187*Holdings!AA26</f>
        <v>0.6375</v>
      </c>
      <c r="AM187" s="35" t="n">
        <f aca="false">$AA187*Holdings!AB26</f>
        <v>0</v>
      </c>
      <c r="AN187" s="35" t="n">
        <f aca="false">$AA187*Holdings!AC26</f>
        <v>7.985</v>
      </c>
      <c r="AO187" s="43" t="n">
        <f aca="false">MIN(1,$CD$177+0.5*G187)</f>
        <v>1</v>
      </c>
      <c r="AP187" s="35" t="n">
        <f aca="false">p_liq_on*Inputs_Banks!$AP26*AO187*p_mb_psi</f>
        <v>0.468</v>
      </c>
      <c r="AQ187" s="44" t="n">
        <f aca="false">MAX(F187,E187,W187*(1-p_cb_on))</f>
        <v>0</v>
      </c>
      <c r="AR187" s="35" t="n">
        <f aca="false">p_ib_on*p_lgd_ib*g_s_in*g_u_ib*SUMPRODUCT(Network!W$6:W$29,$AQ$167:$AQ$190)</f>
        <v>12.0727499706953</v>
      </c>
      <c r="AS187" s="35" t="n">
        <f aca="false">p_sw_M1*(SUMPRODUCT(BDC_EAD!W$106:W$127,$BF$167:$BF$188)+SUMPRODUCT(BDC_EAD!W$131:W$152,$BG$167:$BG$188)+(Inputs_Banks!$Y26+p_ccf_bl*Inputs_Banks!$Z26)*$CD$190+Modules!$E26)</f>
        <v>7.70107823629907</v>
      </c>
      <c r="AT187" s="35" t="n">
        <f aca="false">p_sw_M3*(Inputs_Banks!$U26+p_ccf_abf*Inputs_Banks!$V26)*$CD$191</f>
        <v>0</v>
      </c>
      <c r="AU187" s="35" t="n">
        <f aca="false">p_sw_M10*Inputs_Banks!$AC26*$CD$192</f>
        <v>0</v>
      </c>
      <c r="AV187" s="35" t="n">
        <f aca="false">p_sw_M8*(Modules!$M26+Modules!$N26*IF(p_liq_on&gt;0,X187,p_htm_forced))</f>
        <v>2.24642856226028</v>
      </c>
      <c r="AW187" s="35" t="n">
        <f aca="false">SUMPRODUCT(Holdings!$C26:$O26,Holdings!$C$32:$O$32,$AB$192:$AN$192)+Inputs_Banks!$P26*$AL$192</f>
        <v>9.8988542345359</v>
      </c>
      <c r="AX187" s="35" t="n">
        <f aca="false">Modules!$T26+AS187+AT187+AU187+AV187+AW187+AR187</f>
        <v>47.8996942812661</v>
      </c>
      <c r="AY187" s="35" t="n">
        <f aca="false">Modules!$U26-(1-p_tax)*AX187</f>
        <v>31.4382369652748</v>
      </c>
      <c r="AZ187" s="39" t="n">
        <f aca="false">AY187/Modules!$V26</f>
        <v>0.0463485337720714</v>
      </c>
      <c r="BA187" s="48" t="s">
        <v>639</v>
      </c>
      <c r="BB187" s="43" t="n">
        <f aca="false">INDEX($BJ$167:$BJ$200,BDC_EAD!$B26)</f>
        <v>0.261914595446638</v>
      </c>
      <c r="BC187" s="43" t="n">
        <f aca="false">INDEX($BK$167:$BK$200,BDC_EAD!$B26)</f>
        <v>0.0568250746624368</v>
      </c>
      <c r="BD187" s="22" t="n">
        <f aca="false">INDEX(BDC!$Q$6:$Q$39,BDC_EAD!$B26)</f>
        <v>0.310820512820513</v>
      </c>
      <c r="BE187" s="43" t="n">
        <f aca="false">BB187*(1-$AK$192)-BC187-p_c_liq</f>
        <v>0.0372279528332139</v>
      </c>
      <c r="BF187" s="43" t="n">
        <f aca="false">p_phi*MAX(0,p_a_spv-BE187)/p_a_spv+(1-p_phi)*MAX(0,p_a_spv-BB187)/p_a_spv</f>
        <v>0.882621026634431</v>
      </c>
      <c r="BG187" s="43" t="n">
        <f aca="false">IF(BD187&gt;0,p_phi*MAX(0,BD187-BE187)/BD187+(1-p_phi)*MAX(0,BD187-BB187)/BD187,0)</f>
        <v>0.735650389962049</v>
      </c>
      <c r="BI187" s="12" t="str">
        <f aca="false">BDC!$A$26</f>
        <v>HTGC</v>
      </c>
      <c r="BJ187" s="43" t="n">
        <f aca="false">1-((1-BDC!$D$26)*$CD$183+BDC!$D$26*$CD$184)-p_gap-$CD$173*(1-BDC!$M$26)</f>
        <v>0.49422228775433</v>
      </c>
      <c r="BK187" s="43" t="n">
        <f aca="false">(1-BDC!$D$26)*$CD$185+BDC!$D$26*$CD$186</f>
        <v>0.0568250746624368</v>
      </c>
      <c r="BL187" s="45" t="n">
        <f aca="false">BJ187/BDC!$K$26</f>
        <v>0.974049751593485</v>
      </c>
      <c r="BM187" s="35" t="n">
        <f aca="false">IF(BL187&lt;1.5,BDC!$C$26,0)</f>
        <v>4.58</v>
      </c>
      <c r="BN187" s="43" t="n">
        <f aca="false">MAX(0,1-BJ187*(1-CE_mig_hc)-p_bb_cush)*BDC!$Q$26</f>
        <v>0.136448855252561</v>
      </c>
      <c r="BO187" s="43" t="n">
        <f aca="false">MAX(0,BDC!$K$26-BJ187/1.5)</f>
        <v>0.177907637392023</v>
      </c>
      <c r="BP187" s="43" t="n">
        <f aca="false">MIN(MIN(1,BDC!$H$26*$CD$176),$CD$175)</f>
        <v>0</v>
      </c>
      <c r="BQ187" s="43" t="n">
        <f aca="false">BDC!$I$26*BDC!$J$26*BP187*(1-0.3)</f>
        <v>0</v>
      </c>
      <c r="BR187" s="45" t="n">
        <f aca="false">BDC!$C$26*($CD$174*MAX(BN187,BO187)+BQ187)</f>
        <v>0.814816979255466</v>
      </c>
      <c r="CC187" s="10" t="s">
        <v>992</v>
      </c>
      <c r="CD187" s="43" t="n">
        <f aca="false">1-((1-CE_sw_sys)*$CD$183+CE_sw_sys*$CD$184)-p_gap-$CD$173*(1-CE_mk_sys)</f>
        <v>0.408146622487016</v>
      </c>
    </row>
    <row r="188" customFormat="false" ht="15" hidden="false" customHeight="true" outlineLevel="0" collapsed="false">
      <c r="A188" s="10" t="s">
        <v>538</v>
      </c>
      <c r="B188" s="35" t="n">
        <f aca="false">AY148</f>
        <v>37.3401194889872</v>
      </c>
      <c r="C188" s="39" t="n">
        <f aca="false">AZ148</f>
        <v>0.0683840792474054</v>
      </c>
      <c r="D188" s="44" t="n">
        <f aca="false">IF(C188&lt;Inputs_Banks!$I27,1,0)</f>
        <v>1</v>
      </c>
      <c r="E188" s="44" t="n">
        <f aca="false">IF(C188&lt;0.045,1,0)</f>
        <v>0</v>
      </c>
      <c r="F188" s="44" t="n">
        <f aca="false">IF(B188&lt;0,1,0)</f>
        <v>0</v>
      </c>
      <c r="G188" s="44" t="n">
        <f aca="false">MIN(6,MIN(3,INT(MAX(0,Inputs_Banks!$BA27-C188)/p_notch_step))+D188+2*E188)</f>
        <v>3</v>
      </c>
      <c r="H188" s="39" t="n">
        <f aca="false">C188-Inputs_Banks!$I27</f>
        <v>-0.0129159207525946</v>
      </c>
      <c r="I188" s="44" t="n">
        <f aca="false">RANK(H188,$H$167:$H$190,1)</f>
        <v>22</v>
      </c>
      <c r="J188" s="44" t="n">
        <f aca="false">MAX(IF(I188&lt;=g_n_weak,1,0),E188)</f>
        <v>0</v>
      </c>
      <c r="K188" s="44" t="n">
        <f aca="false">IF(I188&gt;12,1,0)*(1-E188)</f>
        <v>1</v>
      </c>
      <c r="L188" s="35" t="n">
        <f aca="false">INDEX(Inputs_Banks!$AR27:$AX27,1,G188+1)</f>
        <v>1.75265973802349</v>
      </c>
      <c r="M188" s="35" t="n">
        <f aca="false">Inputs_Banks!$AI27*MIN(1,p_u_base+$CD$170*p_u_pan_all+J188*($CD$170*p_u_pan_weak+p_u_mda*D188)+p_u_notch*G188+p_u_fail*E188)</f>
        <v>150.345736670561</v>
      </c>
      <c r="N188" s="35" t="n">
        <f aca="false">Inputs_Banks!$AK27*MIN(1,p_w_base+p_w_pan*$CD$170+p_w_notch*G188+0.5*D188+1*E188)</f>
        <v>37.6025029210996</v>
      </c>
      <c r="O188" s="35" t="n">
        <f aca="false">Inputs_Banks!$AO27*MIN(1,p_cp_base+p_cp_pan*$CD$170+p_cp_notch*G188)</f>
        <v>15.5</v>
      </c>
      <c r="P188" s="35" t="n">
        <f aca="false">Inputs_Banks!$AN27*(p_dh+p_dh_pan*$CD$170+MIN(1,0.5*$CD$177+0.25*G188))</f>
        <v>71.2624542599161</v>
      </c>
      <c r="Q188" s="35" t="n">
        <f aca="false">Modules!$Y27</f>
        <v>8.4308773</v>
      </c>
      <c r="R188" s="35" t="n">
        <f aca="false">Inputs_Banks!$AJ27*K188</f>
        <v>1101.02948773138</v>
      </c>
      <c r="S188" s="35" t="n">
        <f aca="false">p_liq_on*$CD$178*SUM($M$167:$M$190)*R188/MAX(0.000000001,SUM($R$167:$R$190))</f>
        <v>228.002063944311</v>
      </c>
      <c r="T188" s="35" t="n">
        <f aca="false">p_liq_on*(L188+M188+N188+O188+P188+Q188)</f>
        <v>284.894230889601</v>
      </c>
      <c r="U188" s="35" t="n">
        <f aca="false">g_usable*Inputs_Banks!$AG27+p_cb_on*Inputs_Banks!$AQ27+S188</f>
        <v>781.793806764555</v>
      </c>
      <c r="V188" s="35" t="n">
        <f aca="false">MAX(0,T188-U188)</f>
        <v>0</v>
      </c>
      <c r="W188" s="44" t="n">
        <f aca="false">IF(V188&gt;0.9*Inputs_Banks!$BB27,1,0)</f>
        <v>0</v>
      </c>
      <c r="X188" s="43" t="n">
        <f aca="false">MAX(p_htm_forced,(1-p_cb_on)*MIN(1,T188/Inputs_Banks!$AG27)*g_theta_sell)</f>
        <v>0.141471797856095</v>
      </c>
      <c r="Y188" s="35" t="n">
        <f aca="false">MAX(0,Modules!$V27-B188/(Inputs_Banks!$I27+g_del_buf))</f>
        <v>113.357180852337</v>
      </c>
      <c r="Z188" s="35" t="n">
        <f aca="false">MIN(g_del_cap*Inputs_Banks!$BB27,Y188)</f>
        <v>12.31</v>
      </c>
      <c r="AA188" s="35" t="n">
        <f aca="false">MIN(Inputs_Banks!$BB27,V188+Z188)</f>
        <v>12.31</v>
      </c>
      <c r="AB188" s="35" t="n">
        <f aca="false">$AA188*Holdings!Q27</f>
        <v>0</v>
      </c>
      <c r="AC188" s="35" t="n">
        <f aca="false">$AA188*Holdings!R27</f>
        <v>0</v>
      </c>
      <c r="AD188" s="35" t="n">
        <f aca="false">$AA188*Holdings!S27</f>
        <v>0</v>
      </c>
      <c r="AE188" s="35" t="n">
        <f aca="false">$AA188*Holdings!T27</f>
        <v>0</v>
      </c>
      <c r="AF188" s="35" t="n">
        <f aca="false">$AA188*Holdings!U27</f>
        <v>0</v>
      </c>
      <c r="AG188" s="35" t="n">
        <f aca="false">$AA188*Holdings!V27</f>
        <v>0</v>
      </c>
      <c r="AH188" s="35" t="n">
        <f aca="false">$AA188*Holdings!W27</f>
        <v>0</v>
      </c>
      <c r="AI188" s="35" t="n">
        <f aca="false">$AA188*Holdings!X27</f>
        <v>0</v>
      </c>
      <c r="AJ188" s="35" t="n">
        <f aca="false">$AA188*Holdings!Y27</f>
        <v>0</v>
      </c>
      <c r="AK188" s="35" t="n">
        <f aca="false">$AA188*Holdings!Z27</f>
        <v>0</v>
      </c>
      <c r="AL188" s="35" t="n">
        <f aca="false">$AA188*Holdings!AA27</f>
        <v>0</v>
      </c>
      <c r="AM188" s="35" t="n">
        <f aca="false">$AA188*Holdings!AB27</f>
        <v>0</v>
      </c>
      <c r="AN188" s="35" t="n">
        <f aca="false">$AA188*Holdings!AC27</f>
        <v>12.31</v>
      </c>
      <c r="AO188" s="43" t="n">
        <f aca="false">MIN(1,$CD$177+0.5*G188)</f>
        <v>1</v>
      </c>
      <c r="AP188" s="35" t="n">
        <f aca="false">p_liq_on*Inputs_Banks!$AP27*AO188*p_mb_psi</f>
        <v>4.374</v>
      </c>
      <c r="AQ188" s="44" t="n">
        <f aca="false">MAX(F188,E188,W188*(1-p_cb_on))</f>
        <v>0</v>
      </c>
      <c r="AR188" s="35" t="n">
        <f aca="false">p_ib_on*p_lgd_ib*g_s_in*g_u_ib*SUMPRODUCT(Network!X$6:X$29,$AQ$167:$AQ$190)</f>
        <v>3.61209531474899</v>
      </c>
      <c r="AS188" s="35" t="n">
        <f aca="false">p_sw_M1*(SUMPRODUCT(BDC_EAD!X$106:X$127,$BF$167:$BF$188)+SUMPRODUCT(BDC_EAD!X$131:X$152,$BG$167:$BG$188)+(Inputs_Banks!$Y27+p_ccf_bl*Inputs_Banks!$Z27)*$CD$190+Modules!$E27)</f>
        <v>7.83931301052684</v>
      </c>
      <c r="AT188" s="35" t="n">
        <f aca="false">p_sw_M3*(Inputs_Banks!$U27+p_ccf_abf*Inputs_Banks!$V27)*$CD$191</f>
        <v>0</v>
      </c>
      <c r="AU188" s="35" t="n">
        <f aca="false">p_sw_M10*Inputs_Banks!$AC27*$CD$192</f>
        <v>0</v>
      </c>
      <c r="AV188" s="35" t="n">
        <f aca="false">p_sw_M8*(Modules!$M27+Modules!$N27*IF(p_liq_on&gt;0,X188,p_htm_forced))</f>
        <v>1.7060801035343</v>
      </c>
      <c r="AW188" s="35" t="n">
        <f aca="false">SUMPRODUCT(Holdings!$C27:$O27,Holdings!$C$32:$O$32,$AB$192:$AN$192)+Inputs_Banks!$P27*$AL$192</f>
        <v>7.97620246435341</v>
      </c>
      <c r="AX188" s="35" t="n">
        <f aca="false">Modules!$T27+AS188+AT188+AU188+AV188+AW188+AR188</f>
        <v>30.9828618774724</v>
      </c>
      <c r="AY188" s="35" t="n">
        <f aca="false">Modules!$U27-(1-p_tax)*AX188</f>
        <v>37.3401194889872</v>
      </c>
      <c r="AZ188" s="39" t="n">
        <f aca="false">AY188/Modules!$V27</f>
        <v>0.0683840792474054</v>
      </c>
      <c r="BA188" s="48" t="s">
        <v>653</v>
      </c>
      <c r="BB188" s="43" t="n">
        <f aca="false">INDEX($BJ$167:$BJ$200,BDC_EAD!$B27)</f>
        <v>0.525207527908933</v>
      </c>
      <c r="BC188" s="43" t="n">
        <f aca="false">INDEX($BK$167:$BK$200,BDC_EAD!$B27)</f>
        <v>0.0619669987597598</v>
      </c>
      <c r="BD188" s="22" t="n">
        <f aca="false">INDEX(BDC!$Q$6:$Q$39,BDC_EAD!$B27)</f>
        <v>0.118607929515418</v>
      </c>
      <c r="BE188" s="43" t="n">
        <f aca="false">BB188*(1-$AK$192)-BC188-p_c_liq</f>
        <v>0.176897141590153</v>
      </c>
      <c r="BF188" s="43" t="n">
        <f aca="false">p_phi*MAX(0,p_a_spv-BE188)/p_a_spv+(1-p_phi)*MAX(0,p_a_spv-BB188)/p_a_spv</f>
        <v>0.647772544494415</v>
      </c>
      <c r="BG188" s="43" t="n">
        <f aca="false">IF(BD188&gt;0,p_phi*MAX(0,BD188-BE188)/BD188+(1-p_phi)*MAX(0,BD188-BB188)/BD188,0)</f>
        <v>0</v>
      </c>
      <c r="BI188" s="12" t="str">
        <f aca="false">BDC!$A$27</f>
        <v>MSDL</v>
      </c>
      <c r="BJ188" s="43" t="n">
        <f aca="false">1-((1-BDC!$D$27)*$CD$183+BDC!$D$27*$CD$184)-p_gap-$CD$173*(1-BDC!$M$27)</f>
        <v>0.363449670124075</v>
      </c>
      <c r="BK188" s="43" t="n">
        <f aca="false">(1-BDC!$D$27)*$CD$185+BDC!$D$27*$CD$186</f>
        <v>0.0611472717297517</v>
      </c>
      <c r="BL188" s="45" t="n">
        <f aca="false">BJ188/BDC!$K$27</f>
        <v>0.666324395227472</v>
      </c>
      <c r="BM188" s="35" t="n">
        <f aca="false">IF(BL188&lt;1.5,BDC!$C$27,0)</f>
        <v>3.55</v>
      </c>
      <c r="BN188" s="43" t="n">
        <f aca="false">MAX(0,1-BJ188*(1-CE_mig_hc)-p_bb_cush)*BDC!$Q$27</f>
        <v>0.155815521691545</v>
      </c>
      <c r="BO188" s="43" t="n">
        <f aca="false">MAX(0,BDC!$K$27-BJ188/1.5)</f>
        <v>0.303154765371829</v>
      </c>
      <c r="BP188" s="43" t="n">
        <f aca="false">MIN(MIN(1,BDC!$H$27*$CD$176),$CD$175)</f>
        <v>0</v>
      </c>
      <c r="BQ188" s="43" t="n">
        <f aca="false">BDC!$I$27*BDC!$J$27*BP188*(1-0.3)</f>
        <v>0</v>
      </c>
      <c r="BR188" s="45" t="n">
        <f aca="false">BDC!$C$27*($CD$174*MAX(BN188,BO188)+BQ188)</f>
        <v>1.07619941706999</v>
      </c>
      <c r="CC188" s="10" t="s">
        <v>845</v>
      </c>
      <c r="CD188" s="43" t="n">
        <f aca="false">(1-CE_sw_sys)*$CD$185+CE_sw_sys*$CD$186</f>
        <v>0.0617359683514154</v>
      </c>
    </row>
    <row r="189" customFormat="false" ht="15" hidden="false" customHeight="true" outlineLevel="0" collapsed="false">
      <c r="A189" s="10" t="s">
        <v>540</v>
      </c>
      <c r="B189" s="35" t="n">
        <f aca="false">AY149</f>
        <v>33.2268270772335</v>
      </c>
      <c r="C189" s="39" t="n">
        <f aca="false">AZ149</f>
        <v>0.0561728885356686</v>
      </c>
      <c r="D189" s="44" t="n">
        <f aca="false">IF(C189&lt;Inputs_Banks!$I28,1,0)</f>
        <v>1</v>
      </c>
      <c r="E189" s="44" t="n">
        <f aca="false">IF(C189&lt;0.045,1,0)</f>
        <v>0</v>
      </c>
      <c r="F189" s="44" t="n">
        <f aca="false">IF(B189&lt;0,1,0)</f>
        <v>0</v>
      </c>
      <c r="G189" s="44" t="n">
        <f aca="false">MIN(6,MIN(3,INT(MAX(0,Inputs_Banks!$BA28-C189)/p_notch_step))+D189+2*E189)</f>
        <v>4</v>
      </c>
      <c r="H189" s="39" t="n">
        <f aca="false">C189-Inputs_Banks!$I28</f>
        <v>-0.0548271114643314</v>
      </c>
      <c r="I189" s="44" t="n">
        <f aca="false">RANK(H189,$H$167:$H$190,1)</f>
        <v>14</v>
      </c>
      <c r="J189" s="44" t="n">
        <f aca="false">MAX(IF(I189&lt;=g_n_weak,1,0),E189)</f>
        <v>0</v>
      </c>
      <c r="K189" s="44" t="n">
        <f aca="false">IF(I189&gt;12,1,0)*(1-E189)</f>
        <v>1</v>
      </c>
      <c r="L189" s="35" t="n">
        <f aca="false">INDEX(Inputs_Banks!$AR28:$AX28,1,G189+1)</f>
        <v>1.06969376979937</v>
      </c>
      <c r="M189" s="35" t="n">
        <f aca="false">Inputs_Banks!$AI28*MIN(1,p_u_base+$CD$170*p_u_pan_all+J189*($CD$170*p_u_pan_weak+p_u_mda*D189)+p_u_notch*G189+p_u_fail*E189)</f>
        <v>118.306518831397</v>
      </c>
      <c r="N189" s="35" t="n">
        <f aca="false">Inputs_Banks!$AK28*MIN(1,p_w_base+p_w_pan*$CD$170+p_w_notch*G189+0.5*D189+1*E189)</f>
        <v>111.12284406899</v>
      </c>
      <c r="O189" s="35" t="n">
        <f aca="false">Inputs_Banks!$AO28*MIN(1,p_cp_base+p_cp_pan*$CD$170+p_cp_notch*G189)</f>
        <v>38.53</v>
      </c>
      <c r="P189" s="35" t="n">
        <f aca="false">Inputs_Banks!$AN28*(p_dh+p_dh_pan*$CD$170+MIN(1,0.5*$CD$177+0.25*G189))</f>
        <v>88.8900335264263</v>
      </c>
      <c r="Q189" s="35" t="n">
        <f aca="false">Modules!$Y28</f>
        <v>3.6692462</v>
      </c>
      <c r="R189" s="35" t="n">
        <f aca="false">Inputs_Banks!$AJ28*K189</f>
        <v>1157.74234424498</v>
      </c>
      <c r="S189" s="35" t="n">
        <f aca="false">p_liq_on*$CD$178*SUM($M$167:$M$190)*R189/MAX(0.000000001,SUM($R$167:$R$190))</f>
        <v>239.746207476671</v>
      </c>
      <c r="T189" s="35" t="n">
        <f aca="false">p_liq_on*(L189+M189+N189+O189+P189+Q189)</f>
        <v>361.588336396613</v>
      </c>
      <c r="U189" s="35" t="n">
        <f aca="false">g_usable*Inputs_Banks!$AG28+p_cb_on*Inputs_Banks!$AQ28+S189</f>
        <v>751.261061401345</v>
      </c>
      <c r="V189" s="35" t="n">
        <f aca="false">MAX(0,T189-U189)</f>
        <v>0</v>
      </c>
      <c r="W189" s="44" t="n">
        <f aca="false">IF(V189&gt;0.9*Inputs_Banks!$BB28,1,0)</f>
        <v>0</v>
      </c>
      <c r="X189" s="43" t="n">
        <f aca="false">MAX(p_htm_forced,(1-p_cb_on)*MIN(1,T189/Inputs_Banks!$AG28)*g_theta_sell)</f>
        <v>0.25</v>
      </c>
      <c r="Y189" s="35" t="n">
        <f aca="false">MAX(0,Modules!$V28-B189/(Inputs_Banks!$I28+g_del_buf))</f>
        <v>305.071867220077</v>
      </c>
      <c r="Z189" s="35" t="n">
        <f aca="false">MIN(g_del_cap*Inputs_Banks!$BB28,Y189)</f>
        <v>33.855</v>
      </c>
      <c r="AA189" s="35" t="n">
        <f aca="false">MIN(Inputs_Banks!$BB28,V189+Z189)</f>
        <v>33.855</v>
      </c>
      <c r="AB189" s="35" t="n">
        <f aca="false">$AA189*Holdings!Q28</f>
        <v>0</v>
      </c>
      <c r="AC189" s="35" t="n">
        <f aca="false">$AA189*Holdings!R28</f>
        <v>0</v>
      </c>
      <c r="AD189" s="35" t="n">
        <f aca="false">$AA189*Holdings!S28</f>
        <v>0</v>
      </c>
      <c r="AE189" s="35" t="n">
        <f aca="false">$AA189*Holdings!T28</f>
        <v>0</v>
      </c>
      <c r="AF189" s="35" t="n">
        <f aca="false">$AA189*Holdings!U28</f>
        <v>13.575</v>
      </c>
      <c r="AG189" s="35" t="n">
        <f aca="false">$AA189*Holdings!V28</f>
        <v>0.3625</v>
      </c>
      <c r="AH189" s="35" t="n">
        <f aca="false">$AA189*Holdings!W28</f>
        <v>0</v>
      </c>
      <c r="AI189" s="35" t="n">
        <f aca="false">$AA189*Holdings!X28</f>
        <v>0</v>
      </c>
      <c r="AJ189" s="35" t="n">
        <f aca="false">$AA189*Holdings!Y28</f>
        <v>2.83</v>
      </c>
      <c r="AK189" s="35" t="n">
        <f aca="false">$AA189*Holdings!Z28</f>
        <v>0</v>
      </c>
      <c r="AL189" s="35" t="n">
        <f aca="false">$AA189*Holdings!AA28</f>
        <v>17.0875</v>
      </c>
      <c r="AM189" s="35" t="n">
        <f aca="false">$AA189*Holdings!AB28</f>
        <v>0</v>
      </c>
      <c r="AN189" s="35" t="n">
        <f aca="false">$AA189*Holdings!AC28</f>
        <v>0</v>
      </c>
      <c r="AO189" s="43" t="n">
        <f aca="false">MIN(1,$CD$177+0.5*G189)</f>
        <v>1</v>
      </c>
      <c r="AP189" s="35" t="n">
        <f aca="false">p_liq_on*Inputs_Banks!$AP28*AO189*p_mb_psi</f>
        <v>1.278</v>
      </c>
      <c r="AQ189" s="44" t="n">
        <f aca="false">MAX(F189,E189,W189*(1-p_cb_on))</f>
        <v>0</v>
      </c>
      <c r="AR189" s="35" t="n">
        <f aca="false">p_ib_on*p_lgd_ib*g_s_in*g_u_ib*SUMPRODUCT(Network!Y$6:Y$29,$AQ$167:$AQ$190)</f>
        <v>4.28546748591128</v>
      </c>
      <c r="AS189" s="35" t="n">
        <f aca="false">p_sw_M1*(SUMPRODUCT(BDC_EAD!Y$106:Y$127,$BF$167:$BF$188)+SUMPRODUCT(BDC_EAD!Y$131:Y$152,$BG$167:$BG$188)+(Inputs_Banks!$Y28+p_ccf_bl*Inputs_Banks!$Z28)*$CD$190+Modules!$E28)</f>
        <v>9.5671959469054</v>
      </c>
      <c r="AT189" s="35" t="n">
        <f aca="false">p_sw_M3*(Inputs_Banks!$U28+p_ccf_abf*Inputs_Banks!$V28)*$CD$191</f>
        <v>7.41184916420829</v>
      </c>
      <c r="AU189" s="35" t="n">
        <f aca="false">p_sw_M10*Inputs_Banks!$AC28*$CD$192</f>
        <v>0</v>
      </c>
      <c r="AV189" s="35" t="n">
        <f aca="false">p_sw_M8*(Modules!$M28+Modules!$N28*IF(p_liq_on&gt;0,X189,p_htm_forced))</f>
        <v>4.53398609644492</v>
      </c>
      <c r="AW189" s="35" t="n">
        <f aca="false">SUMPRODUCT(Holdings!$C28:$O28,Holdings!$C$32:$O$32,$AB$192:$AN$192)+Inputs_Banks!$P28*$AL$192</f>
        <v>5.73840137991657</v>
      </c>
      <c r="AX189" s="35" t="n">
        <f aca="false">Modules!$T28+AS189+AT189+AU189+AV189+AW189+AR189</f>
        <v>40.6598325496584</v>
      </c>
      <c r="AY189" s="35" t="n">
        <f aca="false">Modules!$U28-(1-p_tax)*AX189</f>
        <v>33.2268270772335</v>
      </c>
      <c r="AZ189" s="39" t="n">
        <f aca="false">AY189/Modules!$V28</f>
        <v>0.0561728885356686</v>
      </c>
      <c r="BA189" s="44" t="n">
        <f aca="false">MAX(F189,E189)</f>
        <v>0</v>
      </c>
      <c r="BI189" s="12" t="str">
        <f aca="false">BDC!$A$28</f>
        <v>TSLX</v>
      </c>
      <c r="BJ189" s="43" t="n">
        <f aca="false">1-((1-BDC!$D$28)*$CD$183+BDC!$D$28*$CD$184)-p_gap-$CD$173*(1-BDC!$M$28)</f>
        <v>0.525207527908933</v>
      </c>
      <c r="BK189" s="43" t="n">
        <f aca="false">(1-BDC!$D$28)*$CD$185+BDC!$D$28*$CD$186</f>
        <v>0.0619669987597598</v>
      </c>
      <c r="BL189" s="45" t="n">
        <f aca="false">BJ189/BDC!$K$28</f>
        <v>0.938756762482896</v>
      </c>
      <c r="BM189" s="35" t="n">
        <f aca="false">IF(BL189&lt;1.5,BDC!$C$28,0)</f>
        <v>3.3</v>
      </c>
      <c r="BN189" s="43" t="n">
        <f aca="false">MAX(0,1-BJ189*(1-CE_mig_hc)-p_bb_cush)*BDC!$Q$28</f>
        <v>0.0605793713671617</v>
      </c>
      <c r="BO189" s="43" t="n">
        <f aca="false">MAX(0,BDC!$K$28-BJ189/1.5)</f>
        <v>0.209333013699478</v>
      </c>
      <c r="BP189" s="43" t="n">
        <f aca="false">MIN(MIN(1,BDC!$H$28*$CD$176),$CD$175)</f>
        <v>0</v>
      </c>
      <c r="BQ189" s="43" t="n">
        <f aca="false">BDC!$I$28*BDC!$J$28*BP189*(1-0.3)</f>
        <v>0</v>
      </c>
      <c r="BR189" s="45" t="n">
        <f aca="false">BDC!$C$28*($CD$174*MAX(BN189,BO189)+BQ189)</f>
        <v>0.690798945208277</v>
      </c>
      <c r="CC189" s="10" t="s">
        <v>993</v>
      </c>
      <c r="CD189" s="43" t="n">
        <f aca="false">$CD$187*(1-$AK$192)-$CD$188-p_c_liq</f>
        <v>0.112744674016444</v>
      </c>
    </row>
    <row r="190" customFormat="false" ht="15" hidden="false" customHeight="true" outlineLevel="0" collapsed="false">
      <c r="A190" s="10" t="s">
        <v>543</v>
      </c>
      <c r="B190" s="35" t="n">
        <f aca="false">AY150</f>
        <v>5.74718717276074</v>
      </c>
      <c r="C190" s="39" t="n">
        <f aca="false">AZ150</f>
        <v>0.0549360248218316</v>
      </c>
      <c r="D190" s="44" t="n">
        <f aca="false">IF(C190&lt;Inputs_Banks!$I29,1,0)</f>
        <v>1</v>
      </c>
      <c r="E190" s="44" t="n">
        <f aca="false">IF(C190&lt;0.045,1,0)</f>
        <v>0</v>
      </c>
      <c r="F190" s="44" t="n">
        <f aca="false">IF(B190&lt;0,1,0)</f>
        <v>0</v>
      </c>
      <c r="G190" s="44" t="n">
        <f aca="false">MIN(6,MIN(3,INT(MAX(0,Inputs_Banks!$BA29-C190)/p_notch_step))+D190+2*E190)</f>
        <v>2</v>
      </c>
      <c r="H190" s="39" t="n">
        <f aca="false">C190-Inputs_Banks!$I29</f>
        <v>-0.0125639751781684</v>
      </c>
      <c r="I190" s="44" t="n">
        <f aca="false">RANK(H190,$H$167:$H$190,1)</f>
        <v>23</v>
      </c>
      <c r="J190" s="44" t="n">
        <f aca="false">MAX(IF(I190&lt;=g_n_weak,1,0),E190)</f>
        <v>0</v>
      </c>
      <c r="K190" s="44" t="n">
        <f aca="false">IF(I190&gt;12,1,0)*(1-E190)</f>
        <v>1</v>
      </c>
      <c r="L190" s="35" t="n">
        <f aca="false">INDEX(Inputs_Banks!$AR29:$AX29,1,G190+1)</f>
        <v>0.8997</v>
      </c>
      <c r="M190" s="35" t="n">
        <f aca="false">Inputs_Banks!$AI29*MIN(1,p_u_base+$CD$170*p_u_pan_all+J190*($CD$170*p_u_pan_weak+p_u_mda*D190)+p_u_notch*G190+p_u_fail*E190)</f>
        <v>0</v>
      </c>
      <c r="N190" s="35" t="n">
        <f aca="false">Inputs_Banks!$AK29*MIN(1,p_w_base+p_w_pan*$CD$170+p_w_notch*G190+0.5*D190+1*E190)</f>
        <v>1.603</v>
      </c>
      <c r="O190" s="35" t="n">
        <f aca="false">Inputs_Banks!$AO29*MIN(1,p_cp_base+p_cp_pan*$CD$170+p_cp_notch*G190)</f>
        <v>0</v>
      </c>
      <c r="P190" s="35" t="n">
        <f aca="false">Inputs_Banks!$AN29*(p_dh+p_dh_pan*$CD$170+MIN(1,0.5*$CD$177+0.25*G190))</f>
        <v>15.8432978486056</v>
      </c>
      <c r="Q190" s="35" t="n">
        <f aca="false">Modules!$Y29</f>
        <v>0</v>
      </c>
      <c r="R190" s="35" t="n">
        <f aca="false">Inputs_Banks!$AJ29*K190</f>
        <v>0</v>
      </c>
      <c r="S190" s="35" t="n">
        <f aca="false">p_liq_on*$CD$178*SUM($M$167:$M$190)*R190/MAX(0.000000001,SUM($R$167:$R$190))</f>
        <v>0</v>
      </c>
      <c r="T190" s="35" t="n">
        <f aca="false">p_liq_on*(L190+M190+N190+O190+P190+Q190)</f>
        <v>18.3459978486056</v>
      </c>
      <c r="U190" s="35" t="n">
        <f aca="false">g_usable*Inputs_Banks!$AG29+p_cb_on*Inputs_Banks!$AQ29+S190</f>
        <v>16.4573</v>
      </c>
      <c r="V190" s="35" t="n">
        <f aca="false">MAX(0,T190-U190)</f>
        <v>1.88869784860557</v>
      </c>
      <c r="W190" s="44" t="n">
        <f aca="false">IF(V190&gt;0.9*Inputs_Banks!$BB29,1,0)</f>
        <v>0</v>
      </c>
      <c r="X190" s="43" t="n">
        <f aca="false">MAX(p_htm_forced,(1-p_cb_on)*MIN(1,T190/Inputs_Banks!$AG29)*g_theta_sell)</f>
        <v>0.25</v>
      </c>
      <c r="Y190" s="35" t="n">
        <f aca="false">MAX(0,Modules!$V29-B190/(Inputs_Banks!$I29+g_del_buf))</f>
        <v>25.3444527895071</v>
      </c>
      <c r="Z190" s="35" t="n">
        <f aca="false">MIN(g_del_cap*Inputs_Banks!$BB29,Y190)</f>
        <v>4.57</v>
      </c>
      <c r="AA190" s="35" t="n">
        <f aca="false">MIN(Inputs_Banks!$BB29,V190+Z190)</f>
        <v>6.45869784860557</v>
      </c>
      <c r="AB190" s="35" t="n">
        <f aca="false">$AA190*Holdings!Q29</f>
        <v>0</v>
      </c>
      <c r="AC190" s="35" t="n">
        <f aca="false">$AA190*Holdings!R29</f>
        <v>0</v>
      </c>
      <c r="AD190" s="35" t="n">
        <f aca="false">$AA190*Holdings!S29</f>
        <v>0</v>
      </c>
      <c r="AE190" s="35" t="n">
        <f aca="false">$AA190*Holdings!T29</f>
        <v>0.229658293303809</v>
      </c>
      <c r="AF190" s="35" t="n">
        <f aca="false">$AA190*Holdings!U29</f>
        <v>1.86199877801703</v>
      </c>
      <c r="AG190" s="35" t="n">
        <f aca="false">$AA190*Holdings!V29</f>
        <v>0</v>
      </c>
      <c r="AH190" s="35" t="n">
        <f aca="false">$AA190*Holdings!W29</f>
        <v>0.64657642576303</v>
      </c>
      <c r="AI190" s="35" t="n">
        <f aca="false">$AA190*Holdings!X29</f>
        <v>0.250857520378006</v>
      </c>
      <c r="AJ190" s="35" t="n">
        <f aca="false">$AA190*Holdings!Y29</f>
        <v>0.346254042211896</v>
      </c>
      <c r="AK190" s="35" t="n">
        <f aca="false">$AA190*Holdings!Z29</f>
        <v>0</v>
      </c>
      <c r="AL190" s="35" t="n">
        <f aca="false">$AA190*Holdings!AA29</f>
        <v>3.0597551077092</v>
      </c>
      <c r="AM190" s="35" t="n">
        <f aca="false">$AA190*Holdings!AB29</f>
        <v>0</v>
      </c>
      <c r="AN190" s="35" t="n">
        <f aca="false">$AA190*Holdings!AC29</f>
        <v>0.0635976812225931</v>
      </c>
      <c r="AO190" s="43" t="n">
        <f aca="false">MIN(1,$CD$177+0.5*G190)</f>
        <v>1</v>
      </c>
      <c r="AP190" s="35" t="n">
        <f aca="false">p_liq_on*Inputs_Banks!$AP29*AO190*p_mb_psi</f>
        <v>0</v>
      </c>
      <c r="AQ190" s="44" t="n">
        <f aca="false">MAX(F190,E190,W190*(1-p_cb_on))</f>
        <v>0</v>
      </c>
      <c r="AR190" s="35" t="n">
        <f aca="false">p_ib_on*p_lgd_ib*g_s_in*g_u_ib*SUMPRODUCT(Network!Z$6:Z$29,$AQ$167:$AQ$190)</f>
        <v>0.371741653794596</v>
      </c>
      <c r="AS190" s="35" t="n">
        <f aca="false">p_sw_M1*(SUMPRODUCT(BDC_EAD!Z$106:Z$127,$BF$167:$BF$188)+SUMPRODUCT(BDC_EAD!Z$131:Z$152,$BG$167:$BG$188)+(Inputs_Banks!$Y29+p_ccf_bl*Inputs_Banks!$Z29)*$CD$190+Modules!$E29)</f>
        <v>0</v>
      </c>
      <c r="AT190" s="35" t="n">
        <f aca="false">p_sw_M3*(Inputs_Banks!$U29+p_ccf_abf*Inputs_Banks!$V29)*$CD$191</f>
        <v>0</v>
      </c>
      <c r="AU190" s="35" t="n">
        <f aca="false">p_sw_M10*Inputs_Banks!$AC29*$CD$192</f>
        <v>0</v>
      </c>
      <c r="AV190" s="35" t="n">
        <f aca="false">p_sw_M8*(Modules!$M29+Modules!$N29*IF(p_liq_on&gt;0,X190,p_htm_forced))</f>
        <v>0</v>
      </c>
      <c r="AW190" s="35" t="n">
        <f aca="false">SUMPRODUCT(Holdings!$C29:$O29,Holdings!$C$32:$O$32,$AB$192:$AN$192)+Inputs_Banks!$P29*$AL$192</f>
        <v>1.44215757921998</v>
      </c>
      <c r="AX190" s="35" t="n">
        <f aca="false">Modules!$T29+AS190+AT190+AU190+AV190+AW190+AR190</f>
        <v>2.97081282723926</v>
      </c>
      <c r="AY190" s="35" t="n">
        <f aca="false">Modules!$U29-(1-p_tax)*AX190</f>
        <v>5.74718717276074</v>
      </c>
      <c r="AZ190" s="39" t="n">
        <f aca="false">AY190/Modules!$V29</f>
        <v>0.0549360248218316</v>
      </c>
      <c r="BA190" s="44" t="n">
        <f aca="false">MAX(F190,E190)</f>
        <v>0</v>
      </c>
      <c r="BI190" s="12" t="str">
        <f aca="false">BDC!$A$29</f>
        <v>GSBD</v>
      </c>
      <c r="BJ190" s="43" t="n">
        <f aca="false">1-((1-BDC!$D$29)*$CD$183+BDC!$D$29*$CD$184)-p_gap-$CD$173*(1-BDC!$M$29)</f>
        <v>0.402673902876419</v>
      </c>
      <c r="BK190" s="43" t="n">
        <f aca="false">(1-BDC!$D$29)*$CD$185+BDC!$D$29*$CD$186</f>
        <v>0.0617434368424848</v>
      </c>
      <c r="BL190" s="45" t="n">
        <f aca="false">BJ190/BDC!$K$29</f>
        <v>0.698757654991433</v>
      </c>
      <c r="BM190" s="35" t="n">
        <f aca="false">IF(BL190&lt;1.5,BDC!$C$29,0)</f>
        <v>3.2</v>
      </c>
      <c r="BN190" s="43" t="n">
        <f aca="false">MAX(0,1-BJ190*(1-CE_mig_hc)-p_bb_cush)*BDC!$Q$29</f>
        <v>0.130680147041233</v>
      </c>
      <c r="BO190" s="43" t="n">
        <f aca="false">MAX(0,BDC!$K$29-BJ190/1.5)</f>
        <v>0.307821917856399</v>
      </c>
      <c r="BP190" s="43" t="n">
        <f aca="false">MIN(MIN(1,BDC!$H$29*$CD$176),$CD$175)</f>
        <v>0</v>
      </c>
      <c r="BQ190" s="43" t="n">
        <f aca="false">BDC!$I$29*BDC!$J$29*BP190*(1-0.3)</f>
        <v>0</v>
      </c>
      <c r="BR190" s="45" t="n">
        <f aca="false">BDC!$C$29*($CD$174*MAX(BN190,BO190)+BQ190)</f>
        <v>0.985030137140476</v>
      </c>
      <c r="CC190" s="10" t="s">
        <v>994</v>
      </c>
      <c r="CD190" s="43" t="n">
        <f aca="false">p_phi*MAX(0,p_a_spv-$CD$189)/p_a_spv+(1-p_phi)*MAX(0,p_a_spv-$CD$187)/p_a_spv</f>
        <v>0.754535623270631</v>
      </c>
    </row>
    <row r="191" customFormat="false" ht="15" hidden="false" customHeight="true" outlineLevel="0" collapsed="false">
      <c r="AA191" s="7" t="s">
        <v>995</v>
      </c>
      <c r="AB191" s="47" t="n">
        <f aca="false">p_fs_on*(SUM(AB167:AB190)+$CD$180*Holdings!C$37+Holdings!C$36*SUM($AP$167:$AP$190))</f>
        <v>0</v>
      </c>
      <c r="AC191" s="47" t="n">
        <f aca="false">p_fs_on*(SUM(AC167:AC190)+$CD$180*Holdings!D$37+Holdings!D$36*SUM($AP$167:$AP$190))</f>
        <v>0</v>
      </c>
      <c r="AD191" s="47" t="n">
        <f aca="false">p_fs_on*(SUM(AD167:AD190)+$CD$180*Holdings!E$37+Holdings!E$36*SUM($AP$167:$AP$190))</f>
        <v>0</v>
      </c>
      <c r="AE191" s="47" t="n">
        <f aca="false">p_fs_on*(SUM(AE167:AE190)+$CD$180*Holdings!F$37+Holdings!F$36*SUM($AP$167:$AP$190))</f>
        <v>73.0743229780475</v>
      </c>
      <c r="AF191" s="47" t="n">
        <f aca="false">p_fs_on*(SUM(AF167:AF190)+$CD$180*Holdings!G$37+Holdings!G$36*SUM($AP$167:$AP$190))</f>
        <v>469.109968894015</v>
      </c>
      <c r="AG191" s="47" t="n">
        <f aca="false">p_fs_on*(SUM(AG167:AG190)+$CD$180*Holdings!H$37+Holdings!H$36*SUM($AP$167:$AP$190))</f>
        <v>8.84482</v>
      </c>
      <c r="AH191" s="47" t="n">
        <f aca="false">p_fs_on*(SUM(AH167:AH190)+$CD$180*Holdings!I$37+Holdings!I$36*SUM($AP$167:$AP$190))</f>
        <v>67.8038928293643</v>
      </c>
      <c r="AI191" s="47" t="n">
        <f aca="false">p_fs_on*(SUM(AI167:AI190)+$CD$180*Holdings!J$37+Holdings!J$36*SUM($AP$167:$AP$190))</f>
        <v>117.445857520378</v>
      </c>
      <c r="AJ191" s="47" t="n">
        <f aca="false">p_fs_on*(SUM(AJ167:AJ190)+$CD$180*Holdings!K$37+Holdings!K$36*SUM($AP$167:$AP$190))</f>
        <v>108.589065039421</v>
      </c>
      <c r="AK191" s="47" t="n">
        <f aca="false">p_fs_on*(SUM(AK167:AK190)+$CD$180*Holdings!L$37+$CD$194+Holdings!L$36*SUM($AP$167:$AP$190))</f>
        <v>216.309230667799</v>
      </c>
      <c r="AL191" s="47" t="n">
        <f aca="false">p_fs_on*(SUM(AL167:AL190)+$CD$180*Holdings!M$37+Holdings!M$36*SUM($AP$167:$AP$190))</f>
        <v>866.737029727618</v>
      </c>
      <c r="AM191" s="47" t="n">
        <f aca="false">p_fs_on*(SUM(AM167:AM190)+$CD$180*Holdings!N$37+Holdings!N$36*SUM($AP$167:$AP$190))</f>
        <v>0</v>
      </c>
      <c r="AN191" s="47" t="n">
        <f aca="false">p_fs_on*(SUM(AN167:AN190)+$CD$180*Holdings!O$37+Holdings!O$36*SUM($AP$167:$AP$190))</f>
        <v>185.647651909261</v>
      </c>
      <c r="BI191" s="12" t="str">
        <f aca="false">BDC!$A$30</f>
        <v>OCSL</v>
      </c>
      <c r="BJ191" s="43" t="n">
        <f aca="false">1-((1-BDC!$D$30)*$CD$183+BDC!$D$30*$CD$184)-p_gap-$CD$173*(1-BDC!$M$30)</f>
        <v>0.392098725301358</v>
      </c>
      <c r="BK191" s="43" t="n">
        <f aca="false">(1-BDC!$D$30)*$CD$185+BDC!$D$30*$CD$186</f>
        <v>0.0620042590793056</v>
      </c>
      <c r="BL191" s="45" t="n">
        <f aca="false">BJ191/BDC!$K$30</f>
        <v>0.769116730398817</v>
      </c>
      <c r="BM191" s="35" t="n">
        <f aca="false">IF(BL191&lt;1.5,BDC!$C$30,0)</f>
        <v>2.74</v>
      </c>
      <c r="BN191" s="43" t="n">
        <f aca="false">MAX(0,1-BJ191*(1-CE_mig_hc)-p_bb_cush)*BDC!$Q$30</f>
        <v>0.159860448974885</v>
      </c>
      <c r="BO191" s="43" t="n">
        <f aca="false">MAX(0,BDC!$K$30-BJ191/1.5)</f>
        <v>0.248404771367722</v>
      </c>
      <c r="BP191" s="43" t="n">
        <f aca="false">MIN(MIN(1,BDC!$H$30*$CD$176),$CD$175)</f>
        <v>0</v>
      </c>
      <c r="BQ191" s="43" t="n">
        <f aca="false">BDC!$I$30*BDC!$J$30*BP191*(1-0.3)</f>
        <v>0</v>
      </c>
      <c r="BR191" s="45" t="n">
        <f aca="false">BDC!$C$30*($CD$174*MAX(BN191,BO191)+BQ191)</f>
        <v>0.680629073547559</v>
      </c>
      <c r="CC191" s="10" t="s">
        <v>996</v>
      </c>
      <c r="CD191" s="43" t="n">
        <f aca="false">p_phi*MAX(0,g_a_abf-(CE_Vh_a*(1-$AJ$192)-p_c_liq))/g_a_abf+(1-p_phi)*MAX(0,g_a_abf-CE_Vh_a)/g_a_abf</f>
        <v>0.309662698169349</v>
      </c>
    </row>
    <row r="192" customFormat="false" ht="15" hidden="false" customHeight="true" outlineLevel="0" collapsed="false">
      <c r="AA192" s="7" t="s">
        <v>997</v>
      </c>
      <c r="AB192" s="50" t="n">
        <f aca="false">MIN(Holdings!C$34,$CD$179*Holdings!C$31*AB191/10000+Holdings!C$39*$CD$170^g_gamma_pan)</f>
        <v>0</v>
      </c>
      <c r="AC192" s="50" t="n">
        <f aca="false">MIN(Holdings!D$34,$CD$179*Holdings!D$31*AC191/10000+Holdings!D$39*$CD$170^g_gamma_pan)</f>
        <v>0.01</v>
      </c>
      <c r="AD192" s="50" t="n">
        <f aca="false">MIN(Holdings!E$34,$CD$179*Holdings!E$31*AD191/10000+Holdings!E$39*$CD$170^g_gamma_pan)</f>
        <v>0.02</v>
      </c>
      <c r="AE192" s="50" t="n">
        <f aca="false">MIN(Holdings!F$34,$CD$179*Holdings!F$31*AE191/10000+Holdings!F$39*$CD$170^g_gamma_pan)</f>
        <v>0.0982685807445119</v>
      </c>
      <c r="AF192" s="50" t="n">
        <f aca="false">MIN(Holdings!G$34,$CD$179*Holdings!G$31*AF191/10000+Holdings!G$39*$CD$170^g_gamma_pan)</f>
        <v>0.25</v>
      </c>
      <c r="AG192" s="50" t="n">
        <f aca="false">MIN(Holdings!H$34,$CD$179*Holdings!H$31*AG191/10000+Holdings!H$39*$CD$170^g_gamma_pan)</f>
        <v>0.16326723</v>
      </c>
      <c r="AH192" s="50" t="n">
        <f aca="false">MIN(Holdings!I$34,$CD$179*Holdings!I$31*AH191/10000+Holdings!I$39*$CD$170^g_gamma_pan)</f>
        <v>0.403411678488093</v>
      </c>
      <c r="AI192" s="50" t="n">
        <f aca="false">MIN(Holdings!J$34,$CD$179*Holdings!J$31*AI191/10000+Holdings!J$39*$CD$170^g_gamma_pan)</f>
        <v>0.45</v>
      </c>
      <c r="AJ192" s="50" t="n">
        <f aca="false">MIN(Holdings!K$34,$CD$179*Holdings!K$31*AJ191/10000+Holdings!K$39*$CD$170^g_gamma_pan)</f>
        <v>0.262883597559132</v>
      </c>
      <c r="AK192" s="50" t="n">
        <f aca="false">MIN(Holdings!L$34,$CD$179*Holdings!L$31*AK191/10000+Holdings!L$39*$CD$170^g_gamma_pan)</f>
        <v>0.45</v>
      </c>
      <c r="AL192" s="50" t="n">
        <f aca="false">MIN(Holdings!M$34,$CD$179*Holdings!M$31*AL191/10000+Holdings!M$39*$CD$170^g_gamma_pan)</f>
        <v>0.343336851486381</v>
      </c>
      <c r="AM192" s="50" t="n">
        <f aca="false">MIN(Holdings!N$34,$CD$179*Holdings!N$31*AM191/10000+Holdings!N$39*$CD$170^g_gamma_pan)</f>
        <v>0</v>
      </c>
      <c r="AN192" s="50" t="n">
        <f aca="false">MIN(Holdings!O$34,$CD$179*Holdings!O$31*AN191/10000+Holdings!O$39*$CD$170^g_gamma_pan)</f>
        <v>0.285647651909261</v>
      </c>
      <c r="BI192" s="12" t="str">
        <f aca="false">BDC!$A$31</f>
        <v>BBDC</v>
      </c>
      <c r="BJ192" s="43" t="n">
        <f aca="false">1-((1-BDC!$D$31)*$CD$183+BDC!$D$31*$CD$184)-p_gap-$CD$173*(1-BDC!$M$31)</f>
        <v>0.440484450675871</v>
      </c>
      <c r="BK192" s="43" t="n">
        <f aca="false">(1-BDC!$D$31)*$CD$185+BDC!$D$31*$CD$186</f>
        <v>0.0655439894361584</v>
      </c>
      <c r="BL192" s="45" t="n">
        <f aca="false">BJ192/BDC!$K$31</f>
        <v>0.798601890249749</v>
      </c>
      <c r="BM192" s="35" t="n">
        <f aca="false">IF(BL192&lt;1.5,BDC!$C$31,0)</f>
        <v>2.46</v>
      </c>
      <c r="BN192" s="43" t="n">
        <f aca="false">MAX(0,1-BJ192*(1-CE_mig_hc)-p_bb_cush)*BDC!$Q$31</f>
        <v>0.161288813940408</v>
      </c>
      <c r="BO192" s="43" t="n">
        <f aca="false">MAX(0,BDC!$K$31-BJ192/1.5)</f>
        <v>0.257913206275877</v>
      </c>
      <c r="BP192" s="43" t="n">
        <f aca="false">MIN(MIN(1,BDC!$H$31*$CD$176),$CD$175)</f>
        <v>0</v>
      </c>
      <c r="BQ192" s="43" t="n">
        <f aca="false">BDC!$I$31*BDC!$J$31*BP192*(1-0.3)</f>
        <v>0</v>
      </c>
      <c r="BR192" s="45" t="n">
        <f aca="false">BDC!$C$31*($CD$174*MAX(BN192,BO192)+BQ192)</f>
        <v>0.634466487438657</v>
      </c>
      <c r="CC192" s="10" t="s">
        <v>998</v>
      </c>
      <c r="CD192" s="43" t="n">
        <f aca="false">p_phi*MAX(0,g_trs_adv-$CD$189)/g_trs_adv+(1-p_phi)*MAX(0,g_trs_adv-$CD$187)/g_trs_adv</f>
        <v>0.785218670361803</v>
      </c>
    </row>
    <row r="193" customFormat="false" ht="15" hidden="false" customHeight="true" outlineLevel="0" collapsed="false">
      <c r="BI193" s="12" t="str">
        <f aca="false">BDC!$A$32</f>
        <v>CGBD</v>
      </c>
      <c r="BJ193" s="43" t="n">
        <f aca="false">1-((1-BDC!$D$32)*$CD$183+BDC!$D$32*$CD$184)-p_gap-$CD$173*(1-BDC!$M$32)</f>
        <v>0.378165749019815</v>
      </c>
      <c r="BK193" s="43" t="n">
        <f aca="false">(1-BDC!$D$32)*$CD$185+BDC!$D$32*$CD$186</f>
        <v>0.0643143988911463</v>
      </c>
      <c r="BL193" s="45" t="n">
        <f aca="false">BJ193/BDC!$K$32</f>
        <v>0.695952092733944</v>
      </c>
      <c r="BM193" s="35" t="n">
        <f aca="false">IF(BL193&lt;1.5,BDC!$C$32,0)</f>
        <v>2.36</v>
      </c>
      <c r="BN193" s="43" t="n">
        <f aca="false">MAX(0,1-BJ193*(1-CE_mig_hc)-p_bb_cush)*BDC!$Q$32</f>
        <v>0.188636784641365</v>
      </c>
      <c r="BO193" s="43" t="n">
        <f aca="false">MAX(0,BDC!$K$32-BJ193/1.5)</f>
        <v>0.291268496087247</v>
      </c>
      <c r="BP193" s="43" t="n">
        <f aca="false">MIN(MIN(1,BDC!$H$32*$CD$176),$CD$175)</f>
        <v>0</v>
      </c>
      <c r="BQ193" s="43" t="n">
        <f aca="false">BDC!$I$32*BDC!$J$32*BP193*(1-0.3)</f>
        <v>0</v>
      </c>
      <c r="BR193" s="45" t="n">
        <f aca="false">BDC!$C$32*($CD$174*MAX(BN193,BO193)+BQ193)</f>
        <v>0.687393650765903</v>
      </c>
      <c r="CC193" s="10" t="s">
        <v>999</v>
      </c>
      <c r="CD193" s="43" t="n">
        <f aca="false">SUM($BM$167:$BM$200)/SUM(BDC!$C$6:$C$39)</f>
        <v>0.998189261533617</v>
      </c>
    </row>
    <row r="194" customFormat="false" ht="15" hidden="false" customHeight="true" outlineLevel="0" collapsed="false">
      <c r="BI194" s="12" t="str">
        <f aca="false">BDC!$A$33</f>
        <v>KBDC</v>
      </c>
      <c r="BJ194" s="43" t="n">
        <f aca="false">1-((1-BDC!$D$33)*$CD$183+BDC!$D$33*$CD$184)-p_gap-$CD$173*(1-BDC!$M$33)</f>
        <v>0.456205474041006</v>
      </c>
      <c r="BK194" s="43" t="n">
        <f aca="false">(1-BDC!$D$33)*$CD$185+BDC!$D$33*$CD$186</f>
        <v>0.0684875546802781</v>
      </c>
      <c r="BL194" s="45" t="n">
        <f aca="false">BJ194/BDC!$K$33</f>
        <v>0.846124682623062</v>
      </c>
      <c r="BM194" s="35" t="n">
        <f aca="false">IF(BL194&lt;1.5,BDC!$C$33,0)</f>
        <v>2.29</v>
      </c>
      <c r="BN194" s="43" t="n">
        <f aca="false">MAX(0,1-BJ194*(1-CE_mig_hc)-p_bb_cush)*BDC!$Q$33</f>
        <v>0.1539572367744</v>
      </c>
      <c r="BO194" s="43" t="n">
        <f aca="false">MAX(0,BDC!$K$33-BJ194/1.5)</f>
        <v>0.235033524218438</v>
      </c>
      <c r="BP194" s="43" t="n">
        <f aca="false">MIN(MIN(1,BDC!$H$33*$CD$176),$CD$175)</f>
        <v>0</v>
      </c>
      <c r="BQ194" s="43" t="n">
        <f aca="false">BDC!$I$33*BDC!$J$33*BP194*(1-0.3)</f>
        <v>0</v>
      </c>
      <c r="BR194" s="45" t="n">
        <f aca="false">BDC!$C$33*($CD$174*MAX(BN194,BO194)+BQ194)</f>
        <v>0.538226770460224</v>
      </c>
      <c r="CC194" s="10" t="s">
        <v>869</v>
      </c>
      <c r="CD194" s="35" t="n">
        <f aca="false">p_pc_scale*SUM($BR$167:$BR$200)</f>
        <v>209.214230667799</v>
      </c>
    </row>
    <row r="195" customFormat="false" ht="15" hidden="false" customHeight="true" outlineLevel="0" collapsed="false">
      <c r="BI195" s="12" t="str">
        <f aca="false">BDC!$A$34</f>
        <v>NMFC</v>
      </c>
      <c r="BJ195" s="43" t="n">
        <f aca="false">1-((1-BDC!$D$34)*$CD$183+BDC!$D$34*$CD$184)-p_gap-$CD$173*(1-BDC!$M$34)</f>
        <v>0.361123826355913</v>
      </c>
      <c r="BK195" s="43" t="n">
        <f aca="false">(1-BDC!$D$34)*$CD$185+BDC!$D$34*$CD$186</f>
        <v>0.0628985067484052</v>
      </c>
      <c r="BL195" s="45" t="n">
        <f aca="false">BJ195/BDC!$K$34</f>
        <v>0.636790869375694</v>
      </c>
      <c r="BM195" s="35" t="n">
        <f aca="false">IF(BL195&lt;1.5,BDC!$C$34,0)</f>
        <v>2.29</v>
      </c>
      <c r="BN195" s="43" t="n">
        <f aca="false">MAX(0,1-BJ195*(1-CE_mig_hc)-p_bb_cush)*BDC!$Q$34</f>
        <v>0.15656762438422</v>
      </c>
      <c r="BO195" s="43" t="n">
        <f aca="false">MAX(0,BDC!$K$34-BJ195/1.5)</f>
        <v>0.326350349528958</v>
      </c>
      <c r="BP195" s="43" t="n">
        <f aca="false">MIN(MIN(1,BDC!$H$34*$CD$176),$CD$175)</f>
        <v>0</v>
      </c>
      <c r="BQ195" s="43" t="n">
        <f aca="false">BDC!$I$34*BDC!$J$34*BP195*(1-0.3)</f>
        <v>0</v>
      </c>
      <c r="BR195" s="45" t="n">
        <f aca="false">BDC!$C$34*($CD$174*MAX(BN195,BO195)+BQ195)</f>
        <v>0.747342300421315</v>
      </c>
    </row>
    <row r="196" customFormat="false" ht="15" hidden="false" customHeight="true" outlineLevel="0" collapsed="false">
      <c r="BI196" s="12" t="str">
        <f aca="false">BDC!$A$35</f>
        <v>HPS CCS</v>
      </c>
      <c r="BJ196" s="43" t="n">
        <f aca="false">1-((1-BDC!$D$35)*$CD$183+BDC!$D$35*$CD$184)-p_gap-$CD$173*(1-BDC!$M$35)</f>
        <v>0.428848454391989</v>
      </c>
      <c r="BK196" s="43" t="n">
        <f aca="false">(1-BDC!$D$35)*$CD$185+BDC!$D$35*$CD$186</f>
        <v>0.0651713862407002</v>
      </c>
      <c r="BL196" s="45" t="n">
        <f aca="false">BJ196/BDC!$K$35</f>
        <v>1.05036795351081</v>
      </c>
      <c r="BM196" s="35" t="n">
        <f aca="false">IF(BL196&lt;1.5,BDC!$C$35,0)</f>
        <v>2.27</v>
      </c>
      <c r="BN196" s="43" t="n">
        <f aca="false">MAX(0,1-BJ196*(1-CE_mig_hc)-p_bb_cush)*BDC!$Q$35</f>
        <v>0.121466639892192</v>
      </c>
      <c r="BO196" s="43" t="n">
        <f aca="false">MAX(0,BDC!$K$35-BJ196/1.5)</f>
        <v>0.12238505407398</v>
      </c>
      <c r="BP196" s="43" t="n">
        <f aca="false">MIN(MIN(1,BDC!$H$35*$CD$176),$CD$175)</f>
        <v>0.138</v>
      </c>
      <c r="BQ196" s="43" t="n">
        <f aca="false">BDC!$I$35*BDC!$J$35*BP196*(1-0.3)</f>
        <v>0.0571597633136095</v>
      </c>
      <c r="BR196" s="45" t="n">
        <f aca="false">BDC!$C$35*($CD$174*MAX(BN196,BO196)+BQ196)</f>
        <v>0.407566735469828</v>
      </c>
    </row>
    <row r="197" customFormat="false" ht="15" hidden="false" customHeight="true" outlineLevel="0" collapsed="false">
      <c r="BI197" s="12" t="str">
        <f aca="false">BDC!$A$36</f>
        <v>APCF</v>
      </c>
      <c r="BJ197" s="43" t="n">
        <f aca="false">1-((1-BDC!$D$36)*$CD$183+BDC!$D$36*$CD$184)-p_gap-$CD$173*(1-BDC!$M$36)</f>
        <v>0.412233180685897</v>
      </c>
      <c r="BK197" s="43" t="n">
        <f aca="false">(1-BDC!$D$36)*$CD$185+BDC!$D$36*$CD$186</f>
        <v>0.0624141225943096</v>
      </c>
      <c r="BL197" s="45" t="n">
        <f aca="false">BJ197/BDC!$K$36</f>
        <v>0.770696816064938</v>
      </c>
      <c r="BM197" s="35" t="n">
        <f aca="false">IF(BL197&lt;1.5,BDC!$C$36,0)</f>
        <v>1.73</v>
      </c>
      <c r="BN197" s="43" t="n">
        <f aca="false">MAX(0,1-BJ197*(1-CE_mig_hc)-p_bb_cush)*BDC!$Q$36</f>
        <v>0.163016261096768</v>
      </c>
      <c r="BO197" s="43" t="n">
        <f aca="false">MAX(0,BDC!$K$36-BJ197/1.5)</f>
        <v>0.260061600472968</v>
      </c>
      <c r="BP197" s="43" t="n">
        <f aca="false">MIN(MIN(1,BDC!$H$36*$CD$176),$CD$175)</f>
        <v>0.0135</v>
      </c>
      <c r="BQ197" s="43" t="n">
        <f aca="false">BDC!$I$36*BDC!$J$36*BP197*(1-0.3)</f>
        <v>0.0043953488372093</v>
      </c>
      <c r="BR197" s="45" t="n">
        <f aca="false">BDC!$C$36*($CD$174*MAX(BN197,BO197)+BQ197)</f>
        <v>0.457510522306607</v>
      </c>
    </row>
    <row r="198" customFormat="false" ht="15" hidden="false" customHeight="true" outlineLevel="0" collapsed="false">
      <c r="BI198" s="12" t="str">
        <f aca="false">BDC!$A$37</f>
        <v>TCPC</v>
      </c>
      <c r="BJ198" s="43" t="n">
        <f aca="false">1-((1-BDC!$D$37)*$CD$183+BDC!$D$37*$CD$184)-p_gap-$CD$173*(1-BDC!$M$37)</f>
        <v>0.368439426438033</v>
      </c>
      <c r="BK198" s="43" t="n">
        <f aca="false">(1-BDC!$D$37)*$CD$185+BDC!$D$37*$CD$186</f>
        <v>0.059246995432915</v>
      </c>
      <c r="BL198" s="45" t="n">
        <f aca="false">BJ198/BDC!$K$37</f>
        <v>0.59173604852169</v>
      </c>
      <c r="BM198" s="35" t="n">
        <f aca="false">IF(BL198&lt;1.5,BDC!$C$37,0)</f>
        <v>1.29</v>
      </c>
      <c r="BN198" s="43" t="n">
        <f aca="false">MAX(0,1-BJ198*(1-CE_mig_hc)-p_bb_cush)*BDC!$Q$37</f>
        <v>0.201683787747215</v>
      </c>
      <c r="BO198" s="43" t="n">
        <f aca="false">MAX(0,BDC!$K$37-BJ198/1.5)</f>
        <v>0.37701522514194</v>
      </c>
      <c r="BP198" s="43" t="n">
        <f aca="false">MIN(MIN(1,BDC!$H$37*$CD$176),$CD$175)</f>
        <v>0</v>
      </c>
      <c r="BQ198" s="43" t="n">
        <f aca="false">BDC!$I$37*BDC!$J$37*BP198*(1-0.3)</f>
        <v>0</v>
      </c>
      <c r="BR198" s="45" t="n">
        <f aca="false">BDC!$C$37*($CD$174*MAX(BN198,BO198)+BQ198)</f>
        <v>0.486349640433103</v>
      </c>
    </row>
    <row r="199" customFormat="false" ht="15" hidden="false" customHeight="true" outlineLevel="0" collapsed="false">
      <c r="BI199" s="12" t="str">
        <f aca="false">BDC!$A$38</f>
        <v>OBDC II</v>
      </c>
      <c r="BJ199" s="43" t="n">
        <f aca="false">1-((1-BDC!$D$38)*$CD$183+BDC!$D$38*$CD$184)-p_gap-$CD$173*(1-BDC!$M$38)</f>
        <v>0.431318292375327</v>
      </c>
      <c r="BK199" s="43" t="n">
        <f aca="false">(1-BDC!$D$38)*$CD$185+BDC!$D$38*$CD$186</f>
        <v>0.0655812497557042</v>
      </c>
      <c r="BL199" s="45" t="n">
        <f aca="false">BJ199/BDC!$K$38</f>
        <v>2.02879344932098</v>
      </c>
      <c r="BM199" s="35" t="n">
        <f aca="false">IF(BL199&lt;1.5,BDC!$C$38,0)</f>
        <v>0</v>
      </c>
      <c r="BN199" s="43" t="n">
        <f aca="false">MAX(0,1-BJ199*(1-CE_mig_hc)-p_bb_cush)*BDC!$Q$38</f>
        <v>0.126039156046108</v>
      </c>
      <c r="BO199" s="43" t="n">
        <f aca="false">MAX(0,BDC!$K$38-BJ199/1.5)</f>
        <v>0</v>
      </c>
      <c r="BP199" s="43" t="n">
        <f aca="false">MIN(MIN(1,BDC!$H$38*$CD$176),$CD$175)</f>
        <v>0</v>
      </c>
      <c r="BQ199" s="43" t="n">
        <f aca="false">BDC!$I$38*BDC!$J$38*BP199*(1-0.3)</f>
        <v>0</v>
      </c>
      <c r="BR199" s="45" t="n">
        <f aca="false">BDC!$C$38*($CD$174*MAX(BN199,BO199)+BQ199)</f>
        <v>0.0869670176718148</v>
      </c>
    </row>
    <row r="200" customFormat="false" ht="15" hidden="false" customHeight="true" outlineLevel="0" collapsed="false">
      <c r="BI200" s="12" t="str">
        <f aca="false">BDC!$A$39</f>
        <v>NHPIF-A</v>
      </c>
      <c r="BJ200" s="43" t="n">
        <f aca="false">1-((1-BDC!$D$39)*$CD$183+BDC!$D$39*$CD$184)-p_gap-$CD$173*(1-BDC!$M$39)</f>
        <v>0.406395381816189</v>
      </c>
      <c r="BK200" s="43" t="n">
        <f aca="false">(1-BDC!$D$39)*$CD$185+BDC!$D$39*$CD$186</f>
        <v>0.0614453542861183</v>
      </c>
      <c r="BL200" s="45" t="n">
        <f aca="false">BJ200/BDC!$K$39</f>
        <v>0.800954004938703</v>
      </c>
      <c r="BM200" s="35" t="n">
        <f aca="false">IF(BL200&lt;1.5,BDC!$C$39,0)</f>
        <v>0.6</v>
      </c>
      <c r="BN200" s="43" t="n">
        <f aca="false">MAX(0,1-BJ200*(1-CE_mig_hc)-p_bb_cush)*BDC!$Q$39</f>
        <v>0.155931774753151</v>
      </c>
      <c r="BO200" s="43" t="n">
        <f aca="false">MAX(0,BDC!$K$39-BJ200/1.5)</f>
        <v>0.23645890801745</v>
      </c>
      <c r="BP200" s="43" t="n">
        <f aca="false">MIN(MIN(1,BDC!$H$39*$CD$176),$CD$175)</f>
        <v>0.204</v>
      </c>
      <c r="BQ200" s="43" t="n">
        <f aca="false">BDC!$I$39*BDC!$J$39*BP200*(1-0.3)</f>
        <v>0.0703448275862069</v>
      </c>
      <c r="BR200" s="45" t="n">
        <f aca="false">BDC!$C$39*($CD$174*MAX(BN200,BO200)+BQ200)</f>
        <v>0.184082241362194</v>
      </c>
    </row>
    <row r="205" customFormat="false" ht="15" hidden="false" customHeight="true" outlineLevel="0" collapsed="false">
      <c r="A205" s="9" t="s">
        <v>1004</v>
      </c>
    </row>
    <row r="206" customFormat="false" ht="42" hidden="false" customHeight="true" outlineLevel="0" collapsed="false">
      <c r="A206" s="21" t="s">
        <v>51</v>
      </c>
      <c r="B206" s="21" t="s">
        <v>910</v>
      </c>
      <c r="C206" s="21" t="s">
        <v>911</v>
      </c>
      <c r="D206" s="21" t="s">
        <v>912</v>
      </c>
      <c r="E206" s="21" t="s">
        <v>913</v>
      </c>
      <c r="F206" s="21" t="s">
        <v>914</v>
      </c>
      <c r="G206" s="21" t="s">
        <v>61</v>
      </c>
      <c r="H206" s="21" t="s">
        <v>915</v>
      </c>
      <c r="I206" s="21" t="s">
        <v>916</v>
      </c>
      <c r="J206" s="21" t="s">
        <v>917</v>
      </c>
      <c r="K206" s="21" t="s">
        <v>918</v>
      </c>
      <c r="L206" s="21" t="s">
        <v>919</v>
      </c>
      <c r="M206" s="21" t="s">
        <v>920</v>
      </c>
      <c r="N206" s="21" t="s">
        <v>921</v>
      </c>
      <c r="O206" s="21" t="s">
        <v>922</v>
      </c>
      <c r="P206" s="21" t="s">
        <v>923</v>
      </c>
      <c r="Q206" s="21" t="s">
        <v>924</v>
      </c>
      <c r="R206" s="21" t="s">
        <v>925</v>
      </c>
      <c r="S206" s="21" t="s">
        <v>926</v>
      </c>
      <c r="T206" s="21" t="s">
        <v>927</v>
      </c>
      <c r="U206" s="21" t="s">
        <v>928</v>
      </c>
      <c r="V206" s="21" t="s">
        <v>60</v>
      </c>
      <c r="W206" s="21" t="s">
        <v>929</v>
      </c>
      <c r="X206" s="21" t="s">
        <v>930</v>
      </c>
      <c r="Y206" s="21" t="s">
        <v>931</v>
      </c>
      <c r="Z206" s="21" t="s">
        <v>932</v>
      </c>
      <c r="AA206" s="21" t="s">
        <v>933</v>
      </c>
      <c r="AB206" s="21" t="s">
        <v>934</v>
      </c>
      <c r="AC206" s="21" t="s">
        <v>935</v>
      </c>
      <c r="AD206" s="21" t="s">
        <v>936</v>
      </c>
      <c r="AE206" s="21" t="s">
        <v>937</v>
      </c>
      <c r="AF206" s="21" t="s">
        <v>938</v>
      </c>
      <c r="AG206" s="21" t="s">
        <v>939</v>
      </c>
      <c r="AH206" s="21" t="s">
        <v>940</v>
      </c>
      <c r="AI206" s="21" t="s">
        <v>941</v>
      </c>
      <c r="AJ206" s="21" t="s">
        <v>942</v>
      </c>
      <c r="AK206" s="21" t="s">
        <v>943</v>
      </c>
      <c r="AL206" s="21" t="s">
        <v>944</v>
      </c>
      <c r="AM206" s="21" t="s">
        <v>945</v>
      </c>
      <c r="AN206" s="21" t="s">
        <v>946</v>
      </c>
      <c r="AO206" s="21" t="s">
        <v>947</v>
      </c>
      <c r="AP206" s="21" t="s">
        <v>948</v>
      </c>
      <c r="AQ206" s="21" t="s">
        <v>949</v>
      </c>
      <c r="AR206" s="21" t="s">
        <v>950</v>
      </c>
      <c r="AS206" s="21" t="s">
        <v>951</v>
      </c>
      <c r="AT206" s="21" t="s">
        <v>952</v>
      </c>
      <c r="AU206" s="21" t="s">
        <v>953</v>
      </c>
      <c r="AV206" s="21" t="s">
        <v>954</v>
      </c>
      <c r="AW206" s="21" t="s">
        <v>955</v>
      </c>
      <c r="AX206" s="21" t="s">
        <v>956</v>
      </c>
      <c r="AY206" s="21" t="s">
        <v>957</v>
      </c>
      <c r="AZ206" s="21" t="s">
        <v>958</v>
      </c>
      <c r="BA206" s="21" t="s">
        <v>959</v>
      </c>
      <c r="BB206" s="21" t="s">
        <v>960</v>
      </c>
      <c r="BC206" s="21" t="s">
        <v>614</v>
      </c>
      <c r="BD206" s="21" t="s">
        <v>961</v>
      </c>
      <c r="BE206" s="21" t="s">
        <v>962</v>
      </c>
      <c r="BF206" s="21" t="s">
        <v>963</v>
      </c>
      <c r="BG206" s="21" t="s">
        <v>964</v>
      </c>
      <c r="BI206" s="21" t="s">
        <v>599</v>
      </c>
      <c r="BJ206" s="21" t="s">
        <v>960</v>
      </c>
      <c r="BK206" s="21" t="s">
        <v>614</v>
      </c>
      <c r="BL206" s="21" t="s">
        <v>965</v>
      </c>
      <c r="BM206" s="21" t="s">
        <v>966</v>
      </c>
      <c r="BN206" s="21" t="s">
        <v>967</v>
      </c>
      <c r="BO206" s="21" t="s">
        <v>968</v>
      </c>
      <c r="BP206" s="21" t="s">
        <v>969</v>
      </c>
      <c r="BQ206" s="21" t="s">
        <v>622</v>
      </c>
      <c r="BR206" s="21" t="s">
        <v>623</v>
      </c>
      <c r="BT206" s="21" t="s">
        <v>805</v>
      </c>
      <c r="BU206" s="21" t="s">
        <v>970</v>
      </c>
      <c r="BV206" s="21" t="s">
        <v>971</v>
      </c>
      <c r="CC206" s="21" t="s">
        <v>972</v>
      </c>
      <c r="CD206" s="21" t="s">
        <v>363</v>
      </c>
    </row>
    <row r="207" customFormat="false" ht="15" hidden="false" customHeight="true" outlineLevel="0" collapsed="false">
      <c r="A207" s="10" t="s">
        <v>496</v>
      </c>
      <c r="B207" s="35" t="n">
        <f aca="false">AY167</f>
        <v>136.757052678189</v>
      </c>
      <c r="C207" s="39" t="n">
        <f aca="false">AZ167</f>
        <v>0.0579926268046499</v>
      </c>
      <c r="D207" s="44" t="n">
        <f aca="false">IF(C207&lt;Inputs_Banks!$I6,1,0)</f>
        <v>1</v>
      </c>
      <c r="E207" s="44" t="n">
        <f aca="false">IF(C207&lt;0.045,1,0)</f>
        <v>0</v>
      </c>
      <c r="F207" s="44" t="n">
        <f aca="false">IF(B207&lt;0,1,0)</f>
        <v>0</v>
      </c>
      <c r="G207" s="44" t="n">
        <f aca="false">MIN(6,MIN(3,INT(MAX(0,Inputs_Banks!$BA6-C207)/p_notch_step))+D207+2*E207)</f>
        <v>4</v>
      </c>
      <c r="H207" s="39" t="n">
        <f aca="false">C207-Inputs_Banks!$I6</f>
        <v>-0.0570073731953502</v>
      </c>
      <c r="I207" s="44" t="n">
        <f aca="false">RANK(H207,$H$207:$H$230,1)</f>
        <v>12</v>
      </c>
      <c r="J207" s="44" t="n">
        <f aca="false">MAX(IF(I207&lt;=g_n_weak,1,0),E207)</f>
        <v>0</v>
      </c>
      <c r="K207" s="44" t="n">
        <f aca="false">IF(I207&gt;12,1,0)*(1-E207)</f>
        <v>0</v>
      </c>
      <c r="L207" s="35" t="n">
        <f aca="false">INDEX(Inputs_Banks!$AR6:$AX6,1,G207+1)</f>
        <v>0.918</v>
      </c>
      <c r="M207" s="35" t="n">
        <f aca="false">Inputs_Banks!$AI6*MIN(1,p_u_base+$CD$210*p_u_pan_all+J207*($CD$210*p_u_pan_weak+p_u_mda*D207)+p_u_notch*G207+p_u_fail*E207)</f>
        <v>540.609</v>
      </c>
      <c r="N207" s="35" t="n">
        <f aca="false">Inputs_Banks!$AK6*MIN(1,p_w_base+p_w_pan*$CD$210+p_w_notch*G207+0.5*D207+1*E207)</f>
        <v>30.166</v>
      </c>
      <c r="O207" s="35" t="n">
        <f aca="false">Inputs_Banks!$AO6*MIN(1,p_cp_base+p_cp_pan*$CD$210+p_cp_notch*G207)</f>
        <v>5.45</v>
      </c>
      <c r="P207" s="35" t="n">
        <f aca="false">Inputs_Banks!$AN6*(p_dh+p_dh_pan*$CD$210+MIN(1,0.5*$CD$217+0.25*G207))</f>
        <v>244.593789910108</v>
      </c>
      <c r="Q207" s="35" t="n">
        <f aca="false">Modules!$Y6</f>
        <v>45.160097</v>
      </c>
      <c r="R207" s="35" t="n">
        <f aca="false">Inputs_Banks!$AJ6*K207</f>
        <v>0</v>
      </c>
      <c r="S207" s="35" t="n">
        <f aca="false">p_liq_on*$CD$218*SUM($M$207:$M$230)*R207/MAX(0.000000001,SUM($R$207:$R$230))</f>
        <v>0</v>
      </c>
      <c r="T207" s="35" t="n">
        <f aca="false">p_liq_on*(L207+M207+N207+O207+P207+Q207)</f>
        <v>866.896886910109</v>
      </c>
      <c r="U207" s="35" t="n">
        <f aca="false">g_usable*Inputs_Banks!$AG6+p_cb_on*Inputs_Banks!$AQ6+S207</f>
        <v>1057.6002</v>
      </c>
      <c r="V207" s="35" t="n">
        <f aca="false">MAX(0,T207-U207)</f>
        <v>0</v>
      </c>
      <c r="W207" s="44" t="n">
        <f aca="false">IF(V207&gt;0.9*Inputs_Banks!$BB6,1,0)</f>
        <v>0</v>
      </c>
      <c r="X207" s="43" t="n">
        <f aca="false">MAX(p_htm_forced,(1-p_cb_on)*MIN(1,T207/Inputs_Banks!$AG6)*g_theta_sell)</f>
        <v>0.22218736464953</v>
      </c>
      <c r="Y207" s="35" t="n">
        <f aca="false">MAX(0,Modules!$V6-B207/(Inputs_Banks!$I6+g_del_buf))</f>
        <v>1218.53789434842</v>
      </c>
      <c r="Z207" s="35" t="n">
        <f aca="false">MIN(g_del_cap*Inputs_Banks!$BB6,Y207)</f>
        <v>120.0675</v>
      </c>
      <c r="AA207" s="35" t="n">
        <f aca="false">MIN(Inputs_Banks!$BB6,V207+Z207)</f>
        <v>120.0675</v>
      </c>
      <c r="AB207" s="35" t="n">
        <f aca="false">$AA207*Holdings!Q6</f>
        <v>0</v>
      </c>
      <c r="AC207" s="35" t="n">
        <f aca="false">$AA207*Holdings!R6</f>
        <v>0</v>
      </c>
      <c r="AD207" s="35" t="n">
        <f aca="false">$AA207*Holdings!S6</f>
        <v>0</v>
      </c>
      <c r="AE207" s="35" t="n">
        <f aca="false">$AA207*Holdings!T6</f>
        <v>8.5</v>
      </c>
      <c r="AF207" s="35" t="n">
        <f aca="false">$AA207*Holdings!U6</f>
        <v>13.89</v>
      </c>
      <c r="AG207" s="35" t="n">
        <f aca="false">$AA207*Holdings!V6</f>
        <v>0</v>
      </c>
      <c r="AH207" s="35" t="n">
        <f aca="false">$AA207*Holdings!W6</f>
        <v>3.56</v>
      </c>
      <c r="AI207" s="35" t="n">
        <f aca="false">$AA207*Holdings!X6</f>
        <v>11.0075</v>
      </c>
      <c r="AJ207" s="35" t="n">
        <f aca="false">$AA207*Holdings!Y6</f>
        <v>8.495</v>
      </c>
      <c r="AK207" s="35" t="n">
        <f aca="false">$AA207*Holdings!Z6</f>
        <v>0</v>
      </c>
      <c r="AL207" s="35" t="n">
        <f aca="false">$AA207*Holdings!AA6</f>
        <v>66.7675</v>
      </c>
      <c r="AM207" s="35" t="n">
        <f aca="false">$AA207*Holdings!AB6</f>
        <v>0</v>
      </c>
      <c r="AN207" s="35" t="n">
        <f aca="false">$AA207*Holdings!AC6</f>
        <v>7.8475</v>
      </c>
      <c r="AO207" s="43" t="n">
        <f aca="false">MIN(1,$CD$217+0.5*G207)</f>
        <v>1</v>
      </c>
      <c r="AP207" s="35" t="n">
        <f aca="false">p_liq_on*Inputs_Banks!$AP6*AO207*p_mb_psi</f>
        <v>20.688</v>
      </c>
      <c r="AQ207" s="44" t="n">
        <f aca="false">MAX(F207,E207,W207*(1-p_cb_on))</f>
        <v>0</v>
      </c>
      <c r="AR207" s="35" t="n">
        <f aca="false">p_ib_on*p_lgd_ib*g_s_in*g_u_ib*SUMPRODUCT(Network!C$6:C$29,$AQ$207:$AQ$230)</f>
        <v>18.7554113051636</v>
      </c>
      <c r="AS207" s="35" t="n">
        <f aca="false">p_sw_M1*(SUMPRODUCT(BDC_EAD!C$106:C$127,$BF$207:$BF$228)+SUMPRODUCT(BDC_EAD!C$131:C$152,$BG$207:$BG$228)+(Inputs_Banks!$Y6+p_ccf_bl*Inputs_Banks!$Z6)*$CD$230+Modules!$E6)</f>
        <v>58.8832880051148</v>
      </c>
      <c r="AT207" s="35" t="n">
        <f aca="false">p_sw_M3*(Inputs_Banks!$U6+p_ccf_abf*Inputs_Banks!$V6)*$CD$231</f>
        <v>0</v>
      </c>
      <c r="AU207" s="35" t="n">
        <f aca="false">p_sw_M10*Inputs_Banks!$AC6*$CD$232</f>
        <v>0</v>
      </c>
      <c r="AV207" s="35" t="n">
        <f aca="false">p_sw_M8*(Modules!$M6+Modules!$N6*IF(p_liq_on&gt;0,X207,p_htm_forced))</f>
        <v>21.0161031237091</v>
      </c>
      <c r="AW207" s="35" t="n">
        <f aca="false">SUMPRODUCT(Holdings!$C6:$O6,Holdings!$C$32:$O$32,$AB$232:$AN$232)+Inputs_Banks!$P6*$AL$232</f>
        <v>27.990754998401</v>
      </c>
      <c r="AX207" s="35" t="n">
        <f aca="false">Modules!$T6+AS207+AT207+AU207+AV207+AW207+AR207</f>
        <v>167.342947321811</v>
      </c>
      <c r="AY207" s="35" t="n">
        <f aca="false">Modules!$U6-(1-p_tax)*AX207</f>
        <v>136.757052678189</v>
      </c>
      <c r="AZ207" s="39" t="n">
        <f aca="false">AY207/Modules!$V6</f>
        <v>0.0579926268046499</v>
      </c>
      <c r="BA207" s="48" t="s">
        <v>634</v>
      </c>
      <c r="BB207" s="43" t="n">
        <f aca="false">INDEX($BJ$207:$BJ$240,BDC_EAD!$B6)</f>
        <v>0.428174862214715</v>
      </c>
      <c r="BC207" s="43" t="n">
        <f aca="false">INDEX($BK$207:$BK$240,BDC_EAD!$B6)</f>
        <v>0.0650596052820627</v>
      </c>
      <c r="BD207" s="22" t="n">
        <f aca="false">INDEX(BDC!$Q$6:$Q$39,BDC_EAD!$B6)</f>
        <v>0.243786096256685</v>
      </c>
      <c r="BE207" s="43" t="n">
        <f aca="false">BB207*(1-$AK$232)-BC207-p_c_liq</f>
        <v>0.12043656893603</v>
      </c>
      <c r="BF207" s="43" t="n">
        <f aca="false">p_phi*MAX(0,p_a_spv-BE207)/p_a_spv+(1-p_phi)*MAX(0,p_a_spv-BB207)/p_a_spv</f>
        <v>0.740022532011761</v>
      </c>
      <c r="BG207" s="43" t="n">
        <f aca="false">IF(BD207&gt;0,p_phi*MAX(0,BD207-BE207)/BD207+(1-p_phi)*MAX(0,BD207-BB207)/BD207,0)</f>
        <v>0.404779531612922</v>
      </c>
      <c r="BI207" s="12" t="str">
        <f aca="false">BDC!$A$6</f>
        <v>BCRED</v>
      </c>
      <c r="BJ207" s="43" t="n">
        <f aca="false">1-((1-BDC!$D$6)*$CD$223+BDC!$D$6*$CD$224)-p_gap-$CD$213*(1-BDC!$M$6)</f>
        <v>0.394270722625258</v>
      </c>
      <c r="BK207" s="43" t="n">
        <f aca="false">(1-BDC!$D$6)*$CD$225+BDC!$D$6*$CD$226</f>
        <v>0.0594332970306441</v>
      </c>
      <c r="BL207" s="45" t="n">
        <f aca="false">BJ207/BDC!$K$6</f>
        <v>0.875088677046303</v>
      </c>
      <c r="BM207" s="35" t="n">
        <f aca="false">IF(BL207&lt;1.5,BDC!$C$6,0)</f>
        <v>77.65</v>
      </c>
      <c r="BN207" s="43" t="n">
        <f aca="false">MAX(0,1-BJ207*(1-CE_mig_hc)-p_bb_cush)*BDC!$Q$6</f>
        <v>0.162261545017265</v>
      </c>
      <c r="BO207" s="43" t="n">
        <f aca="false">MAX(0,BDC!$K$6-BJ207/1.5)</f>
        <v>0.187702302132612</v>
      </c>
      <c r="BP207" s="43" t="n">
        <f aca="false">MIN(MIN(1,BDC!$H$6*$CD$216),$CD$215)</f>
        <v>0.25</v>
      </c>
      <c r="BQ207" s="43" t="n">
        <f aca="false">BDC!$I$6*BDC!$J$6*BP207*(1-0.3)</f>
        <v>0.0961538461538462</v>
      </c>
      <c r="BR207" s="45" t="n">
        <f aca="false">BDC!$C$6*($CD$214*MAX(BN207,BO207)+BQ207)</f>
        <v>22.0414299144435</v>
      </c>
      <c r="BT207" s="10" t="s">
        <v>816</v>
      </c>
      <c r="BU207" s="43" t="n">
        <f aca="false">NORMSDIST((NORMSINV(CreditEngine!$D$6)-SQRT(g_rho)*$CD$211)/SQRT(1-g_rho))</f>
        <v>0.666274429098982</v>
      </c>
      <c r="BV207" s="43" t="n">
        <f aca="false">NORMSDIST((NORMSINV(MIN(0.999,CreditEngine!$D$6*p_m_sw))-SQRT(g_rho)*$CD$211)/SQRT(1-g_rho))</f>
        <v>0.838888284547613</v>
      </c>
      <c r="CC207" s="10" t="s">
        <v>973</v>
      </c>
      <c r="CD207" s="43" t="n">
        <f aca="false">$CD$193</f>
        <v>0.998189261533617</v>
      </c>
    </row>
    <row r="208" customFormat="false" ht="15" hidden="false" customHeight="true" outlineLevel="0" collapsed="false">
      <c r="A208" s="10" t="s">
        <v>499</v>
      </c>
      <c r="B208" s="35" t="n">
        <f aca="false">AY168</f>
        <v>53.0866430382107</v>
      </c>
      <c r="C208" s="39" t="n">
        <f aca="false">AZ168</f>
        <v>0.0269501064254917</v>
      </c>
      <c r="D208" s="44" t="n">
        <f aca="false">IF(C208&lt;Inputs_Banks!$I7,1,0)</f>
        <v>1</v>
      </c>
      <c r="E208" s="44" t="n">
        <f aca="false">IF(C208&lt;0.045,1,0)</f>
        <v>1</v>
      </c>
      <c r="F208" s="44" t="n">
        <f aca="false">IF(B208&lt;0,1,0)</f>
        <v>0</v>
      </c>
      <c r="G208" s="44" t="n">
        <f aca="false">MIN(6,MIN(3,INT(MAX(0,Inputs_Banks!$BA7-C208)/p_notch_step))+D208+2*E208)</f>
        <v>6</v>
      </c>
      <c r="H208" s="39" t="n">
        <f aca="false">C208-Inputs_Banks!$I7</f>
        <v>-0.0730498935745083</v>
      </c>
      <c r="I208" s="44" t="n">
        <f aca="false">RANK(H208,$H$207:$H$230,1)</f>
        <v>9</v>
      </c>
      <c r="J208" s="44" t="n">
        <f aca="false">MAX(IF(I208&lt;=g_n_weak,1,0),E208)</f>
        <v>1</v>
      </c>
      <c r="K208" s="44" t="n">
        <f aca="false">IF(I208&gt;12,1,0)*(1-E208)</f>
        <v>0</v>
      </c>
      <c r="L208" s="35" t="n">
        <f aca="false">INDEX(Inputs_Banks!$AR7:$AX7,1,G208+1)</f>
        <v>6.81</v>
      </c>
      <c r="M208" s="35" t="n">
        <f aca="false">Inputs_Banks!$AI7*MIN(1,p_u_base+$CD$210*p_u_pan_all+J208*($CD$210*p_u_pan_weak+p_u_mda*D208)+p_u_notch*G208+p_u_fail*E208)</f>
        <v>845.718</v>
      </c>
      <c r="N208" s="35" t="n">
        <f aca="false">Inputs_Banks!$AK7*MIN(1,p_w_base+p_w_pan*$CD$210+p_w_notch*G208+0.5*D208+1*E208)</f>
        <v>59.979</v>
      </c>
      <c r="O208" s="35" t="n">
        <f aca="false">Inputs_Banks!$AO7*MIN(1,p_cp_base+p_cp_pan*$CD$210+p_cp_notch*G208)</f>
        <v>27.98</v>
      </c>
      <c r="P208" s="35" t="n">
        <f aca="false">Inputs_Banks!$AN7*(p_dh+p_dh_pan*$CD$210+MIN(1,0.5*$CD$217+0.25*G208))</f>
        <v>74.3236122327501</v>
      </c>
      <c r="Q208" s="35" t="n">
        <f aca="false">Modules!$Y7</f>
        <v>25.5386092</v>
      </c>
      <c r="R208" s="35" t="n">
        <f aca="false">Inputs_Banks!$AJ7*K208</f>
        <v>0</v>
      </c>
      <c r="S208" s="35" t="n">
        <f aca="false">p_liq_on*$CD$218*SUM($M$207:$M$230)*R208/MAX(0.000000001,SUM($R$207:$R$230))</f>
        <v>0</v>
      </c>
      <c r="T208" s="35" t="n">
        <f aca="false">p_liq_on*(L208+M208+N208+O208+P208+Q208)</f>
        <v>1040.34922143275</v>
      </c>
      <c r="U208" s="35" t="n">
        <f aca="false">g_usable*Inputs_Banks!$AG7+p_cb_on*Inputs_Banks!$AQ7+S208</f>
        <v>759.9</v>
      </c>
      <c r="V208" s="35" t="n">
        <f aca="false">MAX(0,T208-U208)</f>
        <v>280.44922143275</v>
      </c>
      <c r="W208" s="44" t="n">
        <f aca="false">IF(V208&gt;0.9*Inputs_Banks!$BB7,1,0)</f>
        <v>1</v>
      </c>
      <c r="X208" s="43" t="n">
        <f aca="false">MAX(p_htm_forced,(1-p_cb_on)*MIN(1,T208/Inputs_Banks!$AG7)*g_theta_sell)</f>
        <v>0.25</v>
      </c>
      <c r="Y208" s="35" t="n">
        <f aca="false">MAX(0,Modules!$V7-B208/(Inputs_Banks!$I7+g_del_buf))</f>
        <v>1464.22492344561</v>
      </c>
      <c r="Z208" s="35" t="n">
        <f aca="false">MIN(g_del_cap*Inputs_Banks!$BB7,Y208)</f>
        <v>52.7625</v>
      </c>
      <c r="AA208" s="35" t="n">
        <f aca="false">MIN(Inputs_Banks!$BB7,V208+Z208)</f>
        <v>211.05</v>
      </c>
      <c r="AB208" s="35" t="n">
        <f aca="false">$AA208*Holdings!Q7</f>
        <v>0</v>
      </c>
      <c r="AC208" s="35" t="n">
        <f aca="false">$AA208*Holdings!R7</f>
        <v>0</v>
      </c>
      <c r="AD208" s="35" t="n">
        <f aca="false">$AA208*Holdings!S7</f>
        <v>0</v>
      </c>
      <c r="AE208" s="35" t="n">
        <f aca="false">$AA208*Holdings!T7</f>
        <v>14.32</v>
      </c>
      <c r="AF208" s="35" t="n">
        <f aca="false">$AA208*Holdings!U7</f>
        <v>45.65</v>
      </c>
      <c r="AG208" s="35" t="n">
        <f aca="false">$AA208*Holdings!V7</f>
        <v>0</v>
      </c>
      <c r="AH208" s="35" t="n">
        <f aca="false">$AA208*Holdings!W7</f>
        <v>6.9</v>
      </c>
      <c r="AI208" s="35" t="n">
        <f aca="false">$AA208*Holdings!X7</f>
        <v>8.75</v>
      </c>
      <c r="AJ208" s="35" t="n">
        <f aca="false">$AA208*Holdings!Y7</f>
        <v>14.76</v>
      </c>
      <c r="AK208" s="35" t="n">
        <f aca="false">$AA208*Holdings!Z7</f>
        <v>0</v>
      </c>
      <c r="AL208" s="35" t="n">
        <f aca="false">$AA208*Holdings!AA7</f>
        <v>120.67</v>
      </c>
      <c r="AM208" s="35" t="n">
        <f aca="false">$AA208*Holdings!AB7</f>
        <v>0</v>
      </c>
      <c r="AN208" s="35" t="n">
        <f aca="false">$AA208*Holdings!AC7</f>
        <v>0</v>
      </c>
      <c r="AO208" s="43" t="n">
        <f aca="false">MIN(1,$CD$217+0.5*G208)</f>
        <v>1</v>
      </c>
      <c r="AP208" s="35" t="n">
        <f aca="false">p_liq_on*Inputs_Banks!$AP7*AO208*p_mb_psi</f>
        <v>4.722</v>
      </c>
      <c r="AQ208" s="44" t="n">
        <f aca="false">MAX(F208,E208,W208*(1-p_cb_on))</f>
        <v>1</v>
      </c>
      <c r="AR208" s="35" t="n">
        <f aca="false">p_ib_on*p_lgd_ib*g_s_in*g_u_ib*SUMPRODUCT(Network!D$6:D$29,$AQ$207:$AQ$230)</f>
        <v>9.82416957801496</v>
      </c>
      <c r="AS208" s="35" t="n">
        <f aca="false">p_sw_M1*(SUMPRODUCT(BDC_EAD!D$106:D$127,$BF$207:$BF$228)+SUMPRODUCT(BDC_EAD!D$131:D$152,$BG$207:$BG$228)+(Inputs_Banks!$Y7+p_ccf_bl*Inputs_Banks!$Z7)*$CD$230+Modules!$E7)</f>
        <v>27.9111227157586</v>
      </c>
      <c r="AT208" s="35" t="n">
        <f aca="false">p_sw_M3*(Inputs_Banks!$U7+p_ccf_abf*Inputs_Banks!$V7)*$CD$231</f>
        <v>0</v>
      </c>
      <c r="AU208" s="35" t="n">
        <f aca="false">p_sw_M10*Inputs_Banks!$AC7*$CD$232</f>
        <v>39.156499434932</v>
      </c>
      <c r="AV208" s="35" t="n">
        <f aca="false">p_sw_M8*(Modules!$M7+Modules!$N7*IF(p_liq_on&gt;0,X208,p_htm_forced))</f>
        <v>36.823985</v>
      </c>
      <c r="AW208" s="35" t="n">
        <f aca="false">SUMPRODUCT(Holdings!$C7:$O7,Holdings!$C$32:$O$32,$AB$232:$AN$232)+Inputs_Banks!$P7*$AL$232</f>
        <v>11.4775672079968</v>
      </c>
      <c r="AX208" s="35" t="n">
        <f aca="false">Modules!$T7+AS208+AT208+AU208+AV208+AW208+AR208</f>
        <v>145.313356961789</v>
      </c>
      <c r="AY208" s="35" t="n">
        <f aca="false">Modules!$U7-(1-p_tax)*AX208</f>
        <v>53.0866430382107</v>
      </c>
      <c r="AZ208" s="39" t="n">
        <f aca="false">AY208/Modules!$V7</f>
        <v>0.0269501064254917</v>
      </c>
      <c r="BA208" s="48" t="s">
        <v>632</v>
      </c>
      <c r="BB208" s="43" t="n">
        <f aca="false">INDEX($BJ$207:$BJ$240,BDC_EAD!$B7)</f>
        <v>0.493705250996006</v>
      </c>
      <c r="BC208" s="43" t="n">
        <f aca="false">INDEX($BK$207:$BK$240,BDC_EAD!$B7)</f>
        <v>0.0608491891733852</v>
      </c>
      <c r="BD208" s="22" t="n">
        <f aca="false">INDEX(BDC!$Q$6:$Q$39,BDC_EAD!$B7)</f>
        <v>0.193373831775701</v>
      </c>
      <c r="BE208" s="43" t="n">
        <f aca="false">BB208*(1-$AK$232)-BC208-p_c_liq</f>
        <v>0.160688698874418</v>
      </c>
      <c r="BF208" s="43" t="n">
        <f aca="false">p_phi*MAX(0,p_a_spv-BE208)/p_a_spv+(1-p_phi)*MAX(0,p_a_spv-BB208)/p_a_spv</f>
        <v>0.675297129573235</v>
      </c>
      <c r="BG208" s="43" t="n">
        <f aca="false">IF(BD208&gt;0,p_phi*MAX(0,BD208-BE208)/BD208+(1-p_phi)*MAX(0,BD208-BB208)/BD208,0)</f>
        <v>0.135220500524373</v>
      </c>
      <c r="BI208" s="12" t="str">
        <f aca="false">BDC!$A$7</f>
        <v>OCIC</v>
      </c>
      <c r="BJ208" s="43" t="n">
        <f aca="false">1-((1-BDC!$D$7)*$CD$223+BDC!$D$7*$CD$224)-p_gap-$CD$213*(1-BDC!$M$7)</f>
        <v>0.421663471167733</v>
      </c>
      <c r="BK208" s="43" t="n">
        <f aca="false">(1-BDC!$D$7)*$CD$225+BDC!$D$7*$CD$226</f>
        <v>0.063979056015234</v>
      </c>
      <c r="BL208" s="45" t="n">
        <f aca="false">BJ208/BDC!$K$7</f>
        <v>0.885029923000406</v>
      </c>
      <c r="BM208" s="35" t="n">
        <f aca="false">IF(BL208&lt;1.5,BDC!$C$7,0)</f>
        <v>35.69</v>
      </c>
      <c r="BN208" s="43" t="n">
        <f aca="false">MAX(0,1-BJ208*(1-CE_mig_hc)-p_bb_cush)*BDC!$Q$7</f>
        <v>0.166158381580711</v>
      </c>
      <c r="BO208" s="43" t="n">
        <f aca="false">MAX(0,BDC!$K$7-BJ208/1.5)</f>
        <v>0.195330809797428</v>
      </c>
      <c r="BP208" s="43" t="n">
        <f aca="false">MIN(MIN(1,BDC!$H$7*$CD$216),$CD$215)</f>
        <v>0.25</v>
      </c>
      <c r="BQ208" s="43" t="n">
        <f aca="false">BDC!$I$7*BDC!$J$7*BP208*(1-0.3)</f>
        <v>0.0916230366492147</v>
      </c>
      <c r="BR208" s="45" t="n">
        <f aca="false">BDC!$C$7*($CD$214*MAX(BN208,BO208)+BQ208)</f>
        <v>10.2413827796807</v>
      </c>
      <c r="BT208" s="10" t="s">
        <v>817</v>
      </c>
      <c r="BU208" s="43" t="n">
        <f aca="false">NORMSDIST((NORMSINV(CreditEngine!$D$7)-SQRT(g_rho)*$CD$211)/SQRT(1-g_rho))</f>
        <v>0.694145194913595</v>
      </c>
      <c r="BV208" s="43" t="n">
        <f aca="false">NORMSDIST((NORMSINV(MIN(0.999,CreditEngine!$D$7*p_m_sw))-SQRT(g_rho)*$CD$211)/SQRT(1-g_rho))</f>
        <v>0.863150017491553</v>
      </c>
      <c r="CC208" s="10" t="s">
        <v>974</v>
      </c>
      <c r="CD208" s="43" t="n">
        <f aca="false">$AK$192</f>
        <v>0.45</v>
      </c>
    </row>
    <row r="209" customFormat="false" ht="15" hidden="false" customHeight="true" outlineLevel="0" collapsed="false">
      <c r="A209" s="10" t="s">
        <v>501</v>
      </c>
      <c r="B209" s="35" t="n">
        <f aca="false">AY169</f>
        <v>53.5304669527118</v>
      </c>
      <c r="C209" s="39" t="n">
        <f aca="false">AZ169</f>
        <v>0.0402347976121738</v>
      </c>
      <c r="D209" s="44" t="n">
        <f aca="false">IF(C209&lt;Inputs_Banks!$I8,1,0)</f>
        <v>1</v>
      </c>
      <c r="E209" s="44" t="n">
        <f aca="false">IF(C209&lt;0.045,1,0)</f>
        <v>1</v>
      </c>
      <c r="F209" s="44" t="n">
        <f aca="false">IF(B209&lt;0,1,0)</f>
        <v>0</v>
      </c>
      <c r="G209" s="44" t="n">
        <f aca="false">MIN(6,MIN(3,INT(MAX(0,Inputs_Banks!$BA8-C209)/p_notch_step))+D209+2*E209)</f>
        <v>6</v>
      </c>
      <c r="H209" s="39" t="n">
        <f aca="false">C209-Inputs_Banks!$I8</f>
        <v>-0.0757652023878262</v>
      </c>
      <c r="I209" s="44" t="n">
        <f aca="false">RANK(H209,$H$207:$H$230,1)</f>
        <v>8</v>
      </c>
      <c r="J209" s="44" t="n">
        <f aca="false">MAX(IF(I209&lt;=g_n_weak,1,0),E209)</f>
        <v>1</v>
      </c>
      <c r="K209" s="44" t="n">
        <f aca="false">IF(I209&gt;12,1,0)*(1-E209)</f>
        <v>0</v>
      </c>
      <c r="L209" s="35" t="n">
        <f aca="false">INDEX(Inputs_Banks!$AR8:$AX8,1,G209+1)</f>
        <v>1.5</v>
      </c>
      <c r="M209" s="35" t="n">
        <f aca="false">Inputs_Banks!$AI8*MIN(1,p_u_base+$CD$210*p_u_pan_all+J209*($CD$210*p_u_pan_weak+p_u_mda*D209)+p_u_notch*G209+p_u_fail*E209)</f>
        <v>695.13</v>
      </c>
      <c r="N209" s="35" t="n">
        <f aca="false">Inputs_Banks!$AK8*MIN(1,p_w_base+p_w_pan*$CD$210+p_w_notch*G209+0.5*D209+1*E209)</f>
        <v>60.978</v>
      </c>
      <c r="O209" s="35" t="n">
        <f aca="false">Inputs_Banks!$AO8*MIN(1,p_cp_base+p_cp_pan*$CD$210+p_cp_notch*G209)</f>
        <v>3.89</v>
      </c>
      <c r="P209" s="35" t="n">
        <f aca="false">Inputs_Banks!$AN8*(p_dh+p_dh_pan*$CD$210+MIN(1,0.5*$CD$217+0.25*G209))</f>
        <v>103.70988533276</v>
      </c>
      <c r="Q209" s="35" t="n">
        <f aca="false">Modules!$Y8</f>
        <v>24.8867432</v>
      </c>
      <c r="R209" s="35" t="n">
        <f aca="false">Inputs_Banks!$AJ8*K209</f>
        <v>0</v>
      </c>
      <c r="S209" s="35" t="n">
        <f aca="false">p_liq_on*$CD$218*SUM($M$207:$M$230)*R209/MAX(0.000000001,SUM($R$207:$R$230))</f>
        <v>0</v>
      </c>
      <c r="T209" s="35" t="n">
        <f aca="false">p_liq_on*(L209+M209+N209+O209+P209+Q209)</f>
        <v>890.09462853276</v>
      </c>
      <c r="U209" s="35" t="n">
        <f aca="false">g_usable*Inputs_Banks!$AG8+p_cb_on*Inputs_Banks!$AQ8+S209</f>
        <v>626.52</v>
      </c>
      <c r="V209" s="35" t="n">
        <f aca="false">MAX(0,T209-U209)</f>
        <v>263.57462853276</v>
      </c>
      <c r="W209" s="44" t="n">
        <f aca="false">IF(V209&gt;0.9*Inputs_Banks!$BB8,1,0)</f>
        <v>1</v>
      </c>
      <c r="X209" s="43" t="n">
        <f aca="false">MAX(p_htm_forced,(1-p_cb_on)*MIN(1,T209/Inputs_Banks!$AG8)*g_theta_sell)</f>
        <v>0.25</v>
      </c>
      <c r="Y209" s="35" t="n">
        <f aca="false">MAX(0,Modules!$V8-B209/(Inputs_Banks!$I8+g_del_buf))</f>
        <v>888.051446671803</v>
      </c>
      <c r="Z209" s="35" t="n">
        <f aca="false">MIN(g_del_cap*Inputs_Banks!$BB8,Y209)</f>
        <v>49.625</v>
      </c>
      <c r="AA209" s="35" t="n">
        <f aca="false">MIN(Inputs_Banks!$BB8,V209+Z209)</f>
        <v>198.5</v>
      </c>
      <c r="AB209" s="35" t="n">
        <f aca="false">$AA209*Holdings!Q8</f>
        <v>0</v>
      </c>
      <c r="AC209" s="35" t="n">
        <f aca="false">$AA209*Holdings!R8</f>
        <v>0</v>
      </c>
      <c r="AD209" s="35" t="n">
        <f aca="false">$AA209*Holdings!S8</f>
        <v>0</v>
      </c>
      <c r="AE209" s="35" t="n">
        <f aca="false">$AA209*Holdings!T8</f>
        <v>9.97</v>
      </c>
      <c r="AF209" s="35" t="n">
        <f aca="false">$AA209*Holdings!U8</f>
        <v>31.57</v>
      </c>
      <c r="AG209" s="35" t="n">
        <f aca="false">$AA209*Holdings!V8</f>
        <v>0</v>
      </c>
      <c r="AH209" s="35" t="n">
        <f aca="false">$AA209*Holdings!W8</f>
        <v>1.45</v>
      </c>
      <c r="AI209" s="35" t="n">
        <f aca="false">$AA209*Holdings!X8</f>
        <v>18.23</v>
      </c>
      <c r="AJ209" s="35" t="n">
        <f aca="false">$AA209*Holdings!Y8</f>
        <v>8.48</v>
      </c>
      <c r="AK209" s="35" t="n">
        <f aca="false">$AA209*Holdings!Z8</f>
        <v>0</v>
      </c>
      <c r="AL209" s="35" t="n">
        <f aca="false">$AA209*Holdings!AA8</f>
        <v>97.93</v>
      </c>
      <c r="AM209" s="35" t="n">
        <f aca="false">$AA209*Holdings!AB8</f>
        <v>0</v>
      </c>
      <c r="AN209" s="35" t="n">
        <f aca="false">$AA209*Holdings!AC8</f>
        <v>30.87</v>
      </c>
      <c r="AO209" s="43" t="n">
        <f aca="false">MIN(1,$CD$217+0.5*G209)</f>
        <v>1</v>
      </c>
      <c r="AP209" s="35" t="n">
        <f aca="false">p_liq_on*Inputs_Banks!$AP8*AO209*p_mb_psi</f>
        <v>10.488</v>
      </c>
      <c r="AQ209" s="44" t="n">
        <f aca="false">MAX(F209,E209,W209*(1-p_cb_on))</f>
        <v>1</v>
      </c>
      <c r="AR209" s="35" t="n">
        <f aca="false">p_ib_on*p_lgd_ib*g_s_in*g_u_ib*SUMPRODUCT(Network!E$6:E$29,$AQ$207:$AQ$230)</f>
        <v>8.3290801802124</v>
      </c>
      <c r="AS209" s="35" t="n">
        <f aca="false">p_sw_M1*(SUMPRODUCT(BDC_EAD!E$106:E$127,$BF$207:$BF$228)+SUMPRODUCT(BDC_EAD!E$131:E$152,$BG$207:$BG$228)+(Inputs_Banks!$Y8+p_ccf_bl*Inputs_Banks!$Z8)*$CD$230+Modules!$E8)</f>
        <v>52.4702922221031</v>
      </c>
      <c r="AT209" s="35" t="n">
        <f aca="false">p_sw_M3*(Inputs_Banks!$U8+p_ccf_abf*Inputs_Banks!$V8)*$CD$231</f>
        <v>3.2824246005951</v>
      </c>
      <c r="AU209" s="35" t="n">
        <f aca="false">p_sw_M10*Inputs_Banks!$AC8*$CD$232</f>
        <v>0</v>
      </c>
      <c r="AV209" s="35" t="n">
        <f aca="false">p_sw_M8*(Modules!$M8+Modules!$N8*IF(p_liq_on&gt;0,X209,p_htm_forced))</f>
        <v>12.27977</v>
      </c>
      <c r="AW209" s="35" t="n">
        <f aca="false">SUMPRODUCT(Holdings!$C8:$O8,Holdings!$C$32:$O$32,$AB$232:$AN$232)+Inputs_Banks!$P8*$AL$232</f>
        <v>10.4393066837293</v>
      </c>
      <c r="AX209" s="35" t="n">
        <f aca="false">Modules!$T8+AS209+AT209+AU209+AV209+AW209+AR209</f>
        <v>103.869533047288</v>
      </c>
      <c r="AY209" s="35" t="n">
        <f aca="false">Modules!$U8-(1-p_tax)*AX209</f>
        <v>53.5304669527118</v>
      </c>
      <c r="AZ209" s="39" t="n">
        <f aca="false">AY209/Modules!$V8</f>
        <v>0.0402347976121738</v>
      </c>
      <c r="BA209" s="48" t="s">
        <v>636</v>
      </c>
      <c r="BB209" s="43" t="n">
        <f aca="false">INDEX($BJ$207:$BJ$240,BDC_EAD!$B8)</f>
        <v>0.404374605284367</v>
      </c>
      <c r="BC209" s="43" t="n">
        <f aca="false">INDEX($BK$207:$BK$240,BDC_EAD!$B8)</f>
        <v>0.0611100114102059</v>
      </c>
      <c r="BD209" s="22" t="n">
        <f aca="false">INDEX(BDC!$Q$6:$Q$39,BDC_EAD!$B8)</f>
        <v>0.270100917431193</v>
      </c>
      <c r="BE209" s="43" t="n">
        <f aca="false">BB209*(1-$AK$232)-BC209-p_c_liq</f>
        <v>0.111296021496196</v>
      </c>
      <c r="BF209" s="43" t="n">
        <f aca="false">p_phi*MAX(0,p_a_spv-BE209)/p_a_spv+(1-p_phi)*MAX(0,p_a_spv-BB209)/p_a_spv</f>
        <v>0.757268945351671</v>
      </c>
      <c r="BG209" s="43" t="n">
        <f aca="false">IF(BD209&gt;0,p_phi*MAX(0,BD209-BE209)/BD209+(1-p_phi)*MAX(0,BD209-BB209)/BD209,0)</f>
        <v>0.470357220391009</v>
      </c>
      <c r="BI209" s="12" t="str">
        <f aca="false">BDC!$A$8</f>
        <v>ARCC</v>
      </c>
      <c r="BJ209" s="43" t="n">
        <f aca="false">1-((1-BDC!$D$8)*$CD$223+BDC!$D$8*$CD$224)-p_gap-$CD$213*(1-BDC!$M$8)</f>
        <v>0.493705250996006</v>
      </c>
      <c r="BK209" s="43" t="n">
        <f aca="false">(1-BDC!$D$8)*$CD$225+BDC!$D$8*$CD$226</f>
        <v>0.0608491891733852</v>
      </c>
      <c r="BL209" s="45" t="n">
        <f aca="false">BJ209/BDC!$K$8</f>
        <v>0.92678003257145</v>
      </c>
      <c r="BM209" s="35" t="n">
        <f aca="false">IF(BL209&lt;1.5,BDC!$C$8,0)</f>
        <v>29.35</v>
      </c>
      <c r="BN209" s="43" t="n">
        <f aca="false">MAX(0,1-BJ209*(1-CE_mig_hc)-p_bb_cush)*BDC!$Q$8</f>
        <v>0.104092949218272</v>
      </c>
      <c r="BO209" s="43" t="n">
        <f aca="false">MAX(0,BDC!$K$8-BJ209/1.5)</f>
        <v>0.203573446376494</v>
      </c>
      <c r="BP209" s="43" t="n">
        <f aca="false">MIN(MIN(1,BDC!$H$8*$CD$216),$CD$215)</f>
        <v>0</v>
      </c>
      <c r="BQ209" s="43" t="n">
        <f aca="false">BDC!$I$8*BDC!$J$8*BP209*(1-0.3)</f>
        <v>0</v>
      </c>
      <c r="BR209" s="45" t="n">
        <f aca="false">BDC!$C$8*($CD$214*MAX(BN209,BO209)+BQ209)</f>
        <v>5.97488065115011</v>
      </c>
      <c r="BT209" s="10" t="s">
        <v>818</v>
      </c>
      <c r="BU209" s="43" t="n">
        <f aca="false">NORMSDIST((NORMSINV(CreditEngine!$D$8)-SQRT(g_rho)*$CD$211)/SQRT(1-g_rho))</f>
        <v>0.778440947362696</v>
      </c>
      <c r="BV209" s="43" t="n">
        <f aca="false">NORMSDIST((NORMSINV(MIN(0.999,CreditEngine!$D$8*p_m_sw))-SQRT(g_rho)*$CD$211)/SQRT(1-g_rho))</f>
        <v>0.928422699706501</v>
      </c>
      <c r="CC209" s="10" t="s">
        <v>975</v>
      </c>
      <c r="CD209" s="45" t="n">
        <f aca="false">p_news0+g_w_cov*$CD$207+g_w_notch*SUMPRODUCT($G$207:$G$230,Inputs_Banks!$D$6:$D$29)/(3*SUM(Inputs_Banks!$D$6:$D$29))+g_w_mda*SUMPRODUCT($D$207:$D$230,Inputs_Banks!$D$6:$D$29)/SUM(Inputs_Banks!$D$6:$D$29)+g_w_def*MAX($BA$207:$BA$230)+g_w_fs*$CD$208/0.3</f>
        <v>4.13446088979863</v>
      </c>
    </row>
    <row r="210" customFormat="false" ht="15" hidden="false" customHeight="true" outlineLevel="0" collapsed="false">
      <c r="A210" s="10" t="s">
        <v>503</v>
      </c>
      <c r="B210" s="35" t="n">
        <f aca="false">AY170</f>
        <v>3.00090419934335</v>
      </c>
      <c r="C210" s="39" t="n">
        <f aca="false">AZ170</f>
        <v>0.00207390282086281</v>
      </c>
      <c r="D210" s="44" t="n">
        <f aca="false">IF(C210&lt;Inputs_Banks!$I9,1,0)</f>
        <v>1</v>
      </c>
      <c r="E210" s="44" t="n">
        <f aca="false">IF(C210&lt;0.045,1,0)</f>
        <v>1</v>
      </c>
      <c r="F210" s="44" t="n">
        <f aca="false">IF(B210&lt;0,1,0)</f>
        <v>0</v>
      </c>
      <c r="G210" s="44" t="n">
        <f aca="false">MIN(6,MIN(3,INT(MAX(0,Inputs_Banks!$BA9-C210)/p_notch_step))+D210+2*E210)</f>
        <v>6</v>
      </c>
      <c r="H210" s="39" t="n">
        <f aca="false">C210-Inputs_Banks!$I9</f>
        <v>-0.0829260971791372</v>
      </c>
      <c r="I210" s="44" t="n">
        <f aca="false">RANK(H210,$H$207:$H$230,1)</f>
        <v>7</v>
      </c>
      <c r="J210" s="44" t="n">
        <f aca="false">MAX(IF(I210&lt;=g_n_weak,1,0),E210)</f>
        <v>1</v>
      </c>
      <c r="K210" s="44" t="n">
        <f aca="false">IF(I210&gt;12,1,0)*(1-E210)</f>
        <v>0</v>
      </c>
      <c r="L210" s="35" t="n">
        <f aca="false">INDEX(Inputs_Banks!$AR9:$AX9,1,G210+1)</f>
        <v>4.1</v>
      </c>
      <c r="M210" s="35" t="n">
        <f aca="false">Inputs_Banks!$AI9*MIN(1,p_u_base+$CD$210*p_u_pan_all+J210*($CD$210*p_u_pan_weak+p_u_mda*D210)+p_u_notch*G210+p_u_fail*E210)</f>
        <v>739.028</v>
      </c>
      <c r="N210" s="35" t="n">
        <f aca="false">Inputs_Banks!$AK9*MIN(1,p_w_base+p_w_pan*$CD$210+p_w_notch*G210+0.5*D210+1*E210)</f>
        <v>25.168</v>
      </c>
      <c r="O210" s="35" t="n">
        <f aca="false">Inputs_Banks!$AO9*MIN(1,p_cp_base+p_cp_pan*$CD$210+p_cp_notch*G210)</f>
        <v>12.67</v>
      </c>
      <c r="P210" s="35" t="n">
        <f aca="false">Inputs_Banks!$AN9*(p_dh+p_dh_pan*$CD$210+MIN(1,0.5*$CD$217+0.25*G210))</f>
        <v>62.6368013541448</v>
      </c>
      <c r="Q210" s="35" t="n">
        <f aca="false">Modules!$Y9</f>
        <v>53.0660504</v>
      </c>
      <c r="R210" s="35" t="n">
        <f aca="false">Inputs_Banks!$AJ9*K210</f>
        <v>0</v>
      </c>
      <c r="S210" s="35" t="n">
        <f aca="false">p_liq_on*$CD$218*SUM($M$207:$M$230)*R210/MAX(0.000000001,SUM($R$207:$R$230))</f>
        <v>0</v>
      </c>
      <c r="T210" s="35" t="n">
        <f aca="false">p_liq_on*(L210+M210+N210+O210+P210+Q210)</f>
        <v>896.668851754145</v>
      </c>
      <c r="U210" s="35" t="n">
        <f aca="false">g_usable*Inputs_Banks!$AG9+p_cb_on*Inputs_Banks!$AQ9+S210</f>
        <v>570.088</v>
      </c>
      <c r="V210" s="35" t="n">
        <f aca="false">MAX(0,T210-U210)</f>
        <v>326.580851754145</v>
      </c>
      <c r="W210" s="44" t="n">
        <f aca="false">IF(V210&gt;0.9*Inputs_Banks!$BB9,1,0)</f>
        <v>1</v>
      </c>
      <c r="X210" s="43" t="n">
        <f aca="false">MAX(p_htm_forced,(1-p_cb_on)*MIN(1,T210/Inputs_Banks!$AG9)*g_theta_sell)</f>
        <v>0.25</v>
      </c>
      <c r="Y210" s="35" t="n">
        <f aca="false">MAX(0,Modules!$V9-B210/(Inputs_Banks!$I9+g_del_buf))</f>
        <v>1413.6406200073</v>
      </c>
      <c r="Z210" s="35" t="n">
        <f aca="false">MIN(g_del_cap*Inputs_Banks!$BB9,Y210)</f>
        <v>31.935</v>
      </c>
      <c r="AA210" s="35" t="n">
        <f aca="false">MIN(Inputs_Banks!$BB9,V210+Z210)</f>
        <v>127.74</v>
      </c>
      <c r="AB210" s="35" t="n">
        <f aca="false">$AA210*Holdings!Q9</f>
        <v>0</v>
      </c>
      <c r="AC210" s="35" t="n">
        <f aca="false">$AA210*Holdings!R9</f>
        <v>0</v>
      </c>
      <c r="AD210" s="35" t="n">
        <f aca="false">$AA210*Holdings!S9</f>
        <v>0</v>
      </c>
      <c r="AE210" s="35" t="n">
        <f aca="false">$AA210*Holdings!T9</f>
        <v>29.87</v>
      </c>
      <c r="AF210" s="35" t="n">
        <f aca="false">$AA210*Holdings!U9</f>
        <v>17.09</v>
      </c>
      <c r="AG210" s="35" t="n">
        <f aca="false">$AA210*Holdings!V9</f>
        <v>0</v>
      </c>
      <c r="AH210" s="35" t="n">
        <f aca="false">$AA210*Holdings!W9</f>
        <v>5.03</v>
      </c>
      <c r="AI210" s="35" t="n">
        <f aca="false">$AA210*Holdings!X9</f>
        <v>13.21</v>
      </c>
      <c r="AJ210" s="35" t="n">
        <f aca="false">$AA210*Holdings!Y9</f>
        <v>5.26</v>
      </c>
      <c r="AK210" s="35" t="n">
        <f aca="false">$AA210*Holdings!Z9</f>
        <v>0</v>
      </c>
      <c r="AL210" s="35" t="n">
        <f aca="false">$AA210*Holdings!AA9</f>
        <v>37.96</v>
      </c>
      <c r="AM210" s="35" t="n">
        <f aca="false">$AA210*Holdings!AB9</f>
        <v>0</v>
      </c>
      <c r="AN210" s="35" t="n">
        <f aca="false">$AA210*Holdings!AC9</f>
        <v>19.32</v>
      </c>
      <c r="AO210" s="43" t="n">
        <f aca="false">MIN(1,$CD$217+0.5*G210)</f>
        <v>1</v>
      </c>
      <c r="AP210" s="35" t="n">
        <f aca="false">p_liq_on*Inputs_Banks!$AP9*AO210*p_mb_psi</f>
        <v>10.32</v>
      </c>
      <c r="AQ210" s="44" t="n">
        <f aca="false">MAX(F210,E210,W210*(1-p_cb_on))</f>
        <v>1</v>
      </c>
      <c r="AR210" s="35" t="n">
        <f aca="false">p_ib_on*p_lgd_ib*g_s_in*g_u_ib*SUMPRODUCT(Network!F$6:F$29,$AQ$207:$AQ$230)</f>
        <v>8.47195325842872</v>
      </c>
      <c r="AS210" s="35" t="n">
        <f aca="false">p_sw_M1*(SUMPRODUCT(BDC_EAD!F$106:F$127,$BF$207:$BF$228)+SUMPRODUCT(BDC_EAD!F$131:F$152,$BG$207:$BG$228)+(Inputs_Banks!$Y9+p_ccf_bl*Inputs_Banks!$Z9)*$CD$230+Modules!$E9)</f>
        <v>79.5487236356887</v>
      </c>
      <c r="AT210" s="35" t="n">
        <f aca="false">p_sw_M3*(Inputs_Banks!$U9+p_ccf_abf*Inputs_Banks!$V9)*$CD$231</f>
        <v>0</v>
      </c>
      <c r="AU210" s="35" t="n">
        <f aca="false">p_sw_M10*Inputs_Banks!$AC9*$CD$232</f>
        <v>0</v>
      </c>
      <c r="AV210" s="35" t="n">
        <f aca="false">p_sw_M8*(Modules!$M9+Modules!$N9*IF(p_liq_on&gt;0,X210,p_htm_forced))</f>
        <v>17.338745</v>
      </c>
      <c r="AW210" s="35" t="n">
        <f aca="false">SUMPRODUCT(Holdings!$C9:$O9,Holdings!$C$32:$O$32,$AB$232:$AN$232)+Inputs_Banks!$P9*$AL$232</f>
        <v>8.69909283222242</v>
      </c>
      <c r="AX210" s="35" t="n">
        <f aca="false">Modules!$T9+AS210+AT210+AU210+AV210+AW210+AR210</f>
        <v>131.599095800657</v>
      </c>
      <c r="AY210" s="35" t="n">
        <f aca="false">Modules!$U9-(1-p_tax)*AX210</f>
        <v>3.00090419934335</v>
      </c>
      <c r="AZ210" s="39" t="n">
        <f aca="false">AY210/Modules!$V9</f>
        <v>0.00207390282086281</v>
      </c>
      <c r="BA210" s="48" t="s">
        <v>656</v>
      </c>
      <c r="BB210" s="43" t="n">
        <f aca="false">INDEX($BJ$207:$BJ$240,BDC_EAD!$B9)</f>
        <v>0.440484450675871</v>
      </c>
      <c r="BC210" s="43" t="n">
        <f aca="false">INDEX($BK$207:$BK$240,BDC_EAD!$B9)</f>
        <v>0.0655439894361584</v>
      </c>
      <c r="BD210" s="22" t="n">
        <f aca="false">INDEX(BDC!$Q$6:$Q$39,BDC_EAD!$B9)</f>
        <v>0.275784753363229</v>
      </c>
      <c r="BE210" s="43" t="n">
        <f aca="false">BB210*(1-$AK$232)-BC210-p_c_liq</f>
        <v>0.126722458435571</v>
      </c>
      <c r="BF210" s="43" t="n">
        <f aca="false">p_phi*MAX(0,p_a_spv-BE210)/p_a_spv+(1-p_phi)*MAX(0,p_a_spv-BB210)/p_a_spv</f>
        <v>0.729321633023385</v>
      </c>
      <c r="BG210" s="43" t="n">
        <f aca="false">IF(BD210&gt;0,p_phi*MAX(0,BD210-BE210)/BD210+(1-p_phi)*MAX(0,BD210-BB210)/BD210,0)</f>
        <v>0.432401844147873</v>
      </c>
      <c r="BI210" s="12" t="str">
        <f aca="false">BDC!$A$9</f>
        <v>ADS</v>
      </c>
      <c r="BJ210" s="43" t="n">
        <f aca="false">1-((1-BDC!$D$9)*$CD$223+BDC!$D$9*$CD$224)-p_gap-$CD$213*(1-BDC!$M$9)</f>
        <v>0.428174862214715</v>
      </c>
      <c r="BK210" s="43" t="n">
        <f aca="false">(1-BDC!$D$9)*$CD$225+BDC!$D$9*$CD$226</f>
        <v>0.0650596052820627</v>
      </c>
      <c r="BL210" s="45" t="n">
        <f aca="false">BJ210/BDC!$K$9</f>
        <v>0.920329876254616</v>
      </c>
      <c r="BM210" s="35" t="n">
        <f aca="false">IF(BL210&lt;1.5,BDC!$C$9,0)</f>
        <v>25.37</v>
      </c>
      <c r="BN210" s="43" t="n">
        <f aca="false">MAX(0,1-BJ210*(1-CE_mig_hc)-p_bb_cush)*BDC!$Q$9</f>
        <v>0.145198875281454</v>
      </c>
      <c r="BO210" s="43" t="n">
        <f aca="false">MAX(0,BDC!$K$9-BJ210/1.5)</f>
        <v>0.179790733568087</v>
      </c>
      <c r="BP210" s="43" t="n">
        <f aca="false">MIN(MIN(1,BDC!$H$9*$CD$216),$CD$215)</f>
        <v>0.25</v>
      </c>
      <c r="BQ210" s="43" t="n">
        <f aca="false">BDC!$I$9*BDC!$J$9*BP210*(1-0.3)</f>
        <v>0.0935828877005347</v>
      </c>
      <c r="BR210" s="45" t="n">
        <f aca="false">BDC!$C$9*($CD$214*MAX(BN210,BO210)+BQ210)</f>
        <v>6.93548877158493</v>
      </c>
      <c r="BT210" s="10" t="s">
        <v>819</v>
      </c>
      <c r="BU210" s="43" t="n">
        <f aca="false">NORMSDIST((NORMSINV(CreditEngine!$D$9)-SQRT(g_rho)*$CD$211)/SQRT(1-g_rho))</f>
        <v>0.94008092388034</v>
      </c>
      <c r="BV210" s="43" t="n">
        <f aca="false">NORMSDIST((NORMSINV(MIN(0.999,CreditEngine!$D$9*p_m_sw))-SQRT(g_rho)*$CD$211)/SQRT(1-g_rho))</f>
        <v>0.999738169883273</v>
      </c>
      <c r="CC210" s="7" t="s">
        <v>976</v>
      </c>
      <c r="CD210" s="49" t="n">
        <f aca="false">p_panic_on*(p_S0+(1-p_S0)*MAX(0,1/(1+EXP(-($CD$209-g_theta_news)/g_tau_news))-(1/(1+EXP(g_theta_news/g_tau_news))))/(1-(1/(1+EXP(g_theta_news/g_tau_news)))))</f>
        <v>1</v>
      </c>
    </row>
    <row r="211" customFormat="false" ht="15" hidden="false" customHeight="true" outlineLevel="0" collapsed="false">
      <c r="A211" s="10" t="s">
        <v>505</v>
      </c>
      <c r="B211" s="35" t="n">
        <f aca="false">AY171</f>
        <v>9.27861486547613</v>
      </c>
      <c r="C211" s="39" t="n">
        <f aca="false">AZ171</f>
        <v>0.0105156793887712</v>
      </c>
      <c r="D211" s="44" t="n">
        <f aca="false">IF(C211&lt;Inputs_Banks!$I10,1,0)</f>
        <v>1</v>
      </c>
      <c r="E211" s="44" t="n">
        <f aca="false">IF(C211&lt;0.045,1,0)</f>
        <v>1</v>
      </c>
      <c r="F211" s="44" t="n">
        <f aca="false">IF(B211&lt;0,1,0)</f>
        <v>0</v>
      </c>
      <c r="G211" s="44" t="n">
        <f aca="false">MIN(6,MIN(3,INT(MAX(0,Inputs_Banks!$BA10-C211)/p_notch_step))+D211+2*E211)</f>
        <v>6</v>
      </c>
      <c r="H211" s="39" t="n">
        <f aca="false">C211-Inputs_Banks!$I10</f>
        <v>-0.103484320611229</v>
      </c>
      <c r="I211" s="44" t="n">
        <f aca="false">RANK(H211,$H$207:$H$230,1)</f>
        <v>4</v>
      </c>
      <c r="J211" s="44" t="n">
        <f aca="false">MAX(IF(I211&lt;=g_n_weak,1,0),E211)</f>
        <v>1</v>
      </c>
      <c r="K211" s="44" t="n">
        <f aca="false">IF(I211&gt;12,1,0)*(1-E211)</f>
        <v>0</v>
      </c>
      <c r="L211" s="35" t="n">
        <f aca="false">INDEX(Inputs_Banks!$AR10:$AX10,1,G211+1)</f>
        <v>6.6675</v>
      </c>
      <c r="M211" s="35" t="n">
        <f aca="false">Inputs_Banks!$AI10*MIN(1,p_u_base+$CD$210*p_u_pan_all+J211*($CD$210*p_u_pan_weak+p_u_mda*D211)+p_u_notch*G211+p_u_fail*E211)</f>
        <v>201.16</v>
      </c>
      <c r="N211" s="35" t="n">
        <f aca="false">Inputs_Banks!$AK10*MIN(1,p_w_base+p_w_pan*$CD$210+p_w_notch*G211+0.5*D211+1*E211)</f>
        <v>55.681</v>
      </c>
      <c r="O211" s="35" t="n">
        <f aca="false">Inputs_Banks!$AO10*MIN(1,p_cp_base+p_cp_pan*$CD$210+p_cp_notch*G211)</f>
        <v>1.51</v>
      </c>
      <c r="P211" s="35" t="n">
        <f aca="false">Inputs_Banks!$AN10*(p_dh+p_dh_pan*$CD$210+MIN(1,0.5*$CD$217+0.25*G211))</f>
        <v>172.798154371499</v>
      </c>
      <c r="Q211" s="35" t="n">
        <f aca="false">Modules!$Y10</f>
        <v>24.4757226</v>
      </c>
      <c r="R211" s="35" t="n">
        <f aca="false">Inputs_Banks!$AJ10*K211</f>
        <v>0</v>
      </c>
      <c r="S211" s="35" t="n">
        <f aca="false">p_liq_on*$CD$218*SUM($M$207:$M$230)*R211/MAX(0.000000001,SUM($R$207:$R$230))</f>
        <v>0</v>
      </c>
      <c r="T211" s="35" t="n">
        <f aca="false">p_liq_on*(L211+M211+N211+O211+P211+Q211)</f>
        <v>462.292376971499</v>
      </c>
      <c r="U211" s="35" t="n">
        <f aca="false">g_usable*Inputs_Banks!$AG10+p_cb_on*Inputs_Banks!$AQ10+S211</f>
        <v>575.89165</v>
      </c>
      <c r="V211" s="35" t="n">
        <f aca="false">MAX(0,T211-U211)</f>
        <v>0</v>
      </c>
      <c r="W211" s="44" t="n">
        <f aca="false">IF(V211&gt;0.9*Inputs_Banks!$BB10,1,0)</f>
        <v>0</v>
      </c>
      <c r="X211" s="43" t="n">
        <f aca="false">MAX(p_htm_forced,(1-p_cb_on)*MIN(1,T211/Inputs_Banks!$AG10)*g_theta_sell)</f>
        <v>0.25</v>
      </c>
      <c r="Y211" s="35" t="n">
        <f aca="false">MAX(0,Modules!$V10-B211/(Inputs_Banks!$I10+g_del_buf))</f>
        <v>804.388446508604</v>
      </c>
      <c r="Z211" s="35" t="n">
        <f aca="false">MIN(g_del_cap*Inputs_Banks!$BB10,Y211)</f>
        <v>91.7425</v>
      </c>
      <c r="AA211" s="35" t="n">
        <f aca="false">MIN(Inputs_Banks!$BB10,V211+Z211)</f>
        <v>91.7425</v>
      </c>
      <c r="AB211" s="35" t="n">
        <f aca="false">$AA211*Holdings!Q10</f>
        <v>0</v>
      </c>
      <c r="AC211" s="35" t="n">
        <f aca="false">$AA211*Holdings!R10</f>
        <v>0</v>
      </c>
      <c r="AD211" s="35" t="n">
        <f aca="false">$AA211*Holdings!S10</f>
        <v>0</v>
      </c>
      <c r="AE211" s="35" t="n">
        <f aca="false">$AA211*Holdings!T10</f>
        <v>0.2225</v>
      </c>
      <c r="AF211" s="35" t="n">
        <f aca="false">$AA211*Holdings!U10</f>
        <v>16.98</v>
      </c>
      <c r="AG211" s="35" t="n">
        <f aca="false">$AA211*Holdings!V10</f>
        <v>0</v>
      </c>
      <c r="AH211" s="35" t="n">
        <f aca="false">$AA211*Holdings!W10</f>
        <v>5.9525</v>
      </c>
      <c r="AI211" s="35" t="n">
        <f aca="false">$AA211*Holdings!X10</f>
        <v>0</v>
      </c>
      <c r="AJ211" s="35" t="n">
        <f aca="false">$AA211*Holdings!Y10</f>
        <v>5.7675</v>
      </c>
      <c r="AK211" s="35" t="n">
        <f aca="false">$AA211*Holdings!Z10</f>
        <v>0</v>
      </c>
      <c r="AL211" s="35" t="n">
        <f aca="false">$AA211*Holdings!AA10</f>
        <v>61.7925</v>
      </c>
      <c r="AM211" s="35" t="n">
        <f aca="false">$AA211*Holdings!AB10</f>
        <v>0</v>
      </c>
      <c r="AN211" s="35" t="n">
        <f aca="false">$AA211*Holdings!AC10</f>
        <v>1.0275</v>
      </c>
      <c r="AO211" s="43" t="n">
        <f aca="false">MIN(1,$CD$217+0.5*G211)</f>
        <v>1</v>
      </c>
      <c r="AP211" s="35" t="n">
        <f aca="false">p_liq_on*Inputs_Banks!$AP10*AO211*p_mb_psi</f>
        <v>1.422</v>
      </c>
      <c r="AQ211" s="44" t="n">
        <f aca="false">MAX(F211,E211,W211*(1-p_cb_on))</f>
        <v>1</v>
      </c>
      <c r="AR211" s="35" t="n">
        <f aca="false">p_ib_on*p_lgd_ib*g_s_in*g_u_ib*SUMPRODUCT(Network!G$6:G$29,$AQ$207:$AQ$230)</f>
        <v>11.7962428802982</v>
      </c>
      <c r="AS211" s="35" t="n">
        <f aca="false">p_sw_M1*(SUMPRODUCT(BDC_EAD!G$106:G$127,$BF$207:$BF$228)+SUMPRODUCT(BDC_EAD!G$131:G$152,$BG$207:$BG$228)+(Inputs_Banks!$Y10+p_ccf_bl*Inputs_Banks!$Z10)*$CD$230+Modules!$E10)</f>
        <v>31.3129915781768</v>
      </c>
      <c r="AT211" s="35" t="n">
        <f aca="false">p_sw_M3*(Inputs_Banks!$U10+p_ccf_abf*Inputs_Banks!$V10)*$CD$231</f>
        <v>0</v>
      </c>
      <c r="AU211" s="35" t="n">
        <f aca="false">p_sw_M10*Inputs_Banks!$AC10*$CD$232</f>
        <v>0</v>
      </c>
      <c r="AV211" s="35" t="n">
        <f aca="false">p_sw_M8*(Modules!$M10+Modules!$N10*IF(p_liq_on&gt;0,X211,p_htm_forced))</f>
        <v>5.01152</v>
      </c>
      <c r="AW211" s="35" t="n">
        <f aca="false">SUMPRODUCT(Holdings!$C10:$O10,Holdings!$C$32:$O$32,$AB$232:$AN$232)+Inputs_Banks!$P10*$AL$232</f>
        <v>19.0984516984342</v>
      </c>
      <c r="AX211" s="35" t="n">
        <f aca="false">Modules!$T10+AS211+AT211+AU211+AV211+AW211+AR211</f>
        <v>92.1213851345239</v>
      </c>
      <c r="AY211" s="35" t="n">
        <f aca="false">Modules!$U10-(1-p_tax)*AX211</f>
        <v>9.27861486547613</v>
      </c>
      <c r="AZ211" s="39" t="n">
        <f aca="false">AY211/Modules!$V10</f>
        <v>0.0105156793887712</v>
      </c>
      <c r="BA211" s="48" t="s">
        <v>629</v>
      </c>
      <c r="BB211" s="43" t="n">
        <f aca="false">INDEX($BJ$207:$BJ$240,BDC_EAD!$B10)</f>
        <v>0.394270722625258</v>
      </c>
      <c r="BC211" s="43" t="n">
        <f aca="false">INDEX($BK$207:$BK$240,BDC_EAD!$B10)</f>
        <v>0.0594332970306441</v>
      </c>
      <c r="BD211" s="22" t="n">
        <f aca="false">INDEX(BDC!$Q$6:$Q$39,BDC_EAD!$B10)</f>
        <v>0.259516483516484</v>
      </c>
      <c r="BE211" s="43" t="n">
        <f aca="false">BB211*(1-$AK$232)-BC211-p_c_liq</f>
        <v>0.107415600413248</v>
      </c>
      <c r="BF211" s="43" t="n">
        <f aca="false">p_phi*MAX(0,p_a_spv-BE211)/p_a_spv+(1-p_phi)*MAX(0,p_a_spv-BB211)/p_a_spv</f>
        <v>0.764590535920501</v>
      </c>
      <c r="BG211" s="43" t="n">
        <f aca="false">IF(BD211&gt;0,p_phi*MAX(0,BD211-BE211)/BD211+(1-p_phi)*MAX(0,BD211-BB211)/BD211,0)</f>
        <v>0.468874673522848</v>
      </c>
      <c r="BI211" s="12" t="str">
        <f aca="false">BDC!$A$10</f>
        <v>HLEND</v>
      </c>
      <c r="BJ211" s="43" t="n">
        <f aca="false">1-((1-BDC!$D$10)*$CD$223+BDC!$D$10*$CD$224)-p_gap-$CD$213*(1-BDC!$M$10)</f>
        <v>0.412682242137413</v>
      </c>
      <c r="BK211" s="43" t="n">
        <f aca="false">(1-BDC!$D$10)*$CD$225+BDC!$D$10*$CD$226</f>
        <v>0.0624886432334012</v>
      </c>
      <c r="BL211" s="45" t="n">
        <f aca="false">BJ211/BDC!$K$10</f>
        <v>0.825364484274826</v>
      </c>
      <c r="BM211" s="35" t="n">
        <f aca="false">IF(BL211&lt;1.5,BDC!$C$10,0)</f>
        <v>24.18</v>
      </c>
      <c r="BN211" s="43" t="n">
        <f aca="false">MAX(0,1-BJ211*(1-CE_mig_hc)-p_bb_cush)*BDC!$Q$10</f>
        <v>0.166906113401486</v>
      </c>
      <c r="BO211" s="43" t="n">
        <f aca="false">MAX(0,BDC!$K$10-BJ211/1.5)</f>
        <v>0.224878505241725</v>
      </c>
      <c r="BP211" s="43" t="n">
        <f aca="false">MIN(MIN(1,BDC!$H$10*$CD$216),$CD$215)</f>
        <v>0.25</v>
      </c>
      <c r="BQ211" s="43" t="n">
        <f aca="false">BDC!$I$10*BDC!$J$10*BP211*(1-0.3)</f>
        <v>0.0875</v>
      </c>
      <c r="BR211" s="45" t="n">
        <f aca="false">BDC!$C$10*($CD$214*MAX(BN211,BO211)+BQ211)</f>
        <v>7.5533122567449</v>
      </c>
      <c r="BT211" s="10" t="s">
        <v>820</v>
      </c>
      <c r="BU211" s="43" t="n">
        <f aca="false">NORMSDIST((NORMSINV(CreditEngine!$D$10)-SQRT(g_rho)*$CD$211)/SQRT(1-g_rho))</f>
        <v>0.94008092388034</v>
      </c>
      <c r="BV211" s="43" t="n">
        <f aca="false">NORMSDIST((NORMSINV(MIN(0.999,CreditEngine!$D$10*p_m_sw))-SQRT(g_rho)*$CD$211)/SQRT(1-g_rho))</f>
        <v>0.999738169883273</v>
      </c>
      <c r="CC211" s="10" t="s">
        <v>977</v>
      </c>
      <c r="CD211" s="45" t="n">
        <f aca="false">p_z-p_zc*$CD$210</f>
        <v>-3.25</v>
      </c>
    </row>
    <row r="212" customFormat="false" ht="15" hidden="false" customHeight="true" outlineLevel="0" collapsed="false">
      <c r="A212" s="10" t="s">
        <v>507</v>
      </c>
      <c r="B212" s="35" t="n">
        <f aca="false">AY172</f>
        <v>12.2050627089213</v>
      </c>
      <c r="C212" s="39" t="n">
        <f aca="false">AZ172</f>
        <v>0.0189677475490801</v>
      </c>
      <c r="D212" s="44" t="n">
        <f aca="false">IF(C212&lt;Inputs_Banks!$I11,1,0)</f>
        <v>1</v>
      </c>
      <c r="E212" s="44" t="n">
        <f aca="false">IF(C212&lt;0.045,1,0)</f>
        <v>1</v>
      </c>
      <c r="F212" s="44" t="n">
        <f aca="false">IF(B212&lt;0,1,0)</f>
        <v>0</v>
      </c>
      <c r="G212" s="44" t="n">
        <f aca="false">MIN(6,MIN(3,INT(MAX(0,Inputs_Banks!$BA11-C212)/p_notch_step))+D212+2*E212)</f>
        <v>6</v>
      </c>
      <c r="H212" s="39" t="n">
        <f aca="false">C212-Inputs_Banks!$I11</f>
        <v>-0.0990322524509199</v>
      </c>
      <c r="I212" s="44" t="n">
        <f aca="false">RANK(H212,$H$207:$H$230,1)</f>
        <v>5</v>
      </c>
      <c r="J212" s="44" t="n">
        <f aca="false">MAX(IF(I212&lt;=g_n_weak,1,0),E212)</f>
        <v>1</v>
      </c>
      <c r="K212" s="44" t="n">
        <f aca="false">IF(I212&gt;12,1,0)*(1-E212)</f>
        <v>0</v>
      </c>
      <c r="L212" s="35" t="n">
        <f aca="false">INDEX(Inputs_Banks!$AR11:$AX11,1,G212+1)</f>
        <v>3.28125</v>
      </c>
      <c r="M212" s="35" t="n">
        <f aca="false">Inputs_Banks!$AI11*MIN(1,p_u_base+$CD$210*p_u_pan_all+J212*($CD$210*p_u_pan_weak+p_u_mda*D212)+p_u_notch*G212+p_u_fail*E212)</f>
        <v>149.742</v>
      </c>
      <c r="N212" s="35" t="n">
        <f aca="false">Inputs_Banks!$AK11*MIN(1,p_w_base+p_w_pan*$CD$210+p_w_notch*G212+0.5*D212+1*E212)</f>
        <v>9.4</v>
      </c>
      <c r="O212" s="35" t="n">
        <f aca="false">Inputs_Banks!$AO11*MIN(1,p_cp_base+p_cp_pan*$CD$210+p_cp_notch*G212)</f>
        <v>0</v>
      </c>
      <c r="P212" s="35" t="n">
        <f aca="false">Inputs_Banks!$AN11*(p_dh+p_dh_pan*$CD$210+MIN(1,0.5*$CD$217+0.25*G212))</f>
        <v>89.5356182750795</v>
      </c>
      <c r="Q212" s="35" t="n">
        <f aca="false">Modules!$Y11</f>
        <v>18.2013845</v>
      </c>
      <c r="R212" s="35" t="n">
        <f aca="false">Inputs_Banks!$AJ11*K212</f>
        <v>0</v>
      </c>
      <c r="S212" s="35" t="n">
        <f aca="false">p_liq_on*$CD$218*SUM($M$207:$M$230)*R212/MAX(0.000000001,SUM($R$207:$R$230))</f>
        <v>0</v>
      </c>
      <c r="T212" s="35" t="n">
        <f aca="false">p_liq_on*(L212+M212+N212+O212+P212+Q212)</f>
        <v>270.16025277508</v>
      </c>
      <c r="U212" s="35" t="n">
        <f aca="false">g_usable*Inputs_Banks!$AG11+p_cb_on*Inputs_Banks!$AQ11+S212</f>
        <v>351.0815</v>
      </c>
      <c r="V212" s="35" t="n">
        <f aca="false">MAX(0,T212-U212)</f>
        <v>0</v>
      </c>
      <c r="W212" s="44" t="n">
        <f aca="false">IF(V212&gt;0.9*Inputs_Banks!$BB11,1,0)</f>
        <v>0</v>
      </c>
      <c r="X212" s="43" t="n">
        <f aca="false">MAX(p_htm_forced,(1-p_cb_on)*MIN(1,T212/Inputs_Banks!$AG11)*g_theta_sell)</f>
        <v>0.211614880058183</v>
      </c>
      <c r="Y212" s="35" t="n">
        <f aca="false">MAX(0,Modules!$V11-B212/(Inputs_Banks!$I11+g_del_buf))</f>
        <v>544.235847894949</v>
      </c>
      <c r="Z212" s="35" t="n">
        <f aca="false">MIN(g_del_cap*Inputs_Banks!$BB11,Y212)</f>
        <v>74.495</v>
      </c>
      <c r="AA212" s="35" t="n">
        <f aca="false">MIN(Inputs_Banks!$BB11,V212+Z212)</f>
        <v>74.495</v>
      </c>
      <c r="AB212" s="35" t="n">
        <f aca="false">$AA212*Holdings!Q11</f>
        <v>0</v>
      </c>
      <c r="AC212" s="35" t="n">
        <f aca="false">$AA212*Holdings!R11</f>
        <v>0</v>
      </c>
      <c r="AD212" s="35" t="n">
        <f aca="false">$AA212*Holdings!S11</f>
        <v>0</v>
      </c>
      <c r="AE212" s="35" t="n">
        <f aca="false">$AA212*Holdings!T11</f>
        <v>1.6275</v>
      </c>
      <c r="AF212" s="35" t="n">
        <f aca="false">$AA212*Holdings!U11</f>
        <v>11.67</v>
      </c>
      <c r="AG212" s="35" t="n">
        <f aca="false">$AA212*Holdings!V11</f>
        <v>0</v>
      </c>
      <c r="AH212" s="35" t="n">
        <f aca="false">$AA212*Holdings!W11</f>
        <v>6.04</v>
      </c>
      <c r="AI212" s="35" t="n">
        <f aca="false">$AA212*Holdings!X11</f>
        <v>0</v>
      </c>
      <c r="AJ212" s="35" t="n">
        <f aca="false">$AA212*Holdings!Y11</f>
        <v>1.3075</v>
      </c>
      <c r="AK212" s="35" t="n">
        <f aca="false">$AA212*Holdings!Z11</f>
        <v>0</v>
      </c>
      <c r="AL212" s="35" t="n">
        <f aca="false">$AA212*Holdings!AA11</f>
        <v>52.9975</v>
      </c>
      <c r="AM212" s="35" t="n">
        <f aca="false">$AA212*Holdings!AB11</f>
        <v>0</v>
      </c>
      <c r="AN212" s="35" t="n">
        <f aca="false">$AA212*Holdings!AC11</f>
        <v>0.8525</v>
      </c>
      <c r="AO212" s="43" t="n">
        <f aca="false">MIN(1,$CD$217+0.5*G212)</f>
        <v>1</v>
      </c>
      <c r="AP212" s="35" t="n">
        <f aca="false">p_liq_on*Inputs_Banks!$AP11*AO212*p_mb_psi</f>
        <v>0</v>
      </c>
      <c r="AQ212" s="44" t="n">
        <f aca="false">MAX(F212,E212,W212*(1-p_cb_on))</f>
        <v>1</v>
      </c>
      <c r="AR212" s="35" t="n">
        <f aca="false">p_ib_on*p_lgd_ib*g_s_in*g_u_ib*SUMPRODUCT(Network!H$6:H$29,$AQ$207:$AQ$230)</f>
        <v>8.85043725068811</v>
      </c>
      <c r="AS212" s="35" t="n">
        <f aca="false">p_sw_M1*(SUMPRODUCT(BDC_EAD!H$106:H$127,$BF$207:$BF$228)+SUMPRODUCT(BDC_EAD!H$131:H$152,$BG$207:$BG$228)+(Inputs_Banks!$Y11+p_ccf_bl*Inputs_Banks!$Z11)*$CD$230+Modules!$E11)</f>
        <v>24.1216345672086</v>
      </c>
      <c r="AT212" s="35" t="n">
        <f aca="false">p_sw_M3*(Inputs_Banks!$U11+p_ccf_abf*Inputs_Banks!$V11)*$CD$231</f>
        <v>0</v>
      </c>
      <c r="AU212" s="35" t="n">
        <f aca="false">p_sw_M10*Inputs_Banks!$AC11*$CD$232</f>
        <v>0</v>
      </c>
      <c r="AV212" s="35" t="n">
        <f aca="false">p_sw_M8*(Modules!$M11+Modules!$N11*IF(p_liq_on&gt;0,X212,p_htm_forced))</f>
        <v>4.83355467504518</v>
      </c>
      <c r="AW212" s="35" t="n">
        <f aca="false">SUMPRODUCT(Holdings!$C11:$O11,Holdings!$C$32:$O$32,$AB$232:$AN$232)+Inputs_Banks!$P11*$AL$232</f>
        <v>15.3298043072842</v>
      </c>
      <c r="AX212" s="35" t="n">
        <f aca="false">Modules!$T11+AS212+AT212+AU212+AV212+AW212+AR212</f>
        <v>76.5949372910787</v>
      </c>
      <c r="AY212" s="35" t="n">
        <f aca="false">Modules!$U11-(1-p_tax)*AX212</f>
        <v>12.2050627089213</v>
      </c>
      <c r="AZ212" s="39" t="n">
        <f aca="false">AY212/Modules!$V11</f>
        <v>0.0189677475490801</v>
      </c>
      <c r="BA212" s="48" t="s">
        <v>640</v>
      </c>
      <c r="BB212" s="43" t="n">
        <f aca="false">INDEX($BJ$207:$BJ$240,BDC_EAD!$B11)</f>
        <v>0.48930871061707</v>
      </c>
      <c r="BC212" s="43" t="n">
        <f aca="false">INDEX($BK$207:$BK$240,BDC_EAD!$B11)</f>
        <v>0.0620042590793056</v>
      </c>
      <c r="BD212" s="22" t="n">
        <f aca="false">INDEX(BDC!$Q$6:$Q$39,BDC_EAD!$B11)</f>
        <v>0.18126872246696</v>
      </c>
      <c r="BE212" s="43" t="n">
        <f aca="false">BB212*(1-$AK$232)-BC212-p_c_liq</f>
        <v>0.157115531760083</v>
      </c>
      <c r="BF212" s="43" t="n">
        <f aca="false">p_phi*MAX(0,p_a_spv-BE212)/p_a_spv+(1-p_phi)*MAX(0,p_a_spv-BB212)/p_a_spv</f>
        <v>0.680636903526457</v>
      </c>
      <c r="BG212" s="43" t="n">
        <f aca="false">IF(BD212&gt;0,p_phi*MAX(0,BD212-BE212)/BD212+(1-p_phi)*MAX(0,BD212-BB212)/BD212,0)</f>
        <v>0.106596175570355</v>
      </c>
      <c r="BI212" s="12" t="str">
        <f aca="false">BDC!$A$11</f>
        <v>ASIF</v>
      </c>
      <c r="BJ212" s="43" t="n">
        <f aca="false">1-((1-BDC!$D$11)*$CD$223+BDC!$D$11*$CD$224)-p_gap-$CD$213*(1-BDC!$M$11)</f>
        <v>0.404374605284367</v>
      </c>
      <c r="BK212" s="43" t="n">
        <f aca="false">(1-BDC!$D$11)*$CD$225+BDC!$D$11*$CD$226</f>
        <v>0.0611100114102059</v>
      </c>
      <c r="BL212" s="45" t="n">
        <f aca="false">BJ212/BDC!$K$11</f>
        <v>0.747064948745695</v>
      </c>
      <c r="BM212" s="35" t="n">
        <f aca="false">IF(BL212&lt;1.5,BDC!$C$11,0)</f>
        <v>21.84</v>
      </c>
      <c r="BN212" s="43" t="n">
        <f aca="false">MAX(0,1-BJ212*(1-CE_mig_hc)-p_bb_cush)*BDC!$Q$11</f>
        <v>0.166493090846723</v>
      </c>
      <c r="BO212" s="43" t="n">
        <f aca="false">MAX(0,BDC!$K$11-BJ212/1.5)</f>
        <v>0.271701333480147</v>
      </c>
      <c r="BP212" s="43" t="n">
        <f aca="false">MIN(MIN(1,BDC!$H$11*$CD$216),$CD$215)</f>
        <v>0.25</v>
      </c>
      <c r="BQ212" s="43" t="n">
        <f aca="false">BDC!$I$11*BDC!$J$11*BP212*(1-0.3)</f>
        <v>0.0802752293577982</v>
      </c>
      <c r="BR212" s="45" t="n">
        <f aca="false">BDC!$C$11*($CD$214*MAX(BN212,BO212)+BQ212)</f>
        <v>7.68716813238072</v>
      </c>
      <c r="CC212" s="10" t="s">
        <v>978</v>
      </c>
      <c r="CD212" s="35" t="n">
        <f aca="false">p_ds+p_ds_pan*$CD$210</f>
        <v>1100</v>
      </c>
    </row>
    <row r="213" customFormat="false" ht="15" hidden="false" customHeight="true" outlineLevel="0" collapsed="false">
      <c r="A213" s="10" t="s">
        <v>509</v>
      </c>
      <c r="B213" s="35" t="n">
        <f aca="false">AY173</f>
        <v>1.94809829656393</v>
      </c>
      <c r="C213" s="39" t="n">
        <f aca="false">AZ173</f>
        <v>0.00360182651565631</v>
      </c>
      <c r="D213" s="44" t="n">
        <f aca="false">IF(C213&lt;Inputs_Banks!$I12,1,0)</f>
        <v>1</v>
      </c>
      <c r="E213" s="44" t="n">
        <f aca="false">IF(C213&lt;0.045,1,0)</f>
        <v>1</v>
      </c>
      <c r="F213" s="44" t="n">
        <f aca="false">IF(B213&lt;0,1,0)</f>
        <v>0</v>
      </c>
      <c r="G213" s="44" t="n">
        <f aca="false">MIN(6,MIN(3,INT(MAX(0,Inputs_Banks!$BA12-C213)/p_notch_step))+D213+2*E213)</f>
        <v>6</v>
      </c>
      <c r="H213" s="39" t="n">
        <f aca="false">C213-Inputs_Banks!$I12</f>
        <v>-0.0663981734843437</v>
      </c>
      <c r="I213" s="44" t="n">
        <f aca="false">RANK(H213,$H$207:$H$230,1)</f>
        <v>11</v>
      </c>
      <c r="J213" s="44" t="n">
        <f aca="false">MAX(IF(I213&lt;=g_n_weak,1,0),E213)</f>
        <v>1</v>
      </c>
      <c r="K213" s="44" t="n">
        <f aca="false">IF(I213&gt;12,1,0)*(1-E213)</f>
        <v>0</v>
      </c>
      <c r="L213" s="35" t="n">
        <f aca="false">INDEX(Inputs_Banks!$AR12:$AX12,1,G213+1)</f>
        <v>2</v>
      </c>
      <c r="M213" s="35" t="n">
        <f aca="false">Inputs_Banks!$AI12*MIN(1,p_u_base+$CD$210*p_u_pan_all+J213*($CD$210*p_u_pan_weak+p_u_mda*D213)+p_u_notch*G213+p_u_fail*E213)</f>
        <v>192.606</v>
      </c>
      <c r="N213" s="35" t="n">
        <f aca="false">Inputs_Banks!$AK12*MIN(1,p_w_base+p_w_pan*$CD$210+p_w_notch*G213+0.5*D213+1*E213)</f>
        <v>2.767</v>
      </c>
      <c r="O213" s="35" t="n">
        <f aca="false">Inputs_Banks!$AO12*MIN(1,p_cp_base+p_cp_pan*$CD$210+p_cp_notch*G213)</f>
        <v>0</v>
      </c>
      <c r="P213" s="35" t="n">
        <f aca="false">Inputs_Banks!$AN12*(p_dh+p_dh_pan*$CD$210+MIN(1,0.5*$CD$217+0.25*G213))</f>
        <v>0</v>
      </c>
      <c r="Q213" s="35" t="n">
        <f aca="false">Modules!$Y12</f>
        <v>25.4204874</v>
      </c>
      <c r="R213" s="35" t="n">
        <f aca="false">Inputs_Banks!$AJ12*K213</f>
        <v>0</v>
      </c>
      <c r="S213" s="35" t="n">
        <f aca="false">p_liq_on*$CD$218*SUM($M$207:$M$230)*R213/MAX(0.000000001,SUM($R$207:$R$230))</f>
        <v>0</v>
      </c>
      <c r="T213" s="35" t="n">
        <f aca="false">p_liq_on*(L213+M213+N213+O213+P213+Q213)</f>
        <v>222.7934874</v>
      </c>
      <c r="U213" s="35" t="n">
        <f aca="false">g_usable*Inputs_Banks!$AG12+p_cb_on*Inputs_Banks!$AQ12+S213</f>
        <v>151.195</v>
      </c>
      <c r="V213" s="35" t="n">
        <f aca="false">MAX(0,T213-U213)</f>
        <v>71.5984874</v>
      </c>
      <c r="W213" s="44" t="n">
        <f aca="false">IF(V213&gt;0.9*Inputs_Banks!$BB12,1,0)</f>
        <v>1</v>
      </c>
      <c r="X213" s="43" t="n">
        <f aca="false">MAX(p_htm_forced,(1-p_cb_on)*MIN(1,T213/Inputs_Banks!$AG12)*g_theta_sell)</f>
        <v>0.25</v>
      </c>
      <c r="Y213" s="35" t="n">
        <f aca="false">MAX(0,Modules!$V12-B213/(Inputs_Banks!$I12+g_del_buf))</f>
        <v>514.889356045814</v>
      </c>
      <c r="Z213" s="35" t="n">
        <f aca="false">MIN(g_del_cap*Inputs_Banks!$BB12,Y213)</f>
        <v>2.2875</v>
      </c>
      <c r="AA213" s="35" t="n">
        <f aca="false">MIN(Inputs_Banks!$BB12,V213+Z213)</f>
        <v>9.15</v>
      </c>
      <c r="AB213" s="35" t="n">
        <f aca="false">$AA213*Holdings!Q12</f>
        <v>0</v>
      </c>
      <c r="AC213" s="35" t="n">
        <f aca="false">$AA213*Holdings!R12</f>
        <v>0</v>
      </c>
      <c r="AD213" s="35" t="n">
        <f aca="false">$AA213*Holdings!S12</f>
        <v>0</v>
      </c>
      <c r="AE213" s="35" t="n">
        <f aca="false">$AA213*Holdings!T12</f>
        <v>2.37</v>
      </c>
      <c r="AF213" s="35" t="n">
        <f aca="false">$AA213*Holdings!U12</f>
        <v>2.02</v>
      </c>
      <c r="AG213" s="35" t="n">
        <f aca="false">$AA213*Holdings!V12</f>
        <v>0</v>
      </c>
      <c r="AH213" s="35" t="n">
        <f aca="false">$AA213*Holdings!W12</f>
        <v>0.02</v>
      </c>
      <c r="AI213" s="35" t="n">
        <f aca="false">$AA213*Holdings!X12</f>
        <v>0.06</v>
      </c>
      <c r="AJ213" s="35" t="n">
        <f aca="false">$AA213*Holdings!Y12</f>
        <v>4.68</v>
      </c>
      <c r="AK213" s="35" t="n">
        <f aca="false">$AA213*Holdings!Z12</f>
        <v>0</v>
      </c>
      <c r="AL213" s="35" t="n">
        <f aca="false">$AA213*Holdings!AA12</f>
        <v>0</v>
      </c>
      <c r="AM213" s="35" t="n">
        <f aca="false">$AA213*Holdings!AB12</f>
        <v>0</v>
      </c>
      <c r="AN213" s="35" t="n">
        <f aca="false">$AA213*Holdings!AC12</f>
        <v>0</v>
      </c>
      <c r="AO213" s="43" t="n">
        <f aca="false">MIN(1,$CD$217+0.5*G213)</f>
        <v>1</v>
      </c>
      <c r="AP213" s="35" t="n">
        <f aca="false">p_liq_on*Inputs_Banks!$AP12*AO213*p_mb_psi</f>
        <v>0</v>
      </c>
      <c r="AQ213" s="44" t="n">
        <f aca="false">MAX(F213,E213,W213*(1-p_cb_on))</f>
        <v>1</v>
      </c>
      <c r="AR213" s="35" t="n">
        <f aca="false">p_ib_on*p_lgd_ib*g_s_in*g_u_ib*SUMPRODUCT(Network!I$6:I$29,$AQ$207:$AQ$230)</f>
        <v>0.553400080853143</v>
      </c>
      <c r="AS213" s="35" t="n">
        <f aca="false">p_sw_M1*(SUMPRODUCT(BDC_EAD!I$106:I$127,$BF$207:$BF$228)+SUMPRODUCT(BDC_EAD!I$131:I$152,$BG$207:$BG$228)+(Inputs_Banks!$Y12+p_ccf_bl*Inputs_Banks!$Z12)*$CD$230+Modules!$E12)</f>
        <v>37.3288498355516</v>
      </c>
      <c r="AT213" s="35" t="n">
        <f aca="false">p_sw_M3*(Inputs_Banks!$U12+p_ccf_abf*Inputs_Banks!$V12)*$CD$231</f>
        <v>0</v>
      </c>
      <c r="AU213" s="35" t="n">
        <f aca="false">p_sw_M10*Inputs_Banks!$AC12*$CD$232</f>
        <v>0</v>
      </c>
      <c r="AV213" s="35" t="n">
        <f aca="false">p_sw_M8*(Modules!$M12+Modules!$N12*IF(p_liq_on&gt;0,X213,p_htm_forced))</f>
        <v>2.868215</v>
      </c>
      <c r="AW213" s="35" t="n">
        <f aca="false">SUMPRODUCT(Holdings!$C12:$O12,Holdings!$C$32:$O$32,$AB$232:$AN$232)+Inputs_Banks!$P12*$AL$232</f>
        <v>0.917839985949254</v>
      </c>
      <c r="AX213" s="35" t="n">
        <f aca="false">Modules!$T12+AS213+AT213+AU213+AV213+AW213+AR213</f>
        <v>47.1519017034361</v>
      </c>
      <c r="AY213" s="35" t="n">
        <f aca="false">Modules!$U12-(1-p_tax)*AX213</f>
        <v>1.94809829656393</v>
      </c>
      <c r="AZ213" s="39" t="n">
        <f aca="false">AY213/Modules!$V12</f>
        <v>0.00360182651565631</v>
      </c>
      <c r="BA213" s="48" t="s">
        <v>657</v>
      </c>
      <c r="BB213" s="43" t="n">
        <f aca="false">INDEX($BJ$207:$BJ$240,BDC_EAD!$B12)</f>
        <v>0.378165749019815</v>
      </c>
      <c r="BC213" s="43" t="n">
        <f aca="false">INDEX($BK$207:$BK$240,BDC_EAD!$B12)</f>
        <v>0.0643143988911463</v>
      </c>
      <c r="BD213" s="22" t="n">
        <f aca="false">INDEX(BDC!$Q$6:$Q$39,BDC_EAD!$B12)</f>
        <v>0.295054794520548</v>
      </c>
      <c r="BE213" s="43" t="n">
        <f aca="false">BB213*(1-$AK$232)-BC213-p_c_liq</f>
        <v>0.0936767630697516</v>
      </c>
      <c r="BF213" s="43" t="n">
        <f aca="false">p_phi*MAX(0,p_a_spv-BE213)/p_a_spv+(1-p_phi)*MAX(0,p_a_spv-BB213)/p_a_spv</f>
        <v>0.784893485343194</v>
      </c>
      <c r="BG213" s="43" t="n">
        <f aca="false">IF(BD213&gt;0,p_phi*MAX(0,BD213-BE213)/BD213+(1-p_phi)*MAX(0,BD213-BB213)/BD213,0)</f>
        <v>0.546008497921283</v>
      </c>
      <c r="BI213" s="12" t="str">
        <f aca="false">BDC!$A$12</f>
        <v>GS PCC</v>
      </c>
      <c r="BJ213" s="43" t="n">
        <f aca="false">1-((1-BDC!$D$12)*$CD$223+BDC!$D$12*$CD$224)-p_gap-$CD$213*(1-BDC!$M$12)</f>
        <v>0.398087744963144</v>
      </c>
      <c r="BK213" s="43" t="n">
        <f aca="false">(1-BDC!$D$12)*$CD$225+BDC!$D$12*$CD$226</f>
        <v>0.060066722462923</v>
      </c>
      <c r="BL213" s="45" t="n">
        <f aca="false">BJ213/BDC!$K$12</f>
        <v>0.812762479299751</v>
      </c>
      <c r="BM213" s="35" t="n">
        <f aca="false">IF(BL213&lt;1.5,BDC!$C$12,0)</f>
        <v>18.19</v>
      </c>
      <c r="BN213" s="43" t="n">
        <f aca="false">MAX(0,1-BJ213*(1-CE_mig_hc)-p_bb_cush)*BDC!$Q$12</f>
        <v>0.171189689900712</v>
      </c>
      <c r="BO213" s="43" t="n">
        <f aca="false">MAX(0,BDC!$K$12-BJ213/1.5)</f>
        <v>0.224404088391918</v>
      </c>
      <c r="BP213" s="43" t="n">
        <f aca="false">MIN(MIN(1,BDC!$H$12*$CD$216),$CD$215)</f>
        <v>0.0609</v>
      </c>
      <c r="BQ213" s="43" t="n">
        <f aca="false">BDC!$I$12*BDC!$J$12*BP213*(1-0.3)</f>
        <v>0.02175</v>
      </c>
      <c r="BR213" s="45" t="n">
        <f aca="false">BDC!$C$12*($CD$214*MAX(BN213,BO213)+BQ213)</f>
        <v>4.47754286784899</v>
      </c>
      <c r="CC213" s="10" t="s">
        <v>979</v>
      </c>
      <c r="CD213" s="43" t="n">
        <f aca="false">p_w_mkt+(1-p_w_mkt)*$CD$210</f>
        <v>1</v>
      </c>
    </row>
    <row r="214" customFormat="false" ht="15" hidden="false" customHeight="true" outlineLevel="0" collapsed="false">
      <c r="A214" s="10" t="s">
        <v>510</v>
      </c>
      <c r="B214" s="35" t="n">
        <f aca="false">AY174</f>
        <v>27.938944824402</v>
      </c>
      <c r="C214" s="39" t="n">
        <f aca="false">AZ174</f>
        <v>0.0509039617393305</v>
      </c>
      <c r="D214" s="44" t="n">
        <f aca="false">IF(C214&lt;Inputs_Banks!$I13,1,0)</f>
        <v>1</v>
      </c>
      <c r="E214" s="44" t="n">
        <f aca="false">IF(C214&lt;0.045,1,0)</f>
        <v>0</v>
      </c>
      <c r="F214" s="44" t="n">
        <f aca="false">IF(B214&lt;0,1,0)</f>
        <v>0</v>
      </c>
      <c r="G214" s="44" t="n">
        <f aca="false">MIN(6,MIN(3,INT(MAX(0,Inputs_Banks!$BA13-C214)/p_notch_step))+D214+2*E214)</f>
        <v>3</v>
      </c>
      <c r="H214" s="39" t="n">
        <f aca="false">C214-Inputs_Banks!$I13</f>
        <v>-0.0200960382606695</v>
      </c>
      <c r="I214" s="44" t="n">
        <f aca="false">RANK(H214,$H$207:$H$230,1)</f>
        <v>21</v>
      </c>
      <c r="J214" s="44" t="n">
        <f aca="false">MAX(IF(I214&lt;=g_n_weak,1,0),E214)</f>
        <v>0</v>
      </c>
      <c r="K214" s="44" t="n">
        <f aca="false">IF(I214&gt;12,1,0)*(1-E214)</f>
        <v>1</v>
      </c>
      <c r="L214" s="35" t="n">
        <f aca="false">INDEX(Inputs_Banks!$AR13:$AX13,1,G214+1)</f>
        <v>0.225</v>
      </c>
      <c r="M214" s="35" t="n">
        <f aca="false">Inputs_Banks!$AI13*MIN(1,p_u_base+$CD$210*p_u_pan_all+J214*($CD$210*p_u_pan_weak+p_u_mda*D214)+p_u_notch*G214+p_u_fail*E214)</f>
        <v>76.383</v>
      </c>
      <c r="N214" s="35" t="n">
        <f aca="false">Inputs_Banks!$AK13*MIN(1,p_w_base+p_w_pan*$CD$210+p_w_notch*G214+0.5*D214+1*E214)</f>
        <v>37.337</v>
      </c>
      <c r="O214" s="35" t="n">
        <f aca="false">Inputs_Banks!$AO13*MIN(1,p_cp_base+p_cp_pan*$CD$210+p_cp_notch*G214)</f>
        <v>0</v>
      </c>
      <c r="P214" s="35" t="n">
        <f aca="false">Inputs_Banks!$AN13*(p_dh+p_dh_pan*$CD$210+MIN(1,0.5*$CD$217+0.25*G214))</f>
        <v>1.197105</v>
      </c>
      <c r="Q214" s="35" t="n">
        <f aca="false">Modules!$Y13</f>
        <v>12.7415604</v>
      </c>
      <c r="R214" s="35" t="n">
        <f aca="false">Inputs_Banks!$AJ13*K214</f>
        <v>532.066</v>
      </c>
      <c r="S214" s="35" t="n">
        <f aca="false">p_liq_on*$CD$218*SUM($M$207:$M$230)*R214/MAX(0.000000001,SUM($R$207:$R$230))</f>
        <v>110.18065138705</v>
      </c>
      <c r="T214" s="35" t="n">
        <f aca="false">p_liq_on*(L214+M214+N214+O214+P214+Q214)</f>
        <v>127.8836654</v>
      </c>
      <c r="U214" s="35" t="n">
        <f aca="false">g_usable*Inputs_Banks!$AG13+p_cb_on*Inputs_Banks!$AQ13+S214</f>
        <v>299.11655138705</v>
      </c>
      <c r="V214" s="35" t="n">
        <f aca="false">MAX(0,T214-U214)</f>
        <v>0</v>
      </c>
      <c r="W214" s="44" t="n">
        <f aca="false">IF(V214&gt;0.9*Inputs_Banks!$BB13,1,0)</f>
        <v>0</v>
      </c>
      <c r="X214" s="43" t="n">
        <f aca="false">MAX(p_htm_forced,(1-p_cb_on)*MIN(1,T214/Inputs_Banks!$AG13)*g_theta_sell)</f>
        <v>0.25</v>
      </c>
      <c r="Y214" s="35" t="n">
        <f aca="false">MAX(0,Modules!$V13-B214/(Inputs_Banks!$I13+g_del_buf))</f>
        <v>181.238304942079</v>
      </c>
      <c r="Z214" s="35" t="n">
        <f aca="false">MIN(g_del_cap*Inputs_Banks!$BB13,Y214)</f>
        <v>3.2525</v>
      </c>
      <c r="AA214" s="35" t="n">
        <f aca="false">MIN(Inputs_Banks!$BB13,V214+Z214)</f>
        <v>3.2525</v>
      </c>
      <c r="AB214" s="35" t="n">
        <f aca="false">$AA214*Holdings!Q13</f>
        <v>0</v>
      </c>
      <c r="AC214" s="35" t="n">
        <f aca="false">$AA214*Holdings!R13</f>
        <v>0</v>
      </c>
      <c r="AD214" s="35" t="n">
        <f aca="false">$AA214*Holdings!S13</f>
        <v>0</v>
      </c>
      <c r="AE214" s="35" t="n">
        <f aca="false">$AA214*Holdings!T13</f>
        <v>1.845</v>
      </c>
      <c r="AF214" s="35" t="n">
        <f aca="false">$AA214*Holdings!U13</f>
        <v>0</v>
      </c>
      <c r="AG214" s="35" t="n">
        <f aca="false">$AA214*Holdings!V13</f>
        <v>0</v>
      </c>
      <c r="AH214" s="35" t="n">
        <f aca="false">$AA214*Holdings!W13</f>
        <v>0.0225</v>
      </c>
      <c r="AI214" s="35" t="n">
        <f aca="false">$AA214*Holdings!X13</f>
        <v>1.095</v>
      </c>
      <c r="AJ214" s="35" t="n">
        <f aca="false">$AA214*Holdings!Y13</f>
        <v>0.29</v>
      </c>
      <c r="AK214" s="35" t="n">
        <f aca="false">$AA214*Holdings!Z13</f>
        <v>0</v>
      </c>
      <c r="AL214" s="35" t="n">
        <f aca="false">$AA214*Holdings!AA13</f>
        <v>0</v>
      </c>
      <c r="AM214" s="35" t="n">
        <f aca="false">$AA214*Holdings!AB13</f>
        <v>0</v>
      </c>
      <c r="AN214" s="35" t="n">
        <f aca="false">$AA214*Holdings!AC13</f>
        <v>0</v>
      </c>
      <c r="AO214" s="43" t="n">
        <f aca="false">MIN(1,$CD$217+0.5*G214)</f>
        <v>1</v>
      </c>
      <c r="AP214" s="35" t="n">
        <f aca="false">p_liq_on*Inputs_Banks!$AP13*AO214*p_mb_psi</f>
        <v>0.636</v>
      </c>
      <c r="AQ214" s="44" t="n">
        <f aca="false">MAX(F214,E214,W214*(1-p_cb_on))</f>
        <v>0</v>
      </c>
      <c r="AR214" s="35" t="n">
        <f aca="false">p_ib_on*p_lgd_ib*g_s_in*g_u_ib*SUMPRODUCT(Network!J$6:J$29,$AQ$207:$AQ$230)</f>
        <v>0.644762362033408</v>
      </c>
      <c r="AS214" s="35" t="n">
        <f aca="false">p_sw_M1*(SUMPRODUCT(BDC_EAD!J$106:J$127,$BF$207:$BF$228)+SUMPRODUCT(BDC_EAD!J$131:J$152,$BG$207:$BG$228)+(Inputs_Banks!$Y13+p_ccf_bl*Inputs_Banks!$Z13)*$CD$230+Modules!$E13)</f>
        <v>14.5195684657137</v>
      </c>
      <c r="AT214" s="35" t="n">
        <f aca="false">p_sw_M3*(Inputs_Banks!$U13+p_ccf_abf*Inputs_Banks!$V13)*$CD$231</f>
        <v>0</v>
      </c>
      <c r="AU214" s="35" t="n">
        <f aca="false">p_sw_M10*Inputs_Banks!$AC13*$CD$232</f>
        <v>0</v>
      </c>
      <c r="AV214" s="35" t="n">
        <f aca="false">p_sw_M8*(Modules!$M13+Modules!$N13*IF(p_liq_on&gt;0,X214,p_htm_forced))</f>
        <v>5.14480625</v>
      </c>
      <c r="AW214" s="35" t="n">
        <f aca="false">SUMPRODUCT(Holdings!$C13:$O13,Holdings!$C$32:$O$32,$AB$232:$AN$232)+Inputs_Banks!$P13*$AL$232</f>
        <v>1.48151506912185</v>
      </c>
      <c r="AX214" s="35" t="n">
        <f aca="false">Modules!$T13+AS214+AT214+AU214+AV214+AW214+AR214</f>
        <v>27.061055175598</v>
      </c>
      <c r="AY214" s="35" t="n">
        <f aca="false">Modules!$U13-(1-p_tax)*AX214</f>
        <v>27.938944824402</v>
      </c>
      <c r="AZ214" s="39" t="n">
        <f aca="false">AY214/Modules!$V13</f>
        <v>0.0509039617393305</v>
      </c>
      <c r="BA214" s="48" t="s">
        <v>641</v>
      </c>
      <c r="BB214" s="43" t="n">
        <f aca="false">INDEX($BJ$207:$BJ$240,BDC_EAD!$B13)</f>
        <v>0.329896338848212</v>
      </c>
      <c r="BC214" s="43" t="n">
        <f aca="false">INDEX($BK$207:$BK$240,BDC_EAD!$B13)</f>
        <v>0.0624513829138554</v>
      </c>
      <c r="BD214" s="22" t="n">
        <f aca="false">INDEX(BDC!$Q$6:$Q$39,BDC_EAD!$B13)</f>
        <v>0.167256637168142</v>
      </c>
      <c r="BE214" s="43" t="n">
        <f aca="false">BB214*(1-$AK$232)-BC214-p_c_liq</f>
        <v>0.068991603452661</v>
      </c>
      <c r="BF214" s="43" t="n">
        <f aca="false">p_phi*MAX(0,p_a_spv-BE214)/p_a_spv+(1-p_phi)*MAX(0,p_a_spv-BB214)/p_a_spv</f>
        <v>0.826896356383184</v>
      </c>
      <c r="BG214" s="43" t="n">
        <f aca="false">IF(BD214&gt;0,p_phi*MAX(0,BD214-BE214)/BD214+(1-p_phi)*MAX(0,BD214-BB214)/BD214,0)</f>
        <v>0.470008415231717</v>
      </c>
      <c r="BI214" s="12" t="str">
        <f aca="false">BDC!$A$13</f>
        <v>OBDC</v>
      </c>
      <c r="BJ214" s="43" t="n">
        <f aca="false">1-((1-BDC!$D$13)*$CD$223+BDC!$D$13*$CD$224)-p_gap-$CD$213*(1-BDC!$M$13)</f>
        <v>0.393709594067855</v>
      </c>
      <c r="BK214" s="43" t="n">
        <f aca="false">(1-BDC!$D$13)*$CD$225+BDC!$D$13*$CD$226</f>
        <v>0.0647242624061503</v>
      </c>
      <c r="BL214" s="45" t="n">
        <f aca="false">BJ214/BDC!$K$13</f>
        <v>0.745236017342725</v>
      </c>
      <c r="BM214" s="35" t="n">
        <f aca="false">IF(BL214&lt;1.5,BDC!$C$13,0)</f>
        <v>14.96</v>
      </c>
      <c r="BN214" s="43" t="n">
        <f aca="false">MAX(0,1-BJ214*(1-CE_mig_hc)-p_bb_cush)*BDC!$Q$13</f>
        <v>0.111074092527053</v>
      </c>
      <c r="BO214" s="43" t="n">
        <f aca="false">MAX(0,BDC!$K$13-BJ214/1.5)</f>
        <v>0.26582882408055</v>
      </c>
      <c r="BP214" s="43" t="n">
        <f aca="false">MIN(MIN(1,BDC!$H$13*$CD$216),$CD$215)</f>
        <v>0</v>
      </c>
      <c r="BQ214" s="43" t="n">
        <f aca="false">BDC!$I$13*BDC!$J$13*BP214*(1-0.3)</f>
        <v>0</v>
      </c>
      <c r="BR214" s="45" t="n">
        <f aca="false">BDC!$C$13*($CD$214*MAX(BN214,BO214)+BQ214)</f>
        <v>3.97679920824502</v>
      </c>
      <c r="CC214" s="10" t="s">
        <v>980</v>
      </c>
      <c r="CD214" s="43" t="n">
        <f aca="false">p_theta_lev+(1-p_theta_lev)*$CD$210</f>
        <v>1</v>
      </c>
    </row>
    <row r="215" customFormat="false" ht="15" hidden="false" customHeight="true" outlineLevel="0" collapsed="false">
      <c r="A215" s="10" t="s">
        <v>512</v>
      </c>
      <c r="B215" s="35" t="n">
        <f aca="false">AY175</f>
        <v>7.3352278932168</v>
      </c>
      <c r="C215" s="39" t="n">
        <f aca="false">AZ175</f>
        <v>0.0157292211183521</v>
      </c>
      <c r="D215" s="44" t="n">
        <f aca="false">IF(C215&lt;Inputs_Banks!$I14,1,0)</f>
        <v>1</v>
      </c>
      <c r="E215" s="44" t="n">
        <f aca="false">IF(C215&lt;0.045,1,0)</f>
        <v>1</v>
      </c>
      <c r="F215" s="44" t="n">
        <f aca="false">IF(B215&lt;0,1,0)</f>
        <v>0</v>
      </c>
      <c r="G215" s="44" t="n">
        <f aca="false">MIN(6,MIN(3,INT(MAX(0,Inputs_Banks!$BA14-C215)/p_notch_step))+D215+2*E215)</f>
        <v>6</v>
      </c>
      <c r="H215" s="39" t="n">
        <f aca="false">C215-Inputs_Banks!$I14</f>
        <v>-0.0542707788816479</v>
      </c>
      <c r="I215" s="44" t="n">
        <f aca="false">RANK(H215,$H$207:$H$230,1)</f>
        <v>15</v>
      </c>
      <c r="J215" s="44" t="n">
        <f aca="false">MAX(IF(I215&lt;=g_n_weak,1,0),E215)</f>
        <v>1</v>
      </c>
      <c r="K215" s="44" t="n">
        <f aca="false">IF(I215&gt;12,1,0)*(1-E215)</f>
        <v>0</v>
      </c>
      <c r="L215" s="35" t="n">
        <f aca="false">INDEX(Inputs_Banks!$AR14:$AX14,1,G215+1)</f>
        <v>0.5568</v>
      </c>
      <c r="M215" s="35" t="n">
        <f aca="false">Inputs_Banks!$AI14*MIN(1,p_u_base+$CD$210*p_u_pan_all+J215*($CD$210*p_u_pan_weak+p_u_mda*D215)+p_u_notch*G215+p_u_fail*E215)</f>
        <v>177.002</v>
      </c>
      <c r="N215" s="35" t="n">
        <f aca="false">Inputs_Banks!$AK14*MIN(1,p_w_base+p_w_pan*$CD$210+p_w_notch*G215+0.5*D215+1*E215)</f>
        <v>3.414</v>
      </c>
      <c r="O215" s="35" t="n">
        <f aca="false">Inputs_Banks!$AO14*MIN(1,p_cp_base+p_cp_pan*$CD$210+p_cp_notch*G215)</f>
        <v>5.98</v>
      </c>
      <c r="P215" s="35" t="n">
        <f aca="false">Inputs_Banks!$AN14*(p_dh+p_dh_pan*$CD$210+MIN(1,0.5*$CD$217+0.25*G215))</f>
        <v>0.8013915</v>
      </c>
      <c r="Q215" s="35" t="n">
        <f aca="false">Modules!$Y14</f>
        <v>19.9439417</v>
      </c>
      <c r="R215" s="35" t="n">
        <f aca="false">Inputs_Banks!$AJ14*K215</f>
        <v>0</v>
      </c>
      <c r="S215" s="35" t="n">
        <f aca="false">p_liq_on*$CD$218*SUM($M$207:$M$230)*R215/MAX(0.000000001,SUM($R$207:$R$230))</f>
        <v>0</v>
      </c>
      <c r="T215" s="35" t="n">
        <f aca="false">p_liq_on*(L215+M215+N215+O215+P215+Q215)</f>
        <v>207.6981332</v>
      </c>
      <c r="U215" s="35" t="n">
        <f aca="false">g_usable*Inputs_Banks!$AG14+p_cb_on*Inputs_Banks!$AQ14+S215</f>
        <v>133.1275</v>
      </c>
      <c r="V215" s="35" t="n">
        <f aca="false">MAX(0,T215-U215)</f>
        <v>74.5706332</v>
      </c>
      <c r="W215" s="44" t="n">
        <f aca="false">IF(V215&gt;0.9*Inputs_Banks!$BB14,1,0)</f>
        <v>1</v>
      </c>
      <c r="X215" s="43" t="n">
        <f aca="false">MAX(p_htm_forced,(1-p_cb_on)*MIN(1,T215/Inputs_Banks!$AG14)*g_theta_sell)</f>
        <v>0.25</v>
      </c>
      <c r="Y215" s="35" t="n">
        <f aca="false">MAX(0,Modules!$V14-B215/(Inputs_Banks!$I14+g_del_buf))</f>
        <v>368.540961423776</v>
      </c>
      <c r="Z215" s="35" t="n">
        <f aca="false">MIN(g_del_cap*Inputs_Banks!$BB14,Y215)</f>
        <v>1.1025</v>
      </c>
      <c r="AA215" s="35" t="n">
        <f aca="false">MIN(Inputs_Banks!$BB14,V215+Z215)</f>
        <v>4.41</v>
      </c>
      <c r="AB215" s="35" t="n">
        <f aca="false">$AA215*Holdings!Q14</f>
        <v>0</v>
      </c>
      <c r="AC215" s="35" t="n">
        <f aca="false">$AA215*Holdings!R14</f>
        <v>0</v>
      </c>
      <c r="AD215" s="35" t="n">
        <f aca="false">$AA215*Holdings!S14</f>
        <v>0</v>
      </c>
      <c r="AE215" s="35" t="n">
        <f aca="false">$AA215*Holdings!T14</f>
        <v>0.34</v>
      </c>
      <c r="AF215" s="35" t="n">
        <f aca="false">$AA215*Holdings!U14</f>
        <v>0</v>
      </c>
      <c r="AG215" s="35" t="n">
        <f aca="false">$AA215*Holdings!V14</f>
        <v>0</v>
      </c>
      <c r="AH215" s="35" t="n">
        <f aca="false">$AA215*Holdings!W14</f>
        <v>0.17</v>
      </c>
      <c r="AI215" s="35" t="n">
        <f aca="false">$AA215*Holdings!X14</f>
        <v>0</v>
      </c>
      <c r="AJ215" s="35" t="n">
        <f aca="false">$AA215*Holdings!Y14</f>
        <v>1.28</v>
      </c>
      <c r="AK215" s="35" t="n">
        <f aca="false">$AA215*Holdings!Z14</f>
        <v>0</v>
      </c>
      <c r="AL215" s="35" t="n">
        <f aca="false">$AA215*Holdings!AA14</f>
        <v>0</v>
      </c>
      <c r="AM215" s="35" t="n">
        <f aca="false">$AA215*Holdings!AB14</f>
        <v>0</v>
      </c>
      <c r="AN215" s="35" t="n">
        <f aca="false">$AA215*Holdings!AC14</f>
        <v>2.62</v>
      </c>
      <c r="AO215" s="43" t="n">
        <f aca="false">MIN(1,$CD$217+0.5*G215)</f>
        <v>1</v>
      </c>
      <c r="AP215" s="35" t="n">
        <f aca="false">p_liq_on*Inputs_Banks!$AP14*AO215*p_mb_psi</f>
        <v>0.03</v>
      </c>
      <c r="AQ215" s="44" t="n">
        <f aca="false">MAX(F215,E215,W215*(1-p_cb_on))</f>
        <v>1</v>
      </c>
      <c r="AR215" s="35" t="n">
        <f aca="false">p_ib_on*p_lgd_ib*g_s_in*g_u_ib*SUMPRODUCT(Network!K$6:K$29,$AQ$207:$AQ$230)</f>
        <v>0.4977941331784</v>
      </c>
      <c r="AS215" s="35" t="n">
        <f aca="false">p_sw_M1*(SUMPRODUCT(BDC_EAD!K$106:K$127,$BF$207:$BF$228)+SUMPRODUCT(BDC_EAD!K$131:K$152,$BG$207:$BG$228)+(Inputs_Banks!$Y14+p_ccf_bl*Inputs_Banks!$Z14)*$CD$230+Modules!$E14)</f>
        <v>29.6250912216605</v>
      </c>
      <c r="AT215" s="35" t="n">
        <f aca="false">p_sw_M3*(Inputs_Banks!$U14+p_ccf_abf*Inputs_Banks!$V14)*$CD$231</f>
        <v>0</v>
      </c>
      <c r="AU215" s="35" t="n">
        <f aca="false">p_sw_M10*Inputs_Banks!$AC14*$CD$232</f>
        <v>0</v>
      </c>
      <c r="AV215" s="35" t="n">
        <f aca="false">p_sw_M8*(Modules!$M14+Modules!$N14*IF(p_liq_on&gt;0,X215,p_htm_forced))</f>
        <v>4.33808375</v>
      </c>
      <c r="AW215" s="35" t="n">
        <f aca="false">SUMPRODUCT(Holdings!$C14:$O14,Holdings!$C$32:$O$32,$AB$232:$AN$232)+Inputs_Banks!$P14*$AL$232</f>
        <v>0.41912800194433</v>
      </c>
      <c r="AX215" s="35" t="n">
        <f aca="false">Modules!$T14+AS215+AT215+AU215+AV215+AW215+AR215</f>
        <v>38.9647721067832</v>
      </c>
      <c r="AY215" s="35" t="n">
        <f aca="false">Modules!$U14-(1-p_tax)*AX215</f>
        <v>7.3352278932168</v>
      </c>
      <c r="AZ215" s="39" t="n">
        <f aca="false">AY215/Modules!$V14</f>
        <v>0.0157292211183521</v>
      </c>
      <c r="BA215" s="48" t="s">
        <v>644</v>
      </c>
      <c r="BB215" s="43" t="n">
        <f aca="false">INDEX($BJ$207:$BJ$240,BDC_EAD!$B14)</f>
        <v>0.440432081141748</v>
      </c>
      <c r="BC215" s="43" t="n">
        <f aca="false">INDEX($BK$207:$BK$240,BDC_EAD!$B14)</f>
        <v>0.0593587763915524</v>
      </c>
      <c r="BD215" s="22" t="n">
        <f aca="false">INDEX(BDC!$Q$6:$Q$39,BDC_EAD!$B14)</f>
        <v>0.198013452914798</v>
      </c>
      <c r="BE215" s="43" t="n">
        <f aca="false">BB215*(1-$AK$232)-BC215-p_c_liq</f>
        <v>0.132878868236409</v>
      </c>
      <c r="BF215" s="43" t="n">
        <f aca="false">p_phi*MAX(0,p_a_spv-BE215)/p_a_spv+(1-p_phi)*MAX(0,p_a_spv-BB215)/p_a_spv</f>
        <v>0.722300698832176</v>
      </c>
      <c r="BG215" s="43" t="n">
        <f aca="false">IF(BD215&gt;0,p_phi*MAX(0,BD215-BE215)/BD215+(1-p_phi)*MAX(0,BD215-BB215)/BD215,0)</f>
        <v>0.26315215949056</v>
      </c>
      <c r="BI215" s="12" t="str">
        <f aca="false">BDC!$A$14</f>
        <v>OTF</v>
      </c>
      <c r="BJ215" s="43" t="n">
        <f aca="false">1-((1-BDC!$D$14)*$CD$223+BDC!$D$14*$CD$224)-p_gap-$CD$213*(1-BDC!$M$14)</f>
        <v>0.261914595446638</v>
      </c>
      <c r="BK215" s="43" t="n">
        <f aca="false">(1-BDC!$D$14)*$CD$225+BDC!$D$14*$CD$226</f>
        <v>0.0568250746624368</v>
      </c>
      <c r="BL215" s="45" t="n">
        <f aca="false">BJ215/BDC!$K$14</f>
        <v>0.537614169600993</v>
      </c>
      <c r="BM215" s="35" t="n">
        <f aca="false">IF(BL215&lt;1.5,BDC!$C$14,0)</f>
        <v>14.68</v>
      </c>
      <c r="BN215" s="43" t="n">
        <f aca="false">MAX(0,1-BJ215*(1-CE_mig_hc)-p_bb_cush)*BDC!$Q$14</f>
        <v>0.230311529202363</v>
      </c>
      <c r="BO215" s="43" t="n">
        <f aca="false">MAX(0,BDC!$K$14-BJ215/1.5)</f>
        <v>0.312569756881729</v>
      </c>
      <c r="BP215" s="43" t="n">
        <f aca="false">MIN(MIN(1,BDC!$H$14*$CD$216),$CD$215)</f>
        <v>0</v>
      </c>
      <c r="BQ215" s="43" t="n">
        <f aca="false">BDC!$I$14*BDC!$J$14*BP215*(1-0.3)</f>
        <v>0</v>
      </c>
      <c r="BR215" s="45" t="n">
        <f aca="false">BDC!$C$14*($CD$214*MAX(BN215,BO215)+BQ215)</f>
        <v>4.58852403102378</v>
      </c>
      <c r="CC215" s="10" t="s">
        <v>981</v>
      </c>
      <c r="CD215" s="43" t="n">
        <f aca="false">p_red_rate+p_red_pan*$CD$210</f>
        <v>0.25</v>
      </c>
    </row>
    <row r="216" customFormat="false" ht="15" hidden="false" customHeight="true" outlineLevel="0" collapsed="false">
      <c r="A216" s="10" t="s">
        <v>514</v>
      </c>
      <c r="B216" s="35" t="n">
        <f aca="false">AY176</f>
        <v>-17.14502991394</v>
      </c>
      <c r="C216" s="39" t="n">
        <f aca="false">AZ176</f>
        <v>-0.112909158592408</v>
      </c>
      <c r="D216" s="44" t="n">
        <f aca="false">IF(C216&lt;Inputs_Banks!$I15,1,0)</f>
        <v>1</v>
      </c>
      <c r="E216" s="44" t="n">
        <f aca="false">IF(C216&lt;0.045,1,0)</f>
        <v>1</v>
      </c>
      <c r="F216" s="44" t="n">
        <f aca="false">IF(B216&lt;0,1,0)</f>
        <v>1</v>
      </c>
      <c r="G216" s="44" t="n">
        <f aca="false">MIN(6,MIN(3,INT(MAX(0,Inputs_Banks!$BA15-C216)/p_notch_step))+D216+2*E216)</f>
        <v>6</v>
      </c>
      <c r="H216" s="39" t="n">
        <f aca="false">C216-Inputs_Banks!$I15</f>
        <v>-0.192909158592408</v>
      </c>
      <c r="I216" s="44" t="n">
        <f aca="false">RANK(H216,$H$207:$H$230,1)</f>
        <v>1</v>
      </c>
      <c r="J216" s="44" t="n">
        <f aca="false">MAX(IF(I216&lt;=g_n_weak,1,0),E216)</f>
        <v>1</v>
      </c>
      <c r="K216" s="44" t="n">
        <f aca="false">IF(I216&gt;12,1,0)*(1-E216)</f>
        <v>0</v>
      </c>
      <c r="L216" s="35" t="n">
        <f aca="false">INDEX(Inputs_Banks!$AR15:$AX15,1,G216+1)</f>
        <v>1.65</v>
      </c>
      <c r="M216" s="35" t="n">
        <f aca="false">Inputs_Banks!$AI15*MIN(1,p_u_base+$CD$210*p_u_pan_all+J216*($CD$210*p_u_pan_weak+p_u_mda*D216)+p_u_notch*G216+p_u_fail*E216)</f>
        <v>232.74682</v>
      </c>
      <c r="N216" s="35" t="n">
        <f aca="false">Inputs_Banks!$AK15*MIN(1,p_w_base+p_w_pan*$CD$210+p_w_notch*G216+0.5*D216+1*E216)</f>
        <v>4.372</v>
      </c>
      <c r="O216" s="35" t="n">
        <f aca="false">Inputs_Banks!$AO15*MIN(1,p_cp_base+p_cp_pan*$CD$210+p_cp_notch*G216)</f>
        <v>0</v>
      </c>
      <c r="P216" s="35" t="n">
        <f aca="false">Inputs_Banks!$AN15*(p_dh+p_dh_pan*$CD$210+MIN(1,0.5*$CD$217+0.25*G216))</f>
        <v>0.076848062953995</v>
      </c>
      <c r="Q216" s="35" t="n">
        <f aca="false">Modules!$Y15</f>
        <v>9.3479398</v>
      </c>
      <c r="R216" s="35" t="n">
        <f aca="false">Inputs_Banks!$AJ15*K216</f>
        <v>0</v>
      </c>
      <c r="S216" s="35" t="n">
        <f aca="false">p_liq_on*$CD$218*SUM($M$207:$M$230)*R216/MAX(0.000000001,SUM($R$207:$R$230))</f>
        <v>0</v>
      </c>
      <c r="T216" s="35" t="n">
        <f aca="false">p_liq_on*(L216+M216+N216+O216+P216+Q216)</f>
        <v>248.193607862954</v>
      </c>
      <c r="U216" s="35" t="n">
        <f aca="false">g_usable*Inputs_Banks!$AG15+p_cb_on*Inputs_Banks!$AQ15+S216</f>
        <v>131.22555</v>
      </c>
      <c r="V216" s="35" t="n">
        <f aca="false">MAX(0,T216-U216)</f>
        <v>116.968057862954</v>
      </c>
      <c r="W216" s="44" t="n">
        <f aca="false">IF(V216&gt;0.9*Inputs_Banks!$BB15,1,0)</f>
        <v>1</v>
      </c>
      <c r="X216" s="43" t="n">
        <f aca="false">MAX(p_htm_forced,(1-p_cb_on)*MIN(1,T216/Inputs_Banks!$AG15)*g_theta_sell)</f>
        <v>0.25</v>
      </c>
      <c r="Y216" s="35" t="n">
        <f aca="false">MAX(0,Modules!$V15-B216/(Inputs_Banks!$I15+g_del_buf))</f>
        <v>353.554234281647</v>
      </c>
      <c r="Z216" s="35" t="n">
        <f aca="false">MIN(g_del_cap*Inputs_Banks!$BB15,Y216)</f>
        <v>4.0175</v>
      </c>
      <c r="AA216" s="35" t="n">
        <f aca="false">MIN(Inputs_Banks!$BB15,V216+Z216)</f>
        <v>16.07</v>
      </c>
      <c r="AB216" s="35" t="n">
        <f aca="false">$AA216*Holdings!Q15</f>
        <v>0</v>
      </c>
      <c r="AC216" s="35" t="n">
        <f aca="false">$AA216*Holdings!R15</f>
        <v>0</v>
      </c>
      <c r="AD216" s="35" t="n">
        <f aca="false">$AA216*Holdings!S15</f>
        <v>0</v>
      </c>
      <c r="AE216" s="35" t="n">
        <f aca="false">$AA216*Holdings!T15</f>
        <v>0.03</v>
      </c>
      <c r="AF216" s="35" t="n">
        <f aca="false">$AA216*Holdings!U15</f>
        <v>0.12</v>
      </c>
      <c r="AG216" s="35" t="n">
        <f aca="false">$AA216*Holdings!V15</f>
        <v>0</v>
      </c>
      <c r="AH216" s="35" t="n">
        <f aca="false">$AA216*Holdings!W15</f>
        <v>0</v>
      </c>
      <c r="AI216" s="35" t="n">
        <f aca="false">$AA216*Holdings!X15</f>
        <v>4.01</v>
      </c>
      <c r="AJ216" s="35" t="n">
        <f aca="false">$AA216*Holdings!Y15</f>
        <v>11.79</v>
      </c>
      <c r="AK216" s="35" t="n">
        <f aca="false">$AA216*Holdings!Z15</f>
        <v>0</v>
      </c>
      <c r="AL216" s="35" t="n">
        <f aca="false">$AA216*Holdings!AA15</f>
        <v>0</v>
      </c>
      <c r="AM216" s="35" t="n">
        <f aca="false">$AA216*Holdings!AB15</f>
        <v>0</v>
      </c>
      <c r="AN216" s="35" t="n">
        <f aca="false">$AA216*Holdings!AC15</f>
        <v>0.12</v>
      </c>
      <c r="AO216" s="43" t="n">
        <f aca="false">MIN(1,$CD$217+0.5*G216)</f>
        <v>1</v>
      </c>
      <c r="AP216" s="35" t="n">
        <f aca="false">p_liq_on*Inputs_Banks!$AP15*AO216*p_mb_psi</f>
        <v>0</v>
      </c>
      <c r="AQ216" s="44" t="n">
        <f aca="false">MAX(F216,E216,W216*(1-p_cb_on))</f>
        <v>1</v>
      </c>
      <c r="AR216" s="35" t="n">
        <f aca="false">p_ib_on*p_lgd_ib*g_s_in*g_u_ib*SUMPRODUCT(Network!L$6:L$29,$AQ$207:$AQ$230)</f>
        <v>2.98883625010824</v>
      </c>
      <c r="AS216" s="35" t="n">
        <f aca="false">p_sw_M1*(SUMPRODUCT(BDC_EAD!L$106:L$127,$BF$207:$BF$228)+SUMPRODUCT(BDC_EAD!L$131:L$152,$BG$207:$BG$228)+(Inputs_Banks!$Y15+p_ccf_bl*Inputs_Banks!$Z15)*$CD$230+Modules!$E15)</f>
        <v>21.1544650700422</v>
      </c>
      <c r="AT216" s="35" t="n">
        <f aca="false">p_sw_M3*(Inputs_Banks!$U15+p_ccf_abf*Inputs_Banks!$V15)*$CD$231</f>
        <v>0</v>
      </c>
      <c r="AU216" s="35" t="n">
        <f aca="false">p_sw_M10*Inputs_Banks!$AC15*$CD$232</f>
        <v>0</v>
      </c>
      <c r="AV216" s="35" t="n">
        <f aca="false">p_sw_M8*(Modules!$M15+Modules!$N15*IF(p_liq_on&gt;0,X216,p_htm_forced))</f>
        <v>3.383275</v>
      </c>
      <c r="AW216" s="35" t="n">
        <f aca="false">SUMPRODUCT(Holdings!$C15:$O15,Holdings!$C$32:$O$32,$AB$232:$AN$232)+Inputs_Banks!$P15*$AL$232</f>
        <v>2.55458359378958</v>
      </c>
      <c r="AX216" s="35" t="n">
        <f aca="false">Modules!$T15+AS216+AT216+AU216+AV216+AW216+AR216</f>
        <v>32.54502991394</v>
      </c>
      <c r="AY216" s="35" t="n">
        <f aca="false">Modules!$U15-(1-p_tax)*AX216</f>
        <v>-17.14502991394</v>
      </c>
      <c r="AZ216" s="39" t="n">
        <f aca="false">AY216/Modules!$V15</f>
        <v>-0.112909158592408</v>
      </c>
      <c r="BA216" s="48" t="s">
        <v>654</v>
      </c>
      <c r="BB216" s="43" t="n">
        <f aca="false">INDEX($BJ$207:$BJ$240,BDC_EAD!$B15)</f>
        <v>0.402673902876419</v>
      </c>
      <c r="BC216" s="43" t="n">
        <f aca="false">INDEX($BK$207:$BK$240,BDC_EAD!$B15)</f>
        <v>0.0617434368424848</v>
      </c>
      <c r="BD216" s="22" t="n">
        <f aca="false">INDEX(BDC!$Q$6:$Q$39,BDC_EAD!$B15)</f>
        <v>0.211491525423729</v>
      </c>
      <c r="BE216" s="43" t="n">
        <f aca="false">BB216*(1-$AK$232)-BC216-p_c_liq</f>
        <v>0.109727209739546</v>
      </c>
      <c r="BF216" s="43" t="n">
        <f aca="false">p_phi*MAX(0,p_a_spv-BE216)/p_a_spv+(1-p_phi)*MAX(0,p_a_spv-BB216)/p_a_spv</f>
        <v>0.759547788047257</v>
      </c>
      <c r="BG216" s="43" t="n">
        <f aca="false">IF(BD216&gt;0,p_phi*MAX(0,BD216-BE216)/BD216+(1-p_phi)*MAX(0,BD216-BB216)/BD216,0)</f>
        <v>0.384939549630826</v>
      </c>
      <c r="BI216" s="12" t="str">
        <f aca="false">BDC!$A$15</f>
        <v>BXSL</v>
      </c>
      <c r="BJ216" s="43" t="n">
        <f aca="false">1-((1-BDC!$D$15)*$CD$223+BDC!$D$15*$CD$224)-p_gap-$CD$213*(1-BDC!$M$15)</f>
        <v>0.48930871061707</v>
      </c>
      <c r="BK216" s="43" t="n">
        <f aca="false">(1-BDC!$D$15)*$CD$225+BDC!$D$15*$CD$226</f>
        <v>0.0620042590793056</v>
      </c>
      <c r="BL216" s="45" t="n">
        <f aca="false">BJ216/BDC!$K$15</f>
        <v>0.874591159921849</v>
      </c>
      <c r="BM216" s="35" t="n">
        <f aca="false">IF(BL216&lt;1.5,BDC!$C$15,0)</f>
        <v>13.36</v>
      </c>
      <c r="BN216" s="43" t="n">
        <f aca="false">MAX(0,1-BJ216*(1-CE_mig_hc)-p_bb_cush)*BDC!$Q$15</f>
        <v>0.0982736463037332</v>
      </c>
      <c r="BO216" s="43" t="n">
        <f aca="false">MAX(0,BDC!$K$15-BJ216/1.5)</f>
        <v>0.23326555856072</v>
      </c>
      <c r="BP216" s="43" t="n">
        <f aca="false">MIN(MIN(1,BDC!$H$15*$CD$216),$CD$215)</f>
        <v>0</v>
      </c>
      <c r="BQ216" s="43" t="n">
        <f aca="false">BDC!$I$15*BDC!$J$15*BP216*(1-0.3)</f>
        <v>0</v>
      </c>
      <c r="BR216" s="45" t="n">
        <f aca="false">BDC!$C$15*($CD$214*MAX(BN216,BO216)+BQ216)</f>
        <v>3.11642786237122</v>
      </c>
      <c r="CC216" s="10" t="s">
        <v>982</v>
      </c>
      <c r="CD216" s="45" t="n">
        <f aca="false">1+p_req_pan*$CD$210</f>
        <v>3</v>
      </c>
    </row>
    <row r="217" customFormat="false" ht="15" hidden="false" customHeight="true" outlineLevel="0" collapsed="false">
      <c r="A217" s="10" t="s">
        <v>516</v>
      </c>
      <c r="B217" s="35" t="n">
        <f aca="false">AY177</f>
        <v>6.93301753118636</v>
      </c>
      <c r="C217" s="39" t="n">
        <f aca="false">AZ177</f>
        <v>0.0334695551461126</v>
      </c>
      <c r="D217" s="44" t="n">
        <f aca="false">IF(C217&lt;Inputs_Banks!$I16,1,0)</f>
        <v>1</v>
      </c>
      <c r="E217" s="44" t="n">
        <f aca="false">IF(C217&lt;0.045,1,0)</f>
        <v>1</v>
      </c>
      <c r="F217" s="44" t="n">
        <f aca="false">IF(B217&lt;0,1,0)</f>
        <v>0</v>
      </c>
      <c r="G217" s="44" t="n">
        <f aca="false">MIN(6,MIN(3,INT(MAX(0,Inputs_Banks!$BA16-C217)/p_notch_step))+D217+2*E217)</f>
        <v>6</v>
      </c>
      <c r="H217" s="39" t="n">
        <f aca="false">C217-Inputs_Banks!$I16</f>
        <v>-0.0515304448538874</v>
      </c>
      <c r="I217" s="44" t="n">
        <f aca="false">RANK(H217,$H$207:$H$230,1)</f>
        <v>16</v>
      </c>
      <c r="J217" s="44" t="n">
        <f aca="false">MAX(IF(I217&lt;=g_n_weak,1,0),E217)</f>
        <v>1</v>
      </c>
      <c r="K217" s="44" t="n">
        <f aca="false">IF(I217&gt;12,1,0)*(1-E217)</f>
        <v>0</v>
      </c>
      <c r="L217" s="35" t="n">
        <f aca="false">INDEX(Inputs_Banks!$AR16:$AX16,1,G217+1)</f>
        <v>0.099</v>
      </c>
      <c r="M217" s="35" t="n">
        <f aca="false">Inputs_Banks!$AI16*MIN(1,p_u_base+$CD$210*p_u_pan_all+J217*($CD$210*p_u_pan_weak+p_u_mda*D217)+p_u_notch*G217+p_u_fail*E217)</f>
        <v>238.80042</v>
      </c>
      <c r="N217" s="35" t="n">
        <f aca="false">Inputs_Banks!$AK16*MIN(1,p_w_base+p_w_pan*$CD$210+p_w_notch*G217+0.5*D217+1*E217)</f>
        <v>5.217</v>
      </c>
      <c r="O217" s="35" t="n">
        <f aca="false">Inputs_Banks!$AO16*MIN(1,p_cp_base+p_cp_pan*$CD$210+p_cp_notch*G217)</f>
        <v>0</v>
      </c>
      <c r="P217" s="35" t="n">
        <f aca="false">Inputs_Banks!$AN16*(p_dh+p_dh_pan*$CD$210+MIN(1,0.5*$CD$217+0.25*G217))</f>
        <v>5.66399469476295</v>
      </c>
      <c r="Q217" s="35" t="n">
        <f aca="false">Modules!$Y16</f>
        <v>2.4536497</v>
      </c>
      <c r="R217" s="35" t="n">
        <f aca="false">Inputs_Banks!$AJ16*K217</f>
        <v>0</v>
      </c>
      <c r="S217" s="35" t="n">
        <f aca="false">p_liq_on*$CD$218*SUM($M$207:$M$230)*R217/MAX(0.000000001,SUM($R$207:$R$230))</f>
        <v>0</v>
      </c>
      <c r="T217" s="35" t="n">
        <f aca="false">p_liq_on*(L217+M217+N217+O217+P217+Q217)</f>
        <v>252.234064394763</v>
      </c>
      <c r="U217" s="35" t="n">
        <f aca="false">g_usable*Inputs_Banks!$AG16+p_cb_on*Inputs_Banks!$AQ16+S217</f>
        <v>166.7</v>
      </c>
      <c r="V217" s="35" t="n">
        <f aca="false">MAX(0,T217-U217)</f>
        <v>85.534064394763</v>
      </c>
      <c r="W217" s="44" t="n">
        <f aca="false">IF(V217&gt;0.9*Inputs_Banks!$BB16,1,0)</f>
        <v>1</v>
      </c>
      <c r="X217" s="43" t="n">
        <f aca="false">MAX(p_htm_forced,(1-p_cb_on)*MIN(1,T217/Inputs_Banks!$AG16)*g_theta_sell)</f>
        <v>0.25</v>
      </c>
      <c r="Y217" s="35" t="n">
        <f aca="false">MAX(0,Modules!$V16-B217/(Inputs_Banks!$I16+g_del_buf))</f>
        <v>130.110471875707</v>
      </c>
      <c r="Z217" s="35" t="n">
        <f aca="false">MIN(g_del_cap*Inputs_Banks!$BB16,Y217)</f>
        <v>6.73</v>
      </c>
      <c r="AA217" s="35" t="n">
        <f aca="false">MIN(Inputs_Banks!$BB16,V217+Z217)</f>
        <v>26.92</v>
      </c>
      <c r="AB217" s="35" t="n">
        <f aca="false">$AA217*Holdings!Q16</f>
        <v>0</v>
      </c>
      <c r="AC217" s="35" t="n">
        <f aca="false">$AA217*Holdings!R16</f>
        <v>0</v>
      </c>
      <c r="AD217" s="35" t="n">
        <f aca="false">$AA217*Holdings!S16</f>
        <v>0</v>
      </c>
      <c r="AE217" s="35" t="n">
        <f aca="false">$AA217*Holdings!T16</f>
        <v>0.01</v>
      </c>
      <c r="AF217" s="35" t="n">
        <f aca="false">$AA217*Holdings!U16</f>
        <v>8.57</v>
      </c>
      <c r="AG217" s="35" t="n">
        <f aca="false">$AA217*Holdings!V16</f>
        <v>0</v>
      </c>
      <c r="AH217" s="35" t="n">
        <f aca="false">$AA217*Holdings!W16</f>
        <v>0</v>
      </c>
      <c r="AI217" s="35" t="n">
        <f aca="false">$AA217*Holdings!X16</f>
        <v>8.85</v>
      </c>
      <c r="AJ217" s="35" t="n">
        <f aca="false">$AA217*Holdings!Y16</f>
        <v>3.8</v>
      </c>
      <c r="AK217" s="35" t="n">
        <f aca="false">$AA217*Holdings!Z16</f>
        <v>0</v>
      </c>
      <c r="AL217" s="35" t="n">
        <f aca="false">$AA217*Holdings!AA16</f>
        <v>0</v>
      </c>
      <c r="AM217" s="35" t="n">
        <f aca="false">$AA217*Holdings!AB16</f>
        <v>0</v>
      </c>
      <c r="AN217" s="35" t="n">
        <f aca="false">$AA217*Holdings!AC16</f>
        <v>5.69</v>
      </c>
      <c r="AO217" s="43" t="n">
        <f aca="false">MIN(1,$CD$217+0.5*G217)</f>
        <v>1</v>
      </c>
      <c r="AP217" s="35" t="n">
        <f aca="false">p_liq_on*Inputs_Banks!$AP16*AO217*p_mb_psi</f>
        <v>0.42</v>
      </c>
      <c r="AQ217" s="44" t="n">
        <f aca="false">MAX(F217,E217,W217*(1-p_cb_on))</f>
        <v>1</v>
      </c>
      <c r="AR217" s="35" t="n">
        <f aca="false">p_ib_on*p_lgd_ib*g_s_in*g_u_ib*SUMPRODUCT(Network!M$6:M$29,$AQ$207:$AQ$230)</f>
        <v>2.72751307306586</v>
      </c>
      <c r="AS217" s="35" t="n">
        <f aca="false">p_sw_M1*(SUMPRODUCT(BDC_EAD!M$106:M$127,$BF$207:$BF$228)+SUMPRODUCT(BDC_EAD!M$131:M$152,$BG$207:$BG$228)+(Inputs_Banks!$Y16+p_ccf_bl*Inputs_Banks!$Z16)*$CD$230+Modules!$E16)</f>
        <v>0.407121874997196</v>
      </c>
      <c r="AT217" s="35" t="n">
        <f aca="false">p_sw_M3*(Inputs_Banks!$U16+p_ccf_abf*Inputs_Banks!$V16)*$CD$231</f>
        <v>0</v>
      </c>
      <c r="AU217" s="35" t="n">
        <f aca="false">p_sw_M10*Inputs_Banks!$AC16*$CD$232</f>
        <v>0</v>
      </c>
      <c r="AV217" s="35" t="n">
        <f aca="false">p_sw_M8*(Modules!$M16+Modules!$N16*IF(p_liq_on&gt;0,X217,p_htm_forced))</f>
        <v>4.143335</v>
      </c>
      <c r="AW217" s="35" t="n">
        <f aca="false">SUMPRODUCT(Holdings!$C16:$O16,Holdings!$C$32:$O$32,$AB$232:$AN$232)+Inputs_Banks!$P16*$AL$232</f>
        <v>3.32048302075058</v>
      </c>
      <c r="AX217" s="35" t="n">
        <f aca="false">Modules!$T16+AS217+AT217+AU217+AV217+AW217+AR217</f>
        <v>14.0669824688136</v>
      </c>
      <c r="AY217" s="35" t="n">
        <f aca="false">Modules!$U16-(1-p_tax)*AX217</f>
        <v>6.93301753118636</v>
      </c>
      <c r="AZ217" s="39" t="n">
        <f aca="false">AY217/Modules!$V16</f>
        <v>0.0334695551461126</v>
      </c>
      <c r="BA217" s="48" t="s">
        <v>635</v>
      </c>
      <c r="BB217" s="43" t="n">
        <f aca="false">INDEX($BJ$207:$BJ$240,BDC_EAD!$B16)</f>
        <v>0.412682242137413</v>
      </c>
      <c r="BC217" s="43" t="n">
        <f aca="false">INDEX($BK$207:$BK$240,BDC_EAD!$B16)</f>
        <v>0.0624886432334012</v>
      </c>
      <c r="BD217" s="22" t="n">
        <f aca="false">INDEX(BDC!$Q$6:$Q$39,BDC_EAD!$B16)</f>
        <v>0.274</v>
      </c>
      <c r="BE217" s="43" t="n">
        <f aca="false">BB217*(1-$AK$232)-BC217-p_c_liq</f>
        <v>0.114486589942176</v>
      </c>
      <c r="BF217" s="43" t="n">
        <f aca="false">p_phi*MAX(0,p_a_spv-BE217)/p_a_spv+(1-p_phi)*MAX(0,p_a_spv-BB217)/p_a_spv</f>
        <v>0.751248970883967</v>
      </c>
      <c r="BG217" s="43" t="n">
        <f aca="false">IF(BD217&gt;0,p_phi*MAX(0,BD217-BE217)/BD217+(1-p_phi)*MAX(0,BD217-BB217)/BD217,0)</f>
        <v>0.465732584110435</v>
      </c>
      <c r="BI217" s="12" t="str">
        <f aca="false">BDC!$A$16</f>
        <v>FSK</v>
      </c>
      <c r="BJ217" s="43" t="n">
        <f aca="false">1-((1-BDC!$D$16)*$CD$223+BDC!$D$16*$CD$224)-p_gap-$CD$213*(1-BDC!$M$16)</f>
        <v>0.329896338848212</v>
      </c>
      <c r="BK217" s="43" t="n">
        <f aca="false">(1-BDC!$D$16)*$CD$225+BDC!$D$16*$CD$226</f>
        <v>0.0624513829138554</v>
      </c>
      <c r="BL217" s="45" t="n">
        <f aca="false">BJ217/BDC!$K$16</f>
        <v>0.591718829997586</v>
      </c>
      <c r="BM217" s="35" t="n">
        <f aca="false">IF(BL217&lt;1.5,BDC!$C$16,0)</f>
        <v>11.42</v>
      </c>
      <c r="BN217" s="43" t="n">
        <f aca="false">MAX(0,1-BJ217*(1-CE_mig_hc)-p_bb_cush)*BDC!$Q$16</f>
        <v>0.113991293243687</v>
      </c>
      <c r="BO217" s="43" t="n">
        <f aca="false">MAX(0,BDC!$K$16-BJ217/1.5)</f>
        <v>0.337591231328331</v>
      </c>
      <c r="BP217" s="43" t="n">
        <f aca="false">MIN(MIN(1,BDC!$H$16*$CD$216),$CD$215)</f>
        <v>0</v>
      </c>
      <c r="BQ217" s="43" t="n">
        <f aca="false">BDC!$I$16*BDC!$J$16*BP217*(1-0.3)</f>
        <v>0</v>
      </c>
      <c r="BR217" s="45" t="n">
        <f aca="false">BDC!$C$16*($CD$214*MAX(BN217,BO217)+BQ217)</f>
        <v>3.85529186176954</v>
      </c>
      <c r="CC217" s="10" t="s">
        <v>983</v>
      </c>
      <c r="CD217" s="43" t="n">
        <f aca="false">p_pull_base+p_pull_pan*$CD$210</f>
        <v>1.25</v>
      </c>
    </row>
    <row r="218" customFormat="false" ht="15" hidden="false" customHeight="true" outlineLevel="0" collapsed="false">
      <c r="A218" s="10" t="s">
        <v>518</v>
      </c>
      <c r="B218" s="35" t="n">
        <f aca="false">AY178</f>
        <v>11.8616115947604</v>
      </c>
      <c r="C218" s="39" t="n">
        <f aca="false">AZ178</f>
        <v>0.0594960655409115</v>
      </c>
      <c r="D218" s="44" t="n">
        <f aca="false">IF(C218&lt;Inputs_Banks!$I17,1,0)</f>
        <v>1</v>
      </c>
      <c r="E218" s="44" t="n">
        <f aca="false">IF(C218&lt;0.045,1,0)</f>
        <v>0</v>
      </c>
      <c r="F218" s="44" t="n">
        <f aca="false">IF(B218&lt;0,1,0)</f>
        <v>0</v>
      </c>
      <c r="G218" s="44" t="n">
        <f aca="false">MIN(6,MIN(3,INT(MAX(0,Inputs_Banks!$BA17-C218)/p_notch_step))+D218+2*E218)</f>
        <v>2</v>
      </c>
      <c r="H218" s="39" t="n">
        <f aca="false">C218-Inputs_Banks!$I17</f>
        <v>-0.0105039344590885</v>
      </c>
      <c r="I218" s="44" t="n">
        <f aca="false">RANK(H218,$H$207:$H$230,1)</f>
        <v>24</v>
      </c>
      <c r="J218" s="44" t="n">
        <f aca="false">MAX(IF(I218&lt;=g_n_weak,1,0),E218)</f>
        <v>0</v>
      </c>
      <c r="K218" s="44" t="n">
        <f aca="false">IF(I218&gt;12,1,0)*(1-E218)</f>
        <v>1</v>
      </c>
      <c r="L218" s="35" t="n">
        <f aca="false">INDEX(Inputs_Banks!$AR17:$AX17,1,G218+1)</f>
        <v>0.11828</v>
      </c>
      <c r="M218" s="35" t="n">
        <f aca="false">Inputs_Banks!$AI17*MIN(1,p_u_base+$CD$210*p_u_pan_all+J218*($CD$210*p_u_pan_weak+p_u_mda*D218)+p_u_notch*G218+p_u_fail*E218)</f>
        <v>14.9638</v>
      </c>
      <c r="N218" s="35" t="n">
        <f aca="false">Inputs_Banks!$AK17*MIN(1,p_w_base+p_w_pan*$CD$210+p_w_notch*G218+0.5*D218+1*E218)</f>
        <v>0</v>
      </c>
      <c r="O218" s="35" t="n">
        <f aca="false">Inputs_Banks!$AO17*MIN(1,p_cp_base+p_cp_pan*$CD$210+p_cp_notch*G218)</f>
        <v>0</v>
      </c>
      <c r="P218" s="35" t="n">
        <f aca="false">Inputs_Banks!$AN17*(p_dh+p_dh_pan*$CD$210+MIN(1,0.5*$CD$217+0.25*G218))</f>
        <v>0.020748</v>
      </c>
      <c r="Q218" s="35" t="n">
        <f aca="false">Modules!$Y17</f>
        <v>9.4376065</v>
      </c>
      <c r="R218" s="35" t="n">
        <f aca="false">Inputs_Banks!$AJ17*K218</f>
        <v>173.427</v>
      </c>
      <c r="S218" s="35" t="n">
        <f aca="false">p_liq_on*$CD$218*SUM($M$207:$M$230)*R218/MAX(0.000000001,SUM($R$207:$R$230))</f>
        <v>35.9134013977626</v>
      </c>
      <c r="T218" s="35" t="n">
        <f aca="false">p_liq_on*(L218+M218+N218+O218+P218+Q218)</f>
        <v>24.5404345</v>
      </c>
      <c r="U218" s="35" t="n">
        <f aca="false">g_usable*Inputs_Banks!$AG17+p_cb_on*Inputs_Banks!$AQ17+S218</f>
        <v>101.442401397763</v>
      </c>
      <c r="V218" s="35" t="n">
        <f aca="false">MAX(0,T218-U218)</f>
        <v>0</v>
      </c>
      <c r="W218" s="44" t="n">
        <f aca="false">IF(V218&gt;0.9*Inputs_Banks!$BB17,1,0)</f>
        <v>0</v>
      </c>
      <c r="X218" s="43" t="n">
        <f aca="false">MAX(p_htm_forced,(1-p_cb_on)*MIN(1,T218/Inputs_Banks!$AG17)*g_theta_sell)</f>
        <v>0.103738732245519</v>
      </c>
      <c r="Y218" s="35" t="n">
        <f aca="false">MAX(0,Modules!$V17-B218/(Inputs_Banks!$I17+g_del_buf))</f>
        <v>41.2131787365274</v>
      </c>
      <c r="Z218" s="35" t="n">
        <f aca="false">MIN(g_del_cap*Inputs_Banks!$BB17,Y218)</f>
        <v>0.04</v>
      </c>
      <c r="AA218" s="35" t="n">
        <f aca="false">MIN(Inputs_Banks!$BB17,V218+Z218)</f>
        <v>0.04</v>
      </c>
      <c r="AB218" s="35" t="n">
        <f aca="false">$AA218*Holdings!Q17</f>
        <v>0</v>
      </c>
      <c r="AC218" s="35" t="n">
        <f aca="false">$AA218*Holdings!R17</f>
        <v>0</v>
      </c>
      <c r="AD218" s="35" t="n">
        <f aca="false">$AA218*Holdings!S17</f>
        <v>0</v>
      </c>
      <c r="AE218" s="35" t="n">
        <f aca="false">$AA218*Holdings!T17</f>
        <v>0.0025</v>
      </c>
      <c r="AF218" s="35" t="n">
        <f aca="false">$AA218*Holdings!U17</f>
        <v>0.0325</v>
      </c>
      <c r="AG218" s="35" t="n">
        <f aca="false">$AA218*Holdings!V17</f>
        <v>0</v>
      </c>
      <c r="AH218" s="35" t="n">
        <f aca="false">$AA218*Holdings!W17</f>
        <v>0</v>
      </c>
      <c r="AI218" s="35" t="n">
        <f aca="false">$AA218*Holdings!X17</f>
        <v>0</v>
      </c>
      <c r="AJ218" s="35" t="n">
        <f aca="false">$AA218*Holdings!Y17</f>
        <v>0.005</v>
      </c>
      <c r="AK218" s="35" t="n">
        <f aca="false">$AA218*Holdings!Z17</f>
        <v>0</v>
      </c>
      <c r="AL218" s="35" t="n">
        <f aca="false">$AA218*Holdings!AA17</f>
        <v>0</v>
      </c>
      <c r="AM218" s="35" t="n">
        <f aca="false">$AA218*Holdings!AB17</f>
        <v>0</v>
      </c>
      <c r="AN218" s="35" t="n">
        <f aca="false">$AA218*Holdings!AC17</f>
        <v>0</v>
      </c>
      <c r="AO218" s="43" t="n">
        <f aca="false">MIN(1,$CD$217+0.5*G218)</f>
        <v>1</v>
      </c>
      <c r="AP218" s="35" t="n">
        <f aca="false">p_liq_on*Inputs_Banks!$AP17*AO218*p_mb_psi</f>
        <v>0</v>
      </c>
      <c r="AQ218" s="44" t="n">
        <f aca="false">MAX(F218,E218,W218*(1-p_cb_on))</f>
        <v>0</v>
      </c>
      <c r="AR218" s="35" t="n">
        <f aca="false">p_ib_on*p_lgd_ib*g_s_in*g_u_ib*SUMPRODUCT(Network!N$6:N$29,$AQ$207:$AQ$230)</f>
        <v>0.21536570652345</v>
      </c>
      <c r="AS218" s="35" t="n">
        <f aca="false">p_sw_M1*(SUMPRODUCT(BDC_EAD!N$106:N$127,$BF$207:$BF$228)+SUMPRODUCT(BDC_EAD!N$131:N$152,$BG$207:$BG$228)+(Inputs_Banks!$Y17+p_ccf_bl*Inputs_Banks!$Z17)*$CD$230+Modules!$E17)</f>
        <v>2.93860692950688</v>
      </c>
      <c r="AT218" s="35" t="n">
        <f aca="false">p_sw_M3*(Inputs_Banks!$U17+p_ccf_abf*Inputs_Banks!$V17)*$CD$231</f>
        <v>0</v>
      </c>
      <c r="AU218" s="35" t="n">
        <f aca="false">p_sw_M10*Inputs_Banks!$AC17*$CD$232</f>
        <v>0</v>
      </c>
      <c r="AV218" s="35" t="n">
        <f aca="false">p_sw_M8*(Modules!$M17+Modules!$N17*IF(p_liq_on&gt;0,X218,p_htm_forced))</f>
        <v>0.326326261781778</v>
      </c>
      <c r="AW218" s="35" t="n">
        <f aca="false">SUMPRODUCT(Holdings!$C17:$O17,Holdings!$C$32:$O$32,$AB$232:$AN$232)+Inputs_Banks!$P17*$AL$232</f>
        <v>0.0407895074274526</v>
      </c>
      <c r="AX218" s="35" t="n">
        <f aca="false">Modules!$T17+AS218+AT218+AU218+AV218+AW218+AR218</f>
        <v>8.02338840523956</v>
      </c>
      <c r="AY218" s="35" t="n">
        <f aca="false">Modules!$U17-(1-p_tax)*AX218</f>
        <v>11.8616115947604</v>
      </c>
      <c r="AZ218" s="39" t="n">
        <f aca="false">AY218/Modules!$V17</f>
        <v>0.0594960655409115</v>
      </c>
      <c r="BA218" s="48" t="s">
        <v>651</v>
      </c>
      <c r="BB218" s="43" t="n">
        <f aca="false">INDEX($BJ$207:$BJ$240,BDC_EAD!$B17)</f>
        <v>0.49422228775433</v>
      </c>
      <c r="BC218" s="43" t="n">
        <f aca="false">INDEX($BK$207:$BK$240,BDC_EAD!$B17)</f>
        <v>0.0568250746624368</v>
      </c>
      <c r="BD218" s="22" t="n">
        <f aca="false">INDEX(BDC!$Q$6:$Q$39,BDC_EAD!$B17)</f>
        <v>0.253694581280788</v>
      </c>
      <c r="BE218" s="43" t="n">
        <f aca="false">BB218*(1-$AK$232)-BC218-p_c_liq</f>
        <v>0.164997183602445</v>
      </c>
      <c r="BF218" s="43" t="n">
        <f aca="false">p_phi*MAX(0,p_a_spv-BE218)/p_a_spv+(1-p_phi)*MAX(0,p_a_spv-BB218)/p_a_spv</f>
        <v>0.670225422238826</v>
      </c>
      <c r="BG218" s="43" t="n">
        <f aca="false">IF(BD218&gt;0,p_phi*MAX(0,BD218-BE218)/BD218+(1-p_phi)*MAX(0,BD218-BB218)/BD218,0)</f>
        <v>0.279698201610932</v>
      </c>
      <c r="BI218" s="12" t="str">
        <f aca="false">BDC!$A$17</f>
        <v>GCRED</v>
      </c>
      <c r="BJ218" s="43" t="n">
        <f aca="false">1-((1-BDC!$D$17)*$CD$223+BDC!$D$17*$CD$224)-p_gap-$CD$213*(1-BDC!$M$17)</f>
        <v>0.405048197461641</v>
      </c>
      <c r="BK218" s="43" t="n">
        <f aca="false">(1-BDC!$D$17)*$CD$225+BDC!$D$17*$CD$226</f>
        <v>0.0612217923688434</v>
      </c>
      <c r="BL218" s="45" t="n">
        <f aca="false">BJ218/BDC!$K$17</f>
        <v>0.757264021341329</v>
      </c>
      <c r="BM218" s="35" t="n">
        <f aca="false">IF(BL218&lt;1.5,BDC!$C$17,0)</f>
        <v>9.62</v>
      </c>
      <c r="BN218" s="43" t="n">
        <f aca="false">MAX(0,1-BJ218*(1-CE_mig_hc)-p_bb_cush)*BDC!$Q$17</f>
        <v>0.180836754320013</v>
      </c>
      <c r="BO218" s="43" t="n">
        <f aca="false">MAX(0,BDC!$K$17-BJ218/1.5)</f>
        <v>0.264851589289138</v>
      </c>
      <c r="BP218" s="43" t="n">
        <f aca="false">MIN(MIN(1,BDC!$H$17*$CD$216),$CD$215)</f>
        <v>0.15</v>
      </c>
      <c r="BQ218" s="43" t="n">
        <f aca="false">BDC!$I$17*BDC!$J$17*BP218*(1-0.3)</f>
        <v>0.0488372093023256</v>
      </c>
      <c r="BR218" s="45" t="n">
        <f aca="false">BDC!$C$17*($CD$214*MAX(BN218,BO218)+BQ218)</f>
        <v>3.01768624244988</v>
      </c>
      <c r="CC218" s="10" t="s">
        <v>984</v>
      </c>
      <c r="CD218" s="43" t="n">
        <f aca="false">p_recyc*(1-p_rec_pan*$CD$210)</f>
        <v>0.225</v>
      </c>
    </row>
    <row r="219" customFormat="false" ht="15" hidden="false" customHeight="true" outlineLevel="0" collapsed="false">
      <c r="A219" s="10" t="s">
        <v>520</v>
      </c>
      <c r="B219" s="35" t="n">
        <f aca="false">AY179</f>
        <v>7.58803884672162</v>
      </c>
      <c r="C219" s="39" t="n">
        <f aca="false">AZ179</f>
        <v>0.0396275346594056</v>
      </c>
      <c r="D219" s="44" t="n">
        <f aca="false">IF(C219&lt;Inputs_Banks!$I18,1,0)</f>
        <v>1</v>
      </c>
      <c r="E219" s="44" t="n">
        <f aca="false">IF(C219&lt;0.045,1,0)</f>
        <v>1</v>
      </c>
      <c r="F219" s="44" t="n">
        <f aca="false">IF(B219&lt;0,1,0)</f>
        <v>0</v>
      </c>
      <c r="G219" s="44" t="n">
        <f aca="false">MIN(6,MIN(3,INT(MAX(0,Inputs_Banks!$BA18-C219)/p_notch_step))+D219+2*E219)</f>
        <v>5</v>
      </c>
      <c r="H219" s="39" t="n">
        <f aca="false">C219-Inputs_Banks!$I18</f>
        <v>-0.0503724653405944</v>
      </c>
      <c r="I219" s="44" t="n">
        <f aca="false">RANK(H219,$H$207:$H$230,1)</f>
        <v>17</v>
      </c>
      <c r="J219" s="44" t="n">
        <f aca="false">MAX(IF(I219&lt;=g_n_weak,1,0),E219)</f>
        <v>1</v>
      </c>
      <c r="K219" s="44" t="n">
        <f aca="false">IF(I219&gt;12,1,0)*(1-E219)</f>
        <v>0</v>
      </c>
      <c r="L219" s="35" t="n">
        <f aca="false">INDEX(Inputs_Banks!$AR18:$AX18,1,G219+1)</f>
        <v>0.2565</v>
      </c>
      <c r="M219" s="35" t="n">
        <f aca="false">Inputs_Banks!$AI18*MIN(1,p_u_base+$CD$210*p_u_pan_all+J219*($CD$210*p_u_pan_weak+p_u_mda*D219)+p_u_notch*G219+p_u_fail*E219)</f>
        <v>80.6553</v>
      </c>
      <c r="N219" s="35" t="n">
        <f aca="false">Inputs_Banks!$AK18*MIN(1,p_w_base+p_w_pan*$CD$210+p_w_notch*G219+0.5*D219+1*E219)</f>
        <v>1.159</v>
      </c>
      <c r="O219" s="35" t="n">
        <f aca="false">Inputs_Banks!$AO18*MIN(1,p_cp_base+p_cp_pan*$CD$210+p_cp_notch*G219)</f>
        <v>0</v>
      </c>
      <c r="P219" s="35" t="n">
        <f aca="false">Inputs_Banks!$AN18*(p_dh+p_dh_pan*$CD$210+MIN(1,0.5*$CD$217+0.25*G219))</f>
        <v>0</v>
      </c>
      <c r="Q219" s="35" t="n">
        <f aca="false">Modules!$Y18</f>
        <v>9.1258367</v>
      </c>
      <c r="R219" s="35" t="n">
        <f aca="false">Inputs_Banks!$AJ18*K219</f>
        <v>0</v>
      </c>
      <c r="S219" s="35" t="n">
        <f aca="false">p_liq_on*$CD$218*SUM($M$207:$M$230)*R219/MAX(0.000000001,SUM($R$207:$R$230))</f>
        <v>0</v>
      </c>
      <c r="T219" s="35" t="n">
        <f aca="false">p_liq_on*(L219+M219+N219+O219+P219+Q219)</f>
        <v>91.1966367</v>
      </c>
      <c r="U219" s="35" t="n">
        <f aca="false">g_usable*Inputs_Banks!$AG18+p_cb_on*Inputs_Banks!$AQ18+S219</f>
        <v>82.755</v>
      </c>
      <c r="V219" s="35" t="n">
        <f aca="false">MAX(0,T219-U219)</f>
        <v>8.44163670000003</v>
      </c>
      <c r="W219" s="44" t="n">
        <f aca="false">IF(V219&gt;0.9*Inputs_Banks!$BB18,1,0)</f>
        <v>1</v>
      </c>
      <c r="X219" s="43" t="n">
        <f aca="false">MAX(p_htm_forced,(1-p_cb_on)*MIN(1,T219/Inputs_Banks!$AG18)*g_theta_sell)</f>
        <v>0.25</v>
      </c>
      <c r="Y219" s="35" t="n">
        <f aca="false">MAX(0,Modules!$V18-B219/(Inputs_Banks!$I18+g_del_buf))</f>
        <v>111.609906876615</v>
      </c>
      <c r="Z219" s="35" t="n">
        <f aca="false">MIN(g_del_cap*Inputs_Banks!$BB18,Y219)</f>
        <v>0.1825</v>
      </c>
      <c r="AA219" s="35" t="n">
        <f aca="false">MIN(Inputs_Banks!$BB18,V219+Z219)</f>
        <v>0.73</v>
      </c>
      <c r="AB219" s="35" t="n">
        <f aca="false">$AA219*Holdings!Q18</f>
        <v>0</v>
      </c>
      <c r="AC219" s="35" t="n">
        <f aca="false">$AA219*Holdings!R18</f>
        <v>0</v>
      </c>
      <c r="AD219" s="35" t="n">
        <f aca="false">$AA219*Holdings!S18</f>
        <v>0</v>
      </c>
      <c r="AE219" s="35" t="n">
        <f aca="false">$AA219*Holdings!T18</f>
        <v>0</v>
      </c>
      <c r="AF219" s="35" t="n">
        <f aca="false">$AA219*Holdings!U18</f>
        <v>0</v>
      </c>
      <c r="AG219" s="35" t="n">
        <f aca="false">$AA219*Holdings!V18</f>
        <v>0</v>
      </c>
      <c r="AH219" s="35" t="n">
        <f aca="false">$AA219*Holdings!W18</f>
        <v>0.15</v>
      </c>
      <c r="AI219" s="35" t="n">
        <f aca="false">$AA219*Holdings!X18</f>
        <v>0.04</v>
      </c>
      <c r="AJ219" s="35" t="n">
        <f aca="false">$AA219*Holdings!Y18</f>
        <v>0.54</v>
      </c>
      <c r="AK219" s="35" t="n">
        <f aca="false">$AA219*Holdings!Z18</f>
        <v>0</v>
      </c>
      <c r="AL219" s="35" t="n">
        <f aca="false">$AA219*Holdings!AA18</f>
        <v>0</v>
      </c>
      <c r="AM219" s="35" t="n">
        <f aca="false">$AA219*Holdings!AB18</f>
        <v>0</v>
      </c>
      <c r="AN219" s="35" t="n">
        <f aca="false">$AA219*Holdings!AC18</f>
        <v>0</v>
      </c>
      <c r="AO219" s="43" t="n">
        <f aca="false">MIN(1,$CD$217+0.5*G219)</f>
        <v>1</v>
      </c>
      <c r="AP219" s="35" t="n">
        <f aca="false">p_liq_on*Inputs_Banks!$AP18*AO219*p_mb_psi</f>
        <v>0</v>
      </c>
      <c r="AQ219" s="44" t="n">
        <f aca="false">MAX(F219,E219,W219*(1-p_cb_on))</f>
        <v>1</v>
      </c>
      <c r="AR219" s="35" t="n">
        <f aca="false">p_ib_on*p_lgd_ib*g_s_in*g_u_ib*SUMPRODUCT(Network!O$6:O$29,$AQ$207:$AQ$230)</f>
        <v>0.211388228855768</v>
      </c>
      <c r="AS219" s="35" t="n">
        <f aca="false">p_sw_M1*(SUMPRODUCT(BDC_EAD!O$106:O$127,$BF$207:$BF$228)+SUMPRODUCT(BDC_EAD!O$131:O$152,$BG$207:$BG$228)+(Inputs_Banks!$Y18+p_ccf_bl*Inputs_Banks!$Z18)*$CD$230+Modules!$E18)</f>
        <v>7.14534260130844</v>
      </c>
      <c r="AT219" s="35" t="n">
        <f aca="false">p_sw_M3*(Inputs_Banks!$U18+p_ccf_abf*Inputs_Banks!$V18)*$CD$231</f>
        <v>0</v>
      </c>
      <c r="AU219" s="35" t="n">
        <f aca="false">p_sw_M10*Inputs_Banks!$AC18*$CD$232</f>
        <v>0</v>
      </c>
      <c r="AV219" s="35" t="n">
        <f aca="false">p_sw_M8*(Modules!$M18+Modules!$N18*IF(p_liq_on&gt;0,X219,p_htm_forced))</f>
        <v>0.93737</v>
      </c>
      <c r="AW219" s="35" t="n">
        <f aca="false">SUMPRODUCT(Holdings!$C18:$O18,Holdings!$C$32:$O$32,$AB$232:$AN$232)+Inputs_Banks!$P18*$AL$232</f>
        <v>0.18056032311418</v>
      </c>
      <c r="AX219" s="35" t="n">
        <f aca="false">Modules!$T18+AS219+AT219+AU219+AV219+AW219+AR219</f>
        <v>11.1119611532784</v>
      </c>
      <c r="AY219" s="35" t="n">
        <f aca="false">Modules!$U18-(1-p_tax)*AX219</f>
        <v>7.58803884672162</v>
      </c>
      <c r="AZ219" s="39" t="n">
        <f aca="false">AY219/Modules!$V18</f>
        <v>0.0396275346594056</v>
      </c>
      <c r="BA219" s="48" t="s">
        <v>648</v>
      </c>
      <c r="BB219" s="43" t="n">
        <f aca="false">INDEX($BJ$207:$BJ$240,BDC_EAD!$B18)</f>
        <v>0.556417298789294</v>
      </c>
      <c r="BC219" s="43" t="n">
        <f aca="false">INDEX($BK$207:$BK$240,BDC_EAD!$B18)</f>
        <v>0.0671461831766286</v>
      </c>
      <c r="BD219" s="22" t="n">
        <f aca="false">INDEX(BDC!$Q$6:$Q$39,BDC_EAD!$B18)</f>
        <v>0.103555555555556</v>
      </c>
      <c r="BE219" s="43" t="n">
        <f aca="false">BB219*(1-$AK$232)-BC219-p_c_liq</f>
        <v>0.188883331157483</v>
      </c>
      <c r="BF219" s="43" t="n">
        <f aca="false">p_phi*MAX(0,p_a_spv-BE219)/p_a_spv+(1-p_phi)*MAX(0,p_a_spv-BB219)/p_a_spv</f>
        <v>0.625156964737364</v>
      </c>
      <c r="BG219" s="43" t="n">
        <f aca="false">IF(BD219&gt;0,p_phi*MAX(0,BD219-BE219)/BD219+(1-p_phi)*MAX(0,BD219-BB219)/BD219,0)</f>
        <v>0</v>
      </c>
      <c r="BI219" s="12" t="str">
        <f aca="false">BDC!$A$18</f>
        <v>SSLP</v>
      </c>
      <c r="BJ219" s="43" t="n">
        <f aca="false">1-((1-BDC!$D$18)*$CD$223+BDC!$D$18*$CD$224)-p_gap-$CD$213*(1-BDC!$M$18)</f>
        <v>0.432216415278359</v>
      </c>
      <c r="BK219" s="43" t="n">
        <f aca="false">(1-BDC!$D$18)*$CD$225+BDC!$D$18*$CD$226</f>
        <v>0.0657302910338875</v>
      </c>
      <c r="BL219" s="45" t="n">
        <f aca="false">BJ219/BDC!$K$18</f>
        <v>0.90717950899084</v>
      </c>
      <c r="BM219" s="35" t="n">
        <f aca="false">IF(BL219&lt;1.5,BDC!$C$18,0)</f>
        <v>8.65</v>
      </c>
      <c r="BN219" s="43" t="n">
        <f aca="false">MAX(0,1-BJ219*(1-CE_mig_hc)-p_bb_cush)*BDC!$Q$18</f>
        <v>0.139067200512426</v>
      </c>
      <c r="BO219" s="43" t="n">
        <f aca="false">MAX(0,BDC!$K$18-BJ219/1.5)</f>
        <v>0.188295513723677</v>
      </c>
      <c r="BP219" s="43" t="n">
        <f aca="false">MIN(MIN(1,BDC!$H$18*$CD$216),$CD$215)</f>
        <v>0</v>
      </c>
      <c r="BQ219" s="43" t="n">
        <f aca="false">BDC!$I$18*BDC!$J$18*BP219*(1-0.3)</f>
        <v>0</v>
      </c>
      <c r="BR219" s="45" t="n">
        <f aca="false">BDC!$C$18*($CD$214*MAX(BN219,BO219)+BQ219)</f>
        <v>1.62875619370981</v>
      </c>
      <c r="CC219" s="10" t="s">
        <v>985</v>
      </c>
      <c r="CD219" s="45" t="n">
        <f aca="false">p_dealer_mult*(1+p_dm_pan*$CD$210)</f>
        <v>10</v>
      </c>
    </row>
    <row r="220" customFormat="false" ht="15" hidden="false" customHeight="true" outlineLevel="0" collapsed="false">
      <c r="A220" s="10" t="s">
        <v>522</v>
      </c>
      <c r="B220" s="35" t="n">
        <f aca="false">AY180</f>
        <v>-11.0481129610457</v>
      </c>
      <c r="C220" s="39" t="n">
        <f aca="false">AZ180</f>
        <v>-0.0211494340470956</v>
      </c>
      <c r="D220" s="44" t="n">
        <f aca="false">IF(C220&lt;Inputs_Banks!$I19,1,0)</f>
        <v>1</v>
      </c>
      <c r="E220" s="44" t="n">
        <f aca="false">IF(C220&lt;0.045,1,0)</f>
        <v>1</v>
      </c>
      <c r="F220" s="44" t="n">
        <f aca="false">IF(B220&lt;0,1,0)</f>
        <v>1</v>
      </c>
      <c r="G220" s="44" t="n">
        <f aca="false">MIN(6,MIN(3,INT(MAX(0,Inputs_Banks!$BA19-C220)/p_notch_step))+D220+2*E220)</f>
        <v>6</v>
      </c>
      <c r="H220" s="39" t="n">
        <f aca="false">C220-Inputs_Banks!$I19</f>
        <v>-0.143149434047096</v>
      </c>
      <c r="I220" s="44" t="n">
        <f aca="false">RANK(H220,$H$207:$H$230,1)</f>
        <v>2</v>
      </c>
      <c r="J220" s="44" t="n">
        <f aca="false">MAX(IF(I220&lt;=g_n_weak,1,0),E220)</f>
        <v>1</v>
      </c>
      <c r="K220" s="44" t="n">
        <f aca="false">IF(I220&gt;12,1,0)*(1-E220)</f>
        <v>0</v>
      </c>
      <c r="L220" s="35" t="n">
        <f aca="false">INDEX(Inputs_Banks!$AR19:$AX19,1,G220+1)</f>
        <v>14.916375</v>
      </c>
      <c r="M220" s="35" t="n">
        <f aca="false">Inputs_Banks!$AI19*MIN(1,p_u_base+$CD$210*p_u_pan_all+J220*($CD$210*p_u_pan_weak+p_u_mda*D220)+p_u_notch*G220+p_u_fail*E220)</f>
        <v>333.3485112849</v>
      </c>
      <c r="N220" s="35" t="n">
        <f aca="false">Inputs_Banks!$AK19*MIN(1,p_w_base+p_w_pan*$CD$210+p_w_notch*G220+0.5*D220+1*E220)</f>
        <v>103.81797</v>
      </c>
      <c r="O220" s="35" t="n">
        <f aca="false">Inputs_Banks!$AO19*MIN(1,p_cp_base+p_cp_pan*$CD$210+p_cp_notch*G220)</f>
        <v>30.26</v>
      </c>
      <c r="P220" s="35" t="n">
        <f aca="false">Inputs_Banks!$AN19*(p_dh+p_dh_pan*$CD$210+MIN(1,0.5*$CD$217+0.25*G220))</f>
        <v>159.617894592383</v>
      </c>
      <c r="Q220" s="35" t="n">
        <f aca="false">Modules!$Y19</f>
        <v>26.8418486</v>
      </c>
      <c r="R220" s="35" t="n">
        <f aca="false">Inputs_Banks!$AJ19*K220</f>
        <v>0</v>
      </c>
      <c r="S220" s="35" t="n">
        <f aca="false">p_liq_on*$CD$218*SUM($M$207:$M$230)*R220/MAX(0.000000001,SUM($R$207:$R$230))</f>
        <v>0</v>
      </c>
      <c r="T220" s="35" t="n">
        <f aca="false">p_liq_on*(L220+M220+N220+O220+P220+Q220)</f>
        <v>668.802599477283</v>
      </c>
      <c r="U220" s="35" t="n">
        <f aca="false">g_usable*Inputs_Banks!$AG19+p_cb_on*Inputs_Banks!$AQ19+S220</f>
        <v>591.841983</v>
      </c>
      <c r="V220" s="35" t="n">
        <f aca="false">MAX(0,T220-U220)</f>
        <v>76.9606164772833</v>
      </c>
      <c r="W220" s="44" t="n">
        <f aca="false">IF(V220&gt;0.9*Inputs_Banks!$BB19,1,0)</f>
        <v>0</v>
      </c>
      <c r="X220" s="43" t="n">
        <f aca="false">MAX(p_htm_forced,(1-p_cb_on)*MIN(1,T220/Inputs_Banks!$AG19)*g_theta_sell)</f>
        <v>0.25</v>
      </c>
      <c r="Y220" s="35" t="n">
        <f aca="false">MAX(0,Modules!$V19-B220/(Inputs_Banks!$I19+g_del_buf))</f>
        <v>609.376401041305</v>
      </c>
      <c r="Z220" s="35" t="n">
        <f aca="false">MIN(g_del_cap*Inputs_Banks!$BB19,Y220)</f>
        <v>55.795</v>
      </c>
      <c r="AA220" s="35" t="n">
        <f aca="false">MIN(Inputs_Banks!$BB19,V220+Z220)</f>
        <v>132.755616477283</v>
      </c>
      <c r="AB220" s="35" t="n">
        <f aca="false">$AA220*Holdings!Q19</f>
        <v>0</v>
      </c>
      <c r="AC220" s="35" t="n">
        <f aca="false">$AA220*Holdings!R19</f>
        <v>0</v>
      </c>
      <c r="AD220" s="35" t="n">
        <f aca="false">$AA220*Holdings!S19</f>
        <v>0</v>
      </c>
      <c r="AE220" s="35" t="n">
        <f aca="false">$AA220*Holdings!T19</f>
        <v>0</v>
      </c>
      <c r="AF220" s="35" t="n">
        <f aca="false">$AA220*Holdings!U19</f>
        <v>35.993558352184</v>
      </c>
      <c r="AG220" s="35" t="n">
        <f aca="false">$AA220*Holdings!V19</f>
        <v>0</v>
      </c>
      <c r="AH220" s="35" t="n">
        <f aca="false">$AA220*Holdings!W19</f>
        <v>9.66014522623479</v>
      </c>
      <c r="AI220" s="35" t="n">
        <f aca="false">$AA220*Holdings!X19</f>
        <v>0</v>
      </c>
      <c r="AJ220" s="35" t="n">
        <f aca="false">$AA220*Holdings!Y19</f>
        <v>21.2832509972094</v>
      </c>
      <c r="AK220" s="35" t="n">
        <f aca="false">$AA220*Holdings!Z19</f>
        <v>0</v>
      </c>
      <c r="AL220" s="35" t="n">
        <f aca="false">$AA220*Holdings!AA19</f>
        <v>65.6521076736167</v>
      </c>
      <c r="AM220" s="35" t="n">
        <f aca="false">$AA220*Holdings!AB19</f>
        <v>0</v>
      </c>
      <c r="AN220" s="35" t="n">
        <f aca="false">$AA220*Holdings!AC19</f>
        <v>0.166554228038531</v>
      </c>
      <c r="AO220" s="43" t="n">
        <f aca="false">MIN(1,$CD$217+0.5*G220)</f>
        <v>1</v>
      </c>
      <c r="AP220" s="35" t="n">
        <f aca="false">p_liq_on*Inputs_Banks!$AP19*AO220*p_mb_psi</f>
        <v>1.692</v>
      </c>
      <c r="AQ220" s="44" t="n">
        <f aca="false">MAX(F220,E220,W220*(1-p_cb_on))</f>
        <v>1</v>
      </c>
      <c r="AR220" s="35" t="n">
        <f aca="false">p_ib_on*p_lgd_ib*g_s_in*g_u_ib*SUMPRODUCT(Network!P$6:P$29,$AQ$207:$AQ$230)</f>
        <v>7.22507743441053</v>
      </c>
      <c r="AS220" s="35" t="n">
        <f aca="false">p_sw_M1*(SUMPRODUCT(BDC_EAD!P$106:P$127,$BF$207:$BF$228)+SUMPRODUCT(BDC_EAD!P$131:P$152,$BG$207:$BG$228)+(Inputs_Banks!$Y19+p_ccf_bl*Inputs_Banks!$Z19)*$CD$230+Modules!$E19)</f>
        <v>20.643374291426</v>
      </c>
      <c r="AT220" s="35" t="n">
        <f aca="false">p_sw_M3*(Inputs_Banks!$U19+p_ccf_abf*Inputs_Banks!$V19)*$CD$231</f>
        <v>14.3395683697332</v>
      </c>
      <c r="AU220" s="35" t="n">
        <f aca="false">p_sw_M10*Inputs_Banks!$AC19*$CD$232</f>
        <v>0</v>
      </c>
      <c r="AV220" s="35" t="n">
        <f aca="false">p_sw_M8*(Modules!$M19+Modules!$N19*IF(p_liq_on&gt;0,X220,p_htm_forced))</f>
        <v>2.742</v>
      </c>
      <c r="AW220" s="35" t="n">
        <f aca="false">SUMPRODUCT(Holdings!$C19:$O19,Holdings!$C$32:$O$32,$AB$232:$AN$232)+Inputs_Banks!$P19*$AL$232</f>
        <v>16.082128119204</v>
      </c>
      <c r="AX220" s="35" t="n">
        <f aca="false">Modules!$T19+AS220+AT220+AU220+AV220+AW220+AR220</f>
        <v>80.2600929610457</v>
      </c>
      <c r="AY220" s="35" t="n">
        <f aca="false">Modules!$U19-(1-p_tax)*AX220</f>
        <v>-11.0481129610457</v>
      </c>
      <c r="AZ220" s="39" t="n">
        <f aca="false">AY220/Modules!$V19</f>
        <v>-0.0211494340470956</v>
      </c>
      <c r="BA220" s="48" t="s">
        <v>652</v>
      </c>
      <c r="BB220" s="43" t="n">
        <f aca="false">INDEX($BJ$207:$BJ$240,BDC_EAD!$B19)</f>
        <v>0.363449670124075</v>
      </c>
      <c r="BC220" s="43" t="n">
        <f aca="false">INDEX($BK$207:$BK$240,BDC_EAD!$B19)</f>
        <v>0.0611472717297517</v>
      </c>
      <c r="BD220" s="22" t="n">
        <f aca="false">INDEX(BDC!$Q$6:$Q$39,BDC_EAD!$B19)</f>
        <v>0.238909090909091</v>
      </c>
      <c r="BE220" s="43" t="n">
        <f aca="false">BB220*(1-$AK$232)-BC220-p_c_liq</f>
        <v>0.0887500468384897</v>
      </c>
      <c r="BF220" s="43" t="n">
        <f aca="false">p_phi*MAX(0,p_a_spv-BE220)/p_a_spv+(1-p_phi)*MAX(0,p_a_spv-BB220)/p_a_spv</f>
        <v>0.794728612149133</v>
      </c>
      <c r="BG220" s="43" t="n">
        <f aca="false">IF(BD220&gt;0,p_phi*MAX(0,BD220-BE220)/BD220+(1-p_phi)*MAX(0,BD220-BB220)/BD220,0)</f>
        <v>0.502815672686945</v>
      </c>
      <c r="BI220" s="12" t="str">
        <f aca="false">BDC!$A$19</f>
        <v>GBDC</v>
      </c>
      <c r="BJ220" s="43" t="n">
        <f aca="false">1-((1-BDC!$D$19)*$CD$223+BDC!$D$19*$CD$224)-p_gap-$CD$213*(1-BDC!$M$19)</f>
        <v>0.440432081141748</v>
      </c>
      <c r="BK220" s="43" t="n">
        <f aca="false">(1-BDC!$D$19)*$CD$225+BDC!$D$19*$CD$226</f>
        <v>0.0593587763915524</v>
      </c>
      <c r="BL220" s="45" t="n">
        <f aca="false">BJ220/BDC!$K$19</f>
        <v>0.798506943858616</v>
      </c>
      <c r="BM220" s="35" t="n">
        <f aca="false">IF(BL220&lt;1.5,BDC!$C$19,0)</f>
        <v>8.2</v>
      </c>
      <c r="BN220" s="43" t="n">
        <f aca="false">MAX(0,1-BJ220*(1-CE_mig_hc)-p_bb_cush)*BDC!$Q$19</f>
        <v>0.115814435932283</v>
      </c>
      <c r="BO220" s="43" t="n">
        <f aca="false">MAX(0,BDC!$K$19-BJ220/1.5)</f>
        <v>0.257948119298626</v>
      </c>
      <c r="BP220" s="43" t="n">
        <f aca="false">MIN(MIN(1,BDC!$H$19*$CD$216),$CD$215)</f>
        <v>0</v>
      </c>
      <c r="BQ220" s="43" t="n">
        <f aca="false">BDC!$I$19*BDC!$J$19*BP220*(1-0.3)</f>
        <v>0</v>
      </c>
      <c r="BR220" s="45" t="n">
        <f aca="false">BDC!$C$19*($CD$214*MAX(BN220,BO220)+BQ220)</f>
        <v>2.11517457824873</v>
      </c>
      <c r="CC220" s="10" t="s">
        <v>871</v>
      </c>
      <c r="CD220" s="35" t="n">
        <f aca="false">MIN(1,p_ins_run+p_ins_pan*$CD$210)*(g_fabr+g_fabn_6m)</f>
        <v>47.3</v>
      </c>
    </row>
    <row r="221" customFormat="false" ht="15" hidden="false" customHeight="true" outlineLevel="0" collapsed="false">
      <c r="A221" s="10" t="s">
        <v>525</v>
      </c>
      <c r="B221" s="35" t="n">
        <f aca="false">AY181</f>
        <v>73.9341946596885</v>
      </c>
      <c r="C221" s="39" t="n">
        <f aca="false">AZ181</f>
        <v>0.0755269060545672</v>
      </c>
      <c r="D221" s="44" t="n">
        <f aca="false">IF(C221&lt;Inputs_Banks!$I20,1,0)</f>
        <v>1</v>
      </c>
      <c r="E221" s="44" t="n">
        <f aca="false">IF(C221&lt;0.045,1,0)</f>
        <v>0</v>
      </c>
      <c r="F221" s="44" t="n">
        <f aca="false">IF(B221&lt;0,1,0)</f>
        <v>0</v>
      </c>
      <c r="G221" s="44" t="n">
        <f aca="false">MIN(6,MIN(3,INT(MAX(0,Inputs_Banks!$BA20-C221)/p_notch_step))+D221+2*E221)</f>
        <v>3</v>
      </c>
      <c r="H221" s="39" t="n">
        <f aca="false">C221-Inputs_Banks!$I20</f>
        <v>-0.0364730939454328</v>
      </c>
      <c r="I221" s="44" t="n">
        <f aca="false">RANK(H221,$H$207:$H$230,1)</f>
        <v>18</v>
      </c>
      <c r="J221" s="44" t="n">
        <f aca="false">MAX(IF(I221&lt;=g_n_weak,1,0),E221)</f>
        <v>0</v>
      </c>
      <c r="K221" s="44" t="n">
        <f aca="false">IF(I221&gt;12,1,0)*(1-E221)</f>
        <v>1</v>
      </c>
      <c r="L221" s="35" t="n">
        <f aca="false">INDEX(Inputs_Banks!$AR20:$AX20,1,G221+1)</f>
        <v>0.18</v>
      </c>
      <c r="M221" s="35" t="n">
        <f aca="false">Inputs_Banks!$AI20*MIN(1,p_u_base+$CD$210*p_u_pan_all+J221*($CD$210*p_u_pan_weak+p_u_mda*D221)+p_u_notch*G221+p_u_fail*E221)</f>
        <v>256.5027</v>
      </c>
      <c r="N221" s="35" t="n">
        <f aca="false">Inputs_Banks!$AK20*MIN(1,p_w_base+p_w_pan*$CD$210+p_w_notch*G221+0.5*D221+1*E221)</f>
        <v>0</v>
      </c>
      <c r="O221" s="35" t="n">
        <f aca="false">Inputs_Banks!$AO20*MIN(1,p_cp_base+p_cp_pan*$CD$210+p_cp_notch*G221)</f>
        <v>0</v>
      </c>
      <c r="P221" s="35" t="n">
        <f aca="false">Inputs_Banks!$AN20*(p_dh+p_dh_pan*$CD$210+MIN(1,0.5*$CD$217+0.25*G221))</f>
        <v>143.147499934354</v>
      </c>
      <c r="Q221" s="35" t="n">
        <f aca="false">Modules!$Y20</f>
        <v>5.4922829</v>
      </c>
      <c r="R221" s="35" t="n">
        <f aca="false">Inputs_Banks!$AJ20*K221</f>
        <v>1919.104</v>
      </c>
      <c r="S221" s="35" t="n">
        <f aca="false">p_liq_on*$CD$218*SUM($M$207:$M$230)*R221/MAX(0.000000001,SUM($R$207:$R$230))</f>
        <v>397.409586027849</v>
      </c>
      <c r="T221" s="35" t="n">
        <f aca="false">p_liq_on*(L221+M221+N221+O221+P221+Q221)</f>
        <v>405.322482834355</v>
      </c>
      <c r="U221" s="35" t="n">
        <f aca="false">g_usable*Inputs_Banks!$AG20+p_cb_on*Inputs_Banks!$AQ20+S221</f>
        <v>1182.44548602785</v>
      </c>
      <c r="V221" s="35" t="n">
        <f aca="false">MAX(0,T221-U221)</f>
        <v>0</v>
      </c>
      <c r="W221" s="44" t="n">
        <f aca="false">IF(V221&gt;0.9*Inputs_Banks!$BB20,1,0)</f>
        <v>0</v>
      </c>
      <c r="X221" s="43" t="n">
        <f aca="false">MAX(p_htm_forced,(1-p_cb_on)*MIN(1,T221/Inputs_Banks!$AG20)*g_theta_sell)</f>
        <v>0.14198545923753</v>
      </c>
      <c r="Y221" s="35" t="n">
        <f aca="false">MAX(0,Modules!$V20-B221/(Inputs_Banks!$I20+g_del_buf))</f>
        <v>346.995806327449</v>
      </c>
      <c r="Z221" s="35" t="n">
        <f aca="false">MIN(g_del_cap*Inputs_Banks!$BB20,Y221)</f>
        <v>81.9675</v>
      </c>
      <c r="AA221" s="35" t="n">
        <f aca="false">MIN(Inputs_Banks!$BB20,V221+Z221)</f>
        <v>81.9675</v>
      </c>
      <c r="AB221" s="35" t="n">
        <f aca="false">$AA221*Holdings!Q20</f>
        <v>0</v>
      </c>
      <c r="AC221" s="35" t="n">
        <f aca="false">$AA221*Holdings!R20</f>
        <v>0</v>
      </c>
      <c r="AD221" s="35" t="n">
        <f aca="false">$AA221*Holdings!S20</f>
        <v>0</v>
      </c>
      <c r="AE221" s="35" t="n">
        <f aca="false">$AA221*Holdings!T20</f>
        <v>0</v>
      </c>
      <c r="AF221" s="35" t="n">
        <f aca="false">$AA221*Holdings!U20</f>
        <v>0</v>
      </c>
      <c r="AG221" s="35" t="n">
        <f aca="false">$AA221*Holdings!V20</f>
        <v>0</v>
      </c>
      <c r="AH221" s="35" t="n">
        <f aca="false">$AA221*Holdings!W20</f>
        <v>0</v>
      </c>
      <c r="AI221" s="35" t="n">
        <f aca="false">$AA221*Holdings!X20</f>
        <v>0.0525</v>
      </c>
      <c r="AJ221" s="35" t="n">
        <f aca="false">$AA221*Holdings!Y20</f>
        <v>0.02</v>
      </c>
      <c r="AK221" s="35" t="n">
        <f aca="false">$AA221*Holdings!Z20</f>
        <v>0</v>
      </c>
      <c r="AL221" s="35" t="n">
        <f aca="false">$AA221*Holdings!AA20</f>
        <v>44.0775</v>
      </c>
      <c r="AM221" s="35" t="n">
        <f aca="false">$AA221*Holdings!AB20</f>
        <v>0</v>
      </c>
      <c r="AN221" s="35" t="n">
        <f aca="false">$AA221*Holdings!AC20</f>
        <v>37.8175</v>
      </c>
      <c r="AO221" s="43" t="n">
        <f aca="false">MIN(1,$CD$217+0.5*G221)</f>
        <v>1</v>
      </c>
      <c r="AP221" s="35" t="n">
        <f aca="false">p_liq_on*Inputs_Banks!$AP20*AO221*p_mb_psi</f>
        <v>1.272</v>
      </c>
      <c r="AQ221" s="44" t="n">
        <f aca="false">MAX(F221,E221,W221*(1-p_cb_on))</f>
        <v>0</v>
      </c>
      <c r="AR221" s="35" t="n">
        <f aca="false">p_ib_on*p_lgd_ib*g_s_in*g_u_ib*SUMPRODUCT(Network!Q$6:Q$29,$AQ$207:$AQ$230)</f>
        <v>10.8845927122174</v>
      </c>
      <c r="AS221" s="35" t="n">
        <f aca="false">p_sw_M1*(SUMPRODUCT(BDC_EAD!Q$106:Q$127,$BF$207:$BF$228)+SUMPRODUCT(BDC_EAD!Q$131:Q$152,$BG$207:$BG$228)+(Inputs_Banks!$Y20+p_ccf_bl*Inputs_Banks!$Z20)*$CD$230+Modules!$E20)</f>
        <v>16.3815151661489</v>
      </c>
      <c r="AT221" s="35" t="n">
        <f aca="false">p_sw_M3*(Inputs_Banks!$U20+p_ccf_abf*Inputs_Banks!$V20)*$CD$231</f>
        <v>6.71968055027487</v>
      </c>
      <c r="AU221" s="35" t="n">
        <f aca="false">p_sw_M10*Inputs_Banks!$AC20*$CD$232</f>
        <v>0</v>
      </c>
      <c r="AV221" s="35" t="n">
        <f aca="false">p_sw_M8*(Modules!$M20+Modules!$N20*IF(p_liq_on&gt;0,X221,p_htm_forced))</f>
        <v>4.87915345185631</v>
      </c>
      <c r="AW221" s="35" t="n">
        <f aca="false">SUMPRODUCT(Holdings!$C20:$O20,Holdings!$C$32:$O$32,$AB$232:$AN$232)+Inputs_Banks!$P20*$AL$232</f>
        <v>6.49948178004504</v>
      </c>
      <c r="AX221" s="35" t="n">
        <f aca="false">Modules!$T20+AS221+AT221+AU221+AV221+AW221+AR221</f>
        <v>53.7658053403115</v>
      </c>
      <c r="AY221" s="35" t="n">
        <f aca="false">Modules!$U20-(1-p_tax)*AX221</f>
        <v>73.9341946596885</v>
      </c>
      <c r="AZ221" s="39" t="n">
        <f aca="false">AY221/Modules!$V20</f>
        <v>0.0755269060545672</v>
      </c>
      <c r="BA221" s="48" t="s">
        <v>647</v>
      </c>
      <c r="BB221" s="43" t="n">
        <f aca="false">INDEX($BJ$207:$BJ$240,BDC_EAD!$B20)</f>
        <v>0.401231175123755</v>
      </c>
      <c r="BC221" s="43" t="n">
        <f aca="false">INDEX($BK$207:$BK$240,BDC_EAD!$B20)</f>
        <v>0.0605883669365645</v>
      </c>
      <c r="BD221" s="22" t="n">
        <f aca="false">INDEX(BDC!$Q$6:$Q$39,BDC_EAD!$B20)</f>
        <v>0.244897959183673</v>
      </c>
      <c r="BE221" s="43" t="n">
        <f aca="false">BB221*(1-$AK$232)-BC221-p_c_liq</f>
        <v>0.110088779381501</v>
      </c>
      <c r="BF221" s="43" t="n">
        <f aca="false">p_phi*MAX(0,p_a_spv-BE221)/p_a_spv+(1-p_phi)*MAX(0,p_a_spv-BB221)/p_a_spv</f>
        <v>0.75954677352864</v>
      </c>
      <c r="BG221" s="43" t="n">
        <f aca="false">IF(BD221&gt;0,p_phi*MAX(0,BD221-BE221)/BD221+(1-p_phi)*MAX(0,BD221-BB221)/BD221,0)</f>
        <v>0.44037665402043</v>
      </c>
      <c r="BI221" s="12" t="str">
        <f aca="false">BDC!$A$20</f>
        <v>OSCF</v>
      </c>
      <c r="BJ221" s="43" t="n">
        <f aca="false">1-((1-BDC!$D$20)*$CD$223+BDC!$D$20*$CD$224)-p_gap-$CD$213*(1-BDC!$M$20)</f>
        <v>0.413355834314687</v>
      </c>
      <c r="BK221" s="43" t="n">
        <f aca="false">(1-BDC!$D$20)*$CD$225+BDC!$D$20*$CD$226</f>
        <v>0.0626004241920387</v>
      </c>
      <c r="BL221" s="45" t="n">
        <f aca="false">BJ221/BDC!$K$20</f>
        <v>1.09098834958467</v>
      </c>
      <c r="BM221" s="35" t="n">
        <f aca="false">IF(BL221&lt;1.5,BDC!$C$20,0)</f>
        <v>6.8</v>
      </c>
      <c r="BN221" s="43" t="n">
        <f aca="false">MAX(0,1-BJ221*(1-CE_mig_hc)-p_bb_cush)*BDC!$Q$20</f>
        <v>0.129350577017109</v>
      </c>
      <c r="BO221" s="43" t="n">
        <f aca="false">MAX(0,BDC!$K$20-BJ221/1.5)</f>
        <v>0.103311431367848</v>
      </c>
      <c r="BP221" s="43" t="n">
        <f aca="false">MIN(MIN(1,BDC!$H$20*$CD$216),$CD$215)</f>
        <v>0.114</v>
      </c>
      <c r="BQ221" s="43" t="n">
        <f aca="false">BDC!$I$20*BDC!$J$20*BP221*(1-0.3)</f>
        <v>0.0495652173913043</v>
      </c>
      <c r="BR221" s="45" t="n">
        <f aca="false">BDC!$C$20*($CD$214*MAX(BN221,BO221)+BQ221)</f>
        <v>1.21662740197721</v>
      </c>
      <c r="CC221" s="10" t="s">
        <v>986</v>
      </c>
      <c r="CD221" s="43" t="n">
        <f aca="false">SUMPRODUCT(CreditEngine!$B$6:$B$10,$BU$207:$BU$211)</f>
        <v>0.790768304625863</v>
      </c>
    </row>
    <row r="222" customFormat="false" ht="15" hidden="false" customHeight="true" outlineLevel="0" collapsed="false">
      <c r="A222" s="10" t="s">
        <v>527</v>
      </c>
      <c r="B222" s="35" t="n">
        <f aca="false">AY182</f>
        <v>-9.28772691434693</v>
      </c>
      <c r="C222" s="39" t="n">
        <f aca="false">AZ182</f>
        <v>-0.0205130863573704</v>
      </c>
      <c r="D222" s="44" t="n">
        <f aca="false">IF(C222&lt;Inputs_Banks!$I21,1,0)</f>
        <v>1</v>
      </c>
      <c r="E222" s="44" t="n">
        <f aca="false">IF(C222&lt;0.045,1,0)</f>
        <v>1</v>
      </c>
      <c r="F222" s="44" t="n">
        <f aca="false">IF(B222&lt;0,1,0)</f>
        <v>1</v>
      </c>
      <c r="G222" s="44" t="n">
        <f aca="false">MIN(6,MIN(3,INT(MAX(0,Inputs_Banks!$BA21-C222)/p_notch_step))+D222+2*E222)</f>
        <v>6</v>
      </c>
      <c r="H222" s="39" t="n">
        <f aca="false">C222-Inputs_Banks!$I21</f>
        <v>-0.13251308635737</v>
      </c>
      <c r="I222" s="44" t="n">
        <f aca="false">RANK(H222,$H$207:$H$230,1)</f>
        <v>3</v>
      </c>
      <c r="J222" s="44" t="n">
        <f aca="false">MAX(IF(I222&lt;=g_n_weak,1,0),E222)</f>
        <v>1</v>
      </c>
      <c r="K222" s="44" t="n">
        <f aca="false">IF(I222&gt;12,1,0)*(1-E222)</f>
        <v>0</v>
      </c>
      <c r="L222" s="35" t="n">
        <f aca="false">INDEX(Inputs_Banks!$AR21:$AX21,1,G222+1)</f>
        <v>0.9076515</v>
      </c>
      <c r="M222" s="35" t="n">
        <f aca="false">Inputs_Banks!$AI21*MIN(1,p_u_base+$CD$210*p_u_pan_all+J222*($CD$210*p_u_pan_weak+p_u_mda*D222)+p_u_notch*G222+p_u_fail*E222)</f>
        <v>279.352366202</v>
      </c>
      <c r="N222" s="35" t="n">
        <f aca="false">Inputs_Banks!$AK21*MIN(1,p_w_base+p_w_pan*$CD$210+p_w_notch*G222+0.5*D222+1*E222)</f>
        <v>28.371245</v>
      </c>
      <c r="O222" s="35" t="n">
        <f aca="false">Inputs_Banks!$AO21*MIN(1,p_cp_base+p_cp_pan*$CD$210+p_cp_notch*G222)</f>
        <v>5.15</v>
      </c>
      <c r="P222" s="35" t="n">
        <f aca="false">Inputs_Banks!$AN21*(p_dh+p_dh_pan*$CD$210+MIN(1,0.5*$CD$217+0.25*G222))</f>
        <v>44.8565902707607</v>
      </c>
      <c r="Q222" s="35" t="n">
        <f aca="false">Modules!$Y21</f>
        <v>9.2558384</v>
      </c>
      <c r="R222" s="35" t="n">
        <f aca="false">Inputs_Banks!$AJ21*K222</f>
        <v>0</v>
      </c>
      <c r="S222" s="35" t="n">
        <f aca="false">p_liq_on*$CD$218*SUM($M$207:$M$230)*R222/MAX(0.000000001,SUM($R$207:$R$230))</f>
        <v>0</v>
      </c>
      <c r="T222" s="35" t="n">
        <f aca="false">p_liq_on*(L222+M222+N222+O222+P222+Q222)</f>
        <v>367.893691372761</v>
      </c>
      <c r="U222" s="35" t="n">
        <f aca="false">g_usable*Inputs_Banks!$AG21+p_cb_on*Inputs_Banks!$AQ21+S222</f>
        <v>309.53302303</v>
      </c>
      <c r="V222" s="35" t="n">
        <f aca="false">MAX(0,T222-U222)</f>
        <v>58.3606683427607</v>
      </c>
      <c r="W222" s="44" t="n">
        <f aca="false">IF(V222&gt;0.9*Inputs_Banks!$BB21,1,0)</f>
        <v>0</v>
      </c>
      <c r="X222" s="43" t="n">
        <f aca="false">MAX(p_htm_forced,(1-p_cb_on)*MIN(1,T222/Inputs_Banks!$AG21)*g_theta_sell)</f>
        <v>0.25</v>
      </c>
      <c r="Y222" s="35" t="n">
        <f aca="false">MAX(0,Modules!$V21-B222/(Inputs_Banks!$I21+g_del_buf))</f>
        <v>532.153100519205</v>
      </c>
      <c r="Z222" s="35" t="n">
        <f aca="false">MIN(g_del_cap*Inputs_Banks!$BB21,Y222)</f>
        <v>21.8225</v>
      </c>
      <c r="AA222" s="35" t="n">
        <f aca="false">MIN(Inputs_Banks!$BB21,V222+Z222)</f>
        <v>80.1831683427607</v>
      </c>
      <c r="AB222" s="35" t="n">
        <f aca="false">$AA222*Holdings!Q21</f>
        <v>0</v>
      </c>
      <c r="AC222" s="35" t="n">
        <f aca="false">$AA222*Holdings!R21</f>
        <v>0</v>
      </c>
      <c r="AD222" s="35" t="n">
        <f aca="false">$AA222*Holdings!S21</f>
        <v>0</v>
      </c>
      <c r="AE222" s="35" t="n">
        <f aca="false">$AA222*Holdings!T21</f>
        <v>1.42380468474372</v>
      </c>
      <c r="AF222" s="35" t="n">
        <f aca="false">$AA222*Holdings!U21</f>
        <v>63.4006447361364</v>
      </c>
      <c r="AG222" s="35" t="n">
        <f aca="false">$AA222*Holdings!V21</f>
        <v>0</v>
      </c>
      <c r="AH222" s="35" t="n">
        <f aca="false">$AA222*Holdings!W21</f>
        <v>13.420507383294</v>
      </c>
      <c r="AI222" s="35" t="n">
        <f aca="false">$AA222*Holdings!X21</f>
        <v>0</v>
      </c>
      <c r="AJ222" s="35" t="n">
        <f aca="false">$AA222*Holdings!Y21</f>
        <v>0</v>
      </c>
      <c r="AK222" s="35" t="n">
        <f aca="false">$AA222*Holdings!Z21</f>
        <v>0</v>
      </c>
      <c r="AL222" s="35" t="n">
        <f aca="false">$AA222*Holdings!AA21</f>
        <v>1.93821153858661</v>
      </c>
      <c r="AM222" s="35" t="n">
        <f aca="false">$AA222*Holdings!AB21</f>
        <v>0</v>
      </c>
      <c r="AN222" s="35" t="n">
        <f aca="false">$AA222*Holdings!AC21</f>
        <v>0</v>
      </c>
      <c r="AO222" s="43" t="n">
        <f aca="false">MIN(1,$CD$217+0.5*G222)</f>
        <v>1</v>
      </c>
      <c r="AP222" s="35" t="n">
        <f aca="false">p_liq_on*Inputs_Banks!$AP21*AO222*p_mb_psi</f>
        <v>0</v>
      </c>
      <c r="AQ222" s="44" t="n">
        <f aca="false">MAX(F222,E222,W222*(1-p_cb_on))</f>
        <v>1</v>
      </c>
      <c r="AR222" s="35" t="n">
        <f aca="false">p_ib_on*p_lgd_ib*g_s_in*g_u_ib*SUMPRODUCT(Network!R$6:R$29,$AQ$207:$AQ$230)</f>
        <v>4.21649398828672</v>
      </c>
      <c r="AS222" s="35" t="n">
        <f aca="false">p_sw_M1*(SUMPRODUCT(BDC_EAD!R$106:R$127,$BF$207:$BF$228)+SUMPRODUCT(BDC_EAD!R$131:R$152,$BG$207:$BG$228)+(Inputs_Banks!$Y21+p_ccf_bl*Inputs_Banks!$Z21)*$CD$230+Modules!$E21)</f>
        <v>28.674151775399</v>
      </c>
      <c r="AT222" s="35" t="n">
        <f aca="false">p_sw_M3*(Inputs_Banks!$U21+p_ccf_abf*Inputs_Banks!$V21)*$CD$231</f>
        <v>10.6062570749984</v>
      </c>
      <c r="AU222" s="35" t="n">
        <f aca="false">p_sw_M10*Inputs_Banks!$AC21*$CD$232</f>
        <v>0</v>
      </c>
      <c r="AV222" s="35" t="n">
        <f aca="false">p_sw_M8*(Modules!$M21+Modules!$N21*IF(p_liq_on&gt;0,X222,p_htm_forced))</f>
        <v>2.171</v>
      </c>
      <c r="AW222" s="35" t="n">
        <f aca="false">SUMPRODUCT(Holdings!$C21:$O21,Holdings!$C$32:$O$32,$AB$232:$AN$232)+Inputs_Banks!$P21*$AL$232</f>
        <v>10.5166125128823</v>
      </c>
      <c r="AX222" s="35" t="n">
        <f aca="false">Modules!$T21+AS222+AT222+AU222+AV222+AW222+AR222</f>
        <v>67.6274552143469</v>
      </c>
      <c r="AY222" s="35" t="n">
        <f aca="false">Modules!$U21-(1-p_tax)*AX222</f>
        <v>-9.28772691434693</v>
      </c>
      <c r="AZ222" s="39" t="n">
        <f aca="false">AY222/Modules!$V21</f>
        <v>-0.0205130863573704</v>
      </c>
      <c r="BA222" s="48" t="s">
        <v>659</v>
      </c>
      <c r="BB222" s="43" t="n">
        <f aca="false">INDEX($BJ$207:$BJ$240,BDC_EAD!$B21)</f>
        <v>0.361123826355913</v>
      </c>
      <c r="BC222" s="43" t="n">
        <f aca="false">INDEX($BK$207:$BK$240,BDC_EAD!$B21)</f>
        <v>0.0628985067484052</v>
      </c>
      <c r="BD222" s="22" t="n">
        <f aca="false">INDEX(BDC!$Q$6:$Q$39,BDC_EAD!$B21)</f>
        <v>0.239316017316017</v>
      </c>
      <c r="BE222" s="43" t="n">
        <f aca="false">BB222*(1-$AK$232)-BC222-p_c_liq</f>
        <v>0.085719597747347</v>
      </c>
      <c r="BF222" s="43" t="n">
        <f aca="false">p_phi*MAX(0,p_a_spv-BE222)/p_a_spv+(1-p_phi)*MAX(0,p_a_spv-BB222)/p_a_spv</f>
        <v>0.798856509329914</v>
      </c>
      <c r="BG222" s="43" t="n">
        <f aca="false">IF(BD222&gt;0,p_phi*MAX(0,BD222-BE222)/BD222+(1-p_phi)*MAX(0,BD222-BB222)/BD222,0)</f>
        <v>0.513451364572379</v>
      </c>
      <c r="BI222" s="12" t="str">
        <f aca="false">BDC!$A$21</f>
        <v>PSEC</v>
      </c>
      <c r="BJ222" s="43" t="n">
        <f aca="false">1-((1-BDC!$D$21)*$CD$223+BDC!$D$21*$CD$224)-p_gap-$CD$213*(1-BDC!$M$21)</f>
        <v>0.113624404509291</v>
      </c>
      <c r="BK222" s="43" t="n">
        <f aca="false">(1-BDC!$D$21)*$CD$225+BDC!$D$21*$CD$226</f>
        <v>0.0681894721239115</v>
      </c>
      <c r="BL222" s="45" t="n">
        <f aca="false">BJ222/BDC!$K$21</f>
        <v>0.293980602143086</v>
      </c>
      <c r="BM222" s="35" t="n">
        <f aca="false">IF(BL222&lt;1.5,BDC!$C$21,0)</f>
        <v>6.34</v>
      </c>
      <c r="BN222" s="43" t="n">
        <f aca="false">MAX(0,1-BJ222*(1-CE_mig_hc)-p_bb_cush)*BDC!$Q$21</f>
        <v>0.168253607408428</v>
      </c>
      <c r="BO222" s="43" t="n">
        <f aca="false">MAX(0,BDC!$K$21-BJ222/1.5)</f>
        <v>0.310753464478469</v>
      </c>
      <c r="BP222" s="43" t="n">
        <f aca="false">MIN(MIN(1,BDC!$H$21*$CD$216),$CD$215)</f>
        <v>0</v>
      </c>
      <c r="BQ222" s="43" t="n">
        <f aca="false">BDC!$I$21*BDC!$J$21*BP222*(1-0.3)</f>
        <v>0</v>
      </c>
      <c r="BR222" s="45" t="n">
        <f aca="false">BDC!$C$21*($CD$214*MAX(BN222,BO222)+BQ222)</f>
        <v>1.97017696479349</v>
      </c>
      <c r="CC222" s="10" t="s">
        <v>987</v>
      </c>
      <c r="CD222" s="43" t="n">
        <f aca="false">SUMPRODUCT(CreditEngine!$B$6:$B$10,$BV$207:$BV$211)</f>
        <v>0.924318714457985</v>
      </c>
    </row>
    <row r="223" customFormat="false" ht="15" hidden="false" customHeight="true" outlineLevel="0" collapsed="false">
      <c r="A223" s="10" t="s">
        <v>530</v>
      </c>
      <c r="B223" s="35" t="n">
        <f aca="false">AY183</f>
        <v>36.664953036146</v>
      </c>
      <c r="C223" s="39" t="n">
        <f aca="false">AZ183</f>
        <v>0.0374031559348759</v>
      </c>
      <c r="D223" s="44" t="n">
        <f aca="false">IF(C223&lt;Inputs_Banks!$I22,1,0)</f>
        <v>1</v>
      </c>
      <c r="E223" s="44" t="n">
        <f aca="false">IF(C223&lt;0.045,1,0)</f>
        <v>1</v>
      </c>
      <c r="F223" s="44" t="n">
        <f aca="false">IF(B223&lt;0,1,0)</f>
        <v>0</v>
      </c>
      <c r="G223" s="44" t="n">
        <f aca="false">MIN(6,MIN(3,INT(MAX(0,Inputs_Banks!$BA22-C223)/p_notch_step))+D223+2*E223)</f>
        <v>6</v>
      </c>
      <c r="H223" s="39" t="n">
        <f aca="false">C223-Inputs_Banks!$I22</f>
        <v>-0.0668968440651241</v>
      </c>
      <c r="I223" s="44" t="n">
        <f aca="false">RANK(H223,$H$207:$H$230,1)</f>
        <v>10</v>
      </c>
      <c r="J223" s="44" t="n">
        <f aca="false">MAX(IF(I223&lt;=g_n_weak,1,0),E223)</f>
        <v>1</v>
      </c>
      <c r="K223" s="44" t="n">
        <f aca="false">IF(I223&gt;12,1,0)*(1-E223)</f>
        <v>0</v>
      </c>
      <c r="L223" s="35" t="n">
        <f aca="false">INDEX(Inputs_Banks!$AR22:$AX22,1,G223+1)</f>
        <v>2.945586</v>
      </c>
      <c r="M223" s="35" t="n">
        <f aca="false">Inputs_Banks!$AI22*MIN(1,p_u_base+$CD$210*p_u_pan_all+J223*($CD$210*p_u_pan_weak+p_u_mda*D223)+p_u_notch*G223+p_u_fail*E223)</f>
        <v>546.513203124</v>
      </c>
      <c r="N223" s="35" t="n">
        <f aca="false">Inputs_Banks!$AK22*MIN(1,p_w_base+p_w_pan*$CD$210+p_w_notch*G223+0.5*D223+1*E223)</f>
        <v>28.3758118</v>
      </c>
      <c r="O223" s="35" t="n">
        <f aca="false">Inputs_Banks!$AO22*MIN(1,p_cp_base+p_cp_pan*$CD$210+p_cp_notch*G223)</f>
        <v>6.01</v>
      </c>
      <c r="P223" s="35" t="n">
        <f aca="false">Inputs_Banks!$AN22*(p_dh+p_dh_pan*$CD$210+MIN(1,0.5*$CD$217+0.25*G223))</f>
        <v>327.022854105455</v>
      </c>
      <c r="Q223" s="35" t="n">
        <f aca="false">Modules!$Y22</f>
        <v>9.7948712</v>
      </c>
      <c r="R223" s="35" t="n">
        <f aca="false">Inputs_Banks!$AJ22*K223</f>
        <v>0</v>
      </c>
      <c r="S223" s="35" t="n">
        <f aca="false">p_liq_on*$CD$218*SUM($M$207:$M$230)*R223/MAX(0.000000001,SUM($R$207:$R$230))</f>
        <v>0</v>
      </c>
      <c r="T223" s="35" t="n">
        <f aca="false">p_liq_on*(L223+M223+N223+O223+P223+Q223)</f>
        <v>920.662326229455</v>
      </c>
      <c r="U223" s="35" t="n">
        <f aca="false">g_usable*Inputs_Banks!$AG22+p_cb_on*Inputs_Banks!$AQ22+S223</f>
        <v>714.7042</v>
      </c>
      <c r="V223" s="35" t="n">
        <f aca="false">MAX(0,T223-U223)</f>
        <v>205.958126229456</v>
      </c>
      <c r="W223" s="44" t="n">
        <f aca="false">IF(V223&gt;0.9*Inputs_Banks!$BB22,1,0)</f>
        <v>0</v>
      </c>
      <c r="X223" s="43" t="n">
        <f aca="false">MAX(p_htm_forced,(1-p_cb_on)*MIN(1,T223/Inputs_Banks!$AG22)*g_theta_sell)</f>
        <v>0.25</v>
      </c>
      <c r="Y223" s="35" t="n">
        <f aca="false">MAX(0,Modules!$V22-B223/(Inputs_Banks!$I22+g_del_buf))</f>
        <v>644.811167702233</v>
      </c>
      <c r="Z223" s="35" t="n">
        <f aca="false">MIN(g_del_cap*Inputs_Banks!$BB22,Y223)</f>
        <v>88.1275</v>
      </c>
      <c r="AA223" s="35" t="n">
        <f aca="false">MIN(Inputs_Banks!$BB22,V223+Z223)</f>
        <v>294.085626229456</v>
      </c>
      <c r="AB223" s="35" t="n">
        <f aca="false">$AA223*Holdings!Q22</f>
        <v>0</v>
      </c>
      <c r="AC223" s="35" t="n">
        <f aca="false">$AA223*Holdings!R22</f>
        <v>0</v>
      </c>
      <c r="AD223" s="35" t="n">
        <f aca="false">$AA223*Holdings!S22</f>
        <v>0</v>
      </c>
      <c r="AE223" s="35" t="n">
        <f aca="false">$AA223*Holdings!T22</f>
        <v>0</v>
      </c>
      <c r="AF223" s="35" t="n">
        <f aca="false">$AA223*Holdings!U22</f>
        <v>121.243267027678</v>
      </c>
      <c r="AG223" s="35" t="n">
        <f aca="false">$AA223*Holdings!V22</f>
        <v>0</v>
      </c>
      <c r="AH223" s="35" t="n">
        <f aca="false">$AA223*Holdings!W22</f>
        <v>11.2291637940724</v>
      </c>
      <c r="AI223" s="35" t="n">
        <f aca="false">$AA223*Holdings!X22</f>
        <v>0</v>
      </c>
      <c r="AJ223" s="35" t="n">
        <f aca="false">$AA223*Holdings!Y22</f>
        <v>0</v>
      </c>
      <c r="AK223" s="35" t="n">
        <f aca="false">$AA223*Holdings!Z22</f>
        <v>0</v>
      </c>
      <c r="AL223" s="35" t="n">
        <f aca="false">$AA223*Holdings!AA22</f>
        <v>161.613195407705</v>
      </c>
      <c r="AM223" s="35" t="n">
        <f aca="false">$AA223*Holdings!AB22</f>
        <v>0</v>
      </c>
      <c r="AN223" s="35" t="n">
        <f aca="false">$AA223*Holdings!AC22</f>
        <v>0</v>
      </c>
      <c r="AO223" s="43" t="n">
        <f aca="false">MIN(1,$CD$217+0.5*G223)</f>
        <v>1</v>
      </c>
      <c r="AP223" s="35" t="n">
        <f aca="false">p_liq_on*Inputs_Banks!$AP22*AO223*p_mb_psi</f>
        <v>11.592</v>
      </c>
      <c r="AQ223" s="44" t="n">
        <f aca="false">MAX(F223,E223,W223*(1-p_cb_on))</f>
        <v>1</v>
      </c>
      <c r="AR223" s="35" t="n">
        <f aca="false">p_ib_on*p_lgd_ib*g_s_in*g_u_ib*SUMPRODUCT(Network!S$6:S$29,$AQ$207:$AQ$230)</f>
        <v>12.8576723198117</v>
      </c>
      <c r="AS223" s="35" t="n">
        <f aca="false">p_sw_M1*(SUMPRODUCT(BDC_EAD!S$106:S$127,$BF$207:$BF$228)+SUMPRODUCT(BDC_EAD!S$131:S$152,$BG$207:$BG$228)+(Inputs_Banks!$Y22+p_ccf_bl*Inputs_Banks!$Z22)*$CD$230+Modules!$E22)</f>
        <v>23.7487346889017</v>
      </c>
      <c r="AT223" s="35" t="n">
        <f aca="false">p_sw_M3*(Inputs_Banks!$U22+p_ccf_abf*Inputs_Banks!$V22)*$CD$231</f>
        <v>3.81118170894942</v>
      </c>
      <c r="AU223" s="35" t="n">
        <f aca="false">p_sw_M10*Inputs_Banks!$AC22*$CD$232</f>
        <v>0</v>
      </c>
      <c r="AV223" s="35" t="n">
        <f aca="false">p_sw_M8*(Modules!$M22+Modules!$N22*IF(p_liq_on&gt;0,X223,p_htm_forced))</f>
        <v>4.40625</v>
      </c>
      <c r="AW223" s="35" t="n">
        <f aca="false">SUMPRODUCT(Holdings!$C22:$O22,Holdings!$C$32:$O$32,$AB$232:$AN$232)+Inputs_Banks!$P22*$AL$232</f>
        <v>16.3242704898486</v>
      </c>
      <c r="AX223" s="35" t="n">
        <f aca="false">Modules!$T22+AS223+AT223+AU223+AV223+AW223+AR223</f>
        <v>81.1584869638541</v>
      </c>
      <c r="AY223" s="35" t="n">
        <f aca="false">Modules!$U22-(1-p_tax)*AX223</f>
        <v>36.664953036146</v>
      </c>
      <c r="AZ223" s="39" t="n">
        <f aca="false">AY223/Modules!$V22</f>
        <v>0.0374031559348759</v>
      </c>
      <c r="BA223" s="48" t="s">
        <v>638</v>
      </c>
      <c r="BB223" s="43" t="n">
        <f aca="false">INDEX($BJ$207:$BJ$240,BDC_EAD!$B22)</f>
        <v>0.393709594067855</v>
      </c>
      <c r="BC223" s="43" t="n">
        <f aca="false">INDEX($BK$207:$BK$240,BDC_EAD!$B22)</f>
        <v>0.0647242624061503</v>
      </c>
      <c r="BD223" s="22" t="n">
        <f aca="false">INDEX(BDC!$Q$6:$Q$39,BDC_EAD!$B22)</f>
        <v>0.177509433962264</v>
      </c>
      <c r="BE223" s="43" t="n">
        <f aca="false">BB223*(1-$AK$232)-BC223-p_c_liq</f>
        <v>0.10181601433117</v>
      </c>
      <c r="BF223" s="43" t="n">
        <f aca="false">p_phi*MAX(0,p_a_spv-BE223)/p_a_spv+(1-p_phi)*MAX(0,p_a_spv-BB223)/p_a_spv</f>
        <v>0.771150385316419</v>
      </c>
      <c r="BG223" s="43" t="n">
        <f aca="false">IF(BD223&gt;0,p_phi*MAX(0,BD223-BE223)/BD223+(1-p_phi)*MAX(0,BD223-BB223)/BD223,0)</f>
        <v>0.341135309561905</v>
      </c>
      <c r="BI223" s="12" t="str">
        <f aca="false">BDC!$A$22</f>
        <v>NHPIF</v>
      </c>
      <c r="BJ223" s="43" t="n">
        <f aca="false">1-((1-BDC!$D$22)*$CD$223+BDC!$D$22*$CD$224)-p_gap-$CD$213*(1-BDC!$M$22)</f>
        <v>0.401231175123755</v>
      </c>
      <c r="BK223" s="43" t="n">
        <f aca="false">(1-BDC!$D$22)*$CD$225+BDC!$D$22*$CD$226</f>
        <v>0.0605883669365645</v>
      </c>
      <c r="BL223" s="45" t="n">
        <f aca="false">BJ223/BDC!$K$22</f>
        <v>0.819180315877667</v>
      </c>
      <c r="BM223" s="35" t="n">
        <f aca="false">IF(BL223&lt;1.5,BDC!$C$22,0)</f>
        <v>5.98</v>
      </c>
      <c r="BN223" s="43" t="n">
        <f aca="false">MAX(0,1-BJ223*(1-CE_mig_hc)-p_bb_cush)*BDC!$Q$22</f>
        <v>0.151630856363478</v>
      </c>
      <c r="BO223" s="43" t="n">
        <f aca="false">MAX(0,BDC!$K$22-BJ223/1.5)</f>
        <v>0.222308468284843</v>
      </c>
      <c r="BP223" s="43" t="n">
        <f aca="false">MIN(MIN(1,BDC!$H$22*$CD$216),$CD$215)</f>
        <v>0.25</v>
      </c>
      <c r="BQ223" s="43" t="n">
        <f aca="false">BDC!$I$22*BDC!$J$22*BP223*(1-0.3)</f>
        <v>0.0892857142857143</v>
      </c>
      <c r="BR223" s="45" t="n">
        <f aca="false">BDC!$C$22*($CD$214*MAX(BN223,BO223)+BQ223)</f>
        <v>1.86333321177194</v>
      </c>
      <c r="CC223" s="10" t="s">
        <v>988</v>
      </c>
      <c r="CD223" s="43" t="n">
        <f aca="false">$CD$221*p_lgd_gen-CE_PDb*g_lgd_gen_b</f>
        <v>0.332131634197048</v>
      </c>
    </row>
    <row r="224" customFormat="false" ht="15" hidden="false" customHeight="true" outlineLevel="0" collapsed="false">
      <c r="A224" s="10" t="s">
        <v>532</v>
      </c>
      <c r="B224" s="35" t="n">
        <f aca="false">AY184</f>
        <v>23.6598018358836</v>
      </c>
      <c r="C224" s="39" t="n">
        <f aca="false">AZ184</f>
        <v>0.0472616971280715</v>
      </c>
      <c r="D224" s="44" t="n">
        <f aca="false">IF(C224&lt;Inputs_Banks!$I23,1,0)</f>
        <v>1</v>
      </c>
      <c r="E224" s="44" t="n">
        <f aca="false">IF(C224&lt;0.045,1,0)</f>
        <v>0</v>
      </c>
      <c r="F224" s="44" t="n">
        <f aca="false">IF(B224&lt;0,1,0)</f>
        <v>0</v>
      </c>
      <c r="G224" s="44" t="n">
        <f aca="false">MIN(6,MIN(3,INT(MAX(0,Inputs_Banks!$BA23-C224)/p_notch_step))+D224+2*E224)</f>
        <v>4</v>
      </c>
      <c r="H224" s="39" t="n">
        <f aca="false">C224-Inputs_Banks!$I23</f>
        <v>-0.0553383028719285</v>
      </c>
      <c r="I224" s="44" t="n">
        <f aca="false">RANK(H224,$H$207:$H$230,1)</f>
        <v>13</v>
      </c>
      <c r="J224" s="44" t="n">
        <f aca="false">MAX(IF(I224&lt;=g_n_weak,1,0),E224)</f>
        <v>0</v>
      </c>
      <c r="K224" s="44" t="n">
        <f aca="false">IF(I224&gt;12,1,0)*(1-E224)</f>
        <v>1</v>
      </c>
      <c r="L224" s="35" t="n">
        <f aca="false">INDEX(Inputs_Banks!$AR23:$AX23,1,G224+1)</f>
        <v>1.2010684</v>
      </c>
      <c r="M224" s="35" t="n">
        <f aca="false">Inputs_Banks!$AI23*MIN(1,p_u_base+$CD$210*p_u_pan_all+J224*($CD$210*p_u_pan_weak+p_u_mda*D224)+p_u_notch*G224+p_u_fail*E224)</f>
        <v>85.2942480453</v>
      </c>
      <c r="N224" s="35" t="n">
        <f aca="false">Inputs_Banks!$AK23*MIN(1,p_w_base+p_w_pan*$CD$210+p_w_notch*G224+0.5*D224+1*E224)</f>
        <v>0</v>
      </c>
      <c r="O224" s="35" t="n">
        <f aca="false">Inputs_Banks!$AO23*MIN(1,p_cp_base+p_cp_pan*$CD$210+p_cp_notch*G224)</f>
        <v>3.8</v>
      </c>
      <c r="P224" s="35" t="n">
        <f aca="false">Inputs_Banks!$AN23*(p_dh+p_dh_pan*$CD$210+MIN(1,0.5*$CD$217+0.25*G224))</f>
        <v>128.300227265032</v>
      </c>
      <c r="Q224" s="35" t="n">
        <f aca="false">Modules!$Y23</f>
        <v>3.506521</v>
      </c>
      <c r="R224" s="35" t="n">
        <f aca="false">Inputs_Banks!$AJ23*K224</f>
        <v>611.4283014</v>
      </c>
      <c r="S224" s="35" t="n">
        <f aca="false">p_liq_on*$CD$218*SUM($M$207:$M$230)*R224/MAX(0.000000001,SUM($R$207:$R$230))</f>
        <v>126.615060020241</v>
      </c>
      <c r="T224" s="35" t="n">
        <f aca="false">p_liq_on*(L224+M224+N224+O224+P224+Q224)</f>
        <v>222.102064710332</v>
      </c>
      <c r="U224" s="35" t="n">
        <f aca="false">g_usable*Inputs_Banks!$AG23+p_cb_on*Inputs_Banks!$AQ23+S224</f>
        <v>563.372395020241</v>
      </c>
      <c r="V224" s="35" t="n">
        <f aca="false">MAX(0,T224-U224)</f>
        <v>0</v>
      </c>
      <c r="W224" s="44" t="n">
        <f aca="false">IF(V224&gt;0.9*Inputs_Banks!$BB23,1,0)</f>
        <v>0</v>
      </c>
      <c r="X224" s="43" t="n">
        <f aca="false">MAX(p_htm_forced,(1-p_cb_on)*MIN(1,T224/Inputs_Banks!$AG23)*g_theta_sell)</f>
        <v>0.184920413117464</v>
      </c>
      <c r="Y224" s="35" t="n">
        <f aca="false">MAX(0,Modules!$V23-B224/(Inputs_Banks!$I23+g_del_buf))</f>
        <v>280.725981837513</v>
      </c>
      <c r="Z224" s="35" t="n">
        <f aca="false">MIN(g_del_cap*Inputs_Banks!$BB23,Y224)</f>
        <v>40.9075</v>
      </c>
      <c r="AA224" s="35" t="n">
        <f aca="false">MIN(Inputs_Banks!$BB23,V224+Z224)</f>
        <v>40.9075</v>
      </c>
      <c r="AB224" s="35" t="n">
        <f aca="false">$AA224*Holdings!Q23</f>
        <v>0</v>
      </c>
      <c r="AC224" s="35" t="n">
        <f aca="false">$AA224*Holdings!R23</f>
        <v>0</v>
      </c>
      <c r="AD224" s="35" t="n">
        <f aca="false">$AA224*Holdings!S23</f>
        <v>0</v>
      </c>
      <c r="AE224" s="35" t="n">
        <f aca="false">$AA224*Holdings!T23</f>
        <v>0</v>
      </c>
      <c r="AF224" s="35" t="n">
        <f aca="false">$AA224*Holdings!U23</f>
        <v>6.4975</v>
      </c>
      <c r="AG224" s="35" t="n">
        <f aca="false">$AA224*Holdings!V23</f>
        <v>0</v>
      </c>
      <c r="AH224" s="35" t="n">
        <f aca="false">$AA224*Holdings!W23</f>
        <v>2.6375</v>
      </c>
      <c r="AI224" s="35" t="n">
        <f aca="false">$AA224*Holdings!X23</f>
        <v>0</v>
      </c>
      <c r="AJ224" s="35" t="n">
        <f aca="false">$AA224*Holdings!Y23</f>
        <v>0</v>
      </c>
      <c r="AK224" s="35" t="n">
        <f aca="false">$AA224*Holdings!Z23</f>
        <v>0</v>
      </c>
      <c r="AL224" s="35" t="n">
        <f aca="false">$AA224*Holdings!AA23</f>
        <v>31.7725</v>
      </c>
      <c r="AM224" s="35" t="n">
        <f aca="false">$AA224*Holdings!AB23</f>
        <v>0</v>
      </c>
      <c r="AN224" s="35" t="n">
        <f aca="false">$AA224*Holdings!AC23</f>
        <v>0</v>
      </c>
      <c r="AO224" s="43" t="n">
        <f aca="false">MIN(1,$CD$217+0.5*G224)</f>
        <v>1</v>
      </c>
      <c r="AP224" s="35" t="n">
        <f aca="false">p_liq_on*Inputs_Banks!$AP23*AO224*p_mb_psi</f>
        <v>5.856</v>
      </c>
      <c r="AQ224" s="44" t="n">
        <f aca="false">MAX(F224,E224,W224*(1-p_cb_on))</f>
        <v>0</v>
      </c>
      <c r="AR224" s="35" t="n">
        <f aca="false">p_ib_on*p_lgd_ib*g_s_in*g_u_ib*SUMPRODUCT(Network!T$6:T$29,$AQ$207:$AQ$230)</f>
        <v>9.57333551838029</v>
      </c>
      <c r="AS224" s="35" t="n">
        <f aca="false">p_sw_M1*(SUMPRODUCT(BDC_EAD!T$106:T$127,$BF$207:$BF$228)+SUMPRODUCT(BDC_EAD!T$131:T$152,$BG$207:$BG$228)+(Inputs_Banks!$Y23+p_ccf_bl*Inputs_Banks!$Z23)*$CD$230+Modules!$E23)</f>
        <v>11.9173703231754</v>
      </c>
      <c r="AT224" s="35" t="n">
        <f aca="false">p_sw_M3*(Inputs_Banks!$U23+p_ccf_abf*Inputs_Banks!$V23)*$CD$231</f>
        <v>0</v>
      </c>
      <c r="AU224" s="35" t="n">
        <f aca="false">p_sw_M10*Inputs_Banks!$AC23*$CD$232</f>
        <v>0</v>
      </c>
      <c r="AV224" s="35" t="n">
        <f aca="false">p_sw_M8*(Modules!$M23+Modules!$N23*IF(p_liq_on&gt;0,X224,p_htm_forced))</f>
        <v>1.51600832932119</v>
      </c>
      <c r="AW224" s="35" t="n">
        <f aca="false">SUMPRODUCT(Holdings!$C23:$O23,Holdings!$C$32:$O$32,$AB$232:$AN$232)+Inputs_Banks!$P23*$AL$232</f>
        <v>6.94276181715746</v>
      </c>
      <c r="AX224" s="35" t="n">
        <f aca="false">Modules!$T23+AS224+AT224+AU224+AV224+AW224+AR224</f>
        <v>37.4211481641164</v>
      </c>
      <c r="AY224" s="35" t="n">
        <f aca="false">Modules!$U23-(1-p_tax)*AX224</f>
        <v>23.6598018358836</v>
      </c>
      <c r="AZ224" s="39" t="n">
        <f aca="false">AY224/Modules!$V23</f>
        <v>0.0472616971280715</v>
      </c>
      <c r="BA224" s="48" t="s">
        <v>631</v>
      </c>
      <c r="BB224" s="43" t="n">
        <f aca="false">INDEX($BJ$207:$BJ$240,BDC_EAD!$B23)</f>
        <v>0.421663471167733</v>
      </c>
      <c r="BC224" s="43" t="n">
        <f aca="false">INDEX($BK$207:$BK$240,BDC_EAD!$B23)</f>
        <v>0.063979056015234</v>
      </c>
      <c r="BD224" s="22" t="n">
        <f aca="false">INDEX(BDC!$Q$6:$Q$39,BDC_EAD!$B23)</f>
        <v>0.276335078534031</v>
      </c>
      <c r="BE224" s="43" t="n">
        <f aca="false">BB224*(1-$AK$232)-BC224-p_c_liq</f>
        <v>0.117935853127019</v>
      </c>
      <c r="BF224" s="43" t="n">
        <f aca="false">p_phi*MAX(0,p_a_spv-BE224)/p_a_spv+(1-p_phi)*MAX(0,p_a_spv-BB224)/p_a_spv</f>
        <v>0.74474089037834</v>
      </c>
      <c r="BG224" s="43" t="n">
        <f aca="false">IF(BD224&gt;0,p_phi*MAX(0,BD224-BE224)/BD224+(1-p_phi)*MAX(0,BD224-BB224)/BD224,0)</f>
        <v>0.458571459685326</v>
      </c>
      <c r="BI224" s="12" t="str">
        <f aca="false">BDC!$A$23</f>
        <v>MAIN</v>
      </c>
      <c r="BJ224" s="43" t="n">
        <f aca="false">1-((1-BDC!$D$23)*$CD$223+BDC!$D$23*$CD$224)-p_gap-$CD$213*(1-BDC!$M$23)</f>
        <v>0.556417298789294</v>
      </c>
      <c r="BK224" s="43" t="n">
        <f aca="false">(1-BDC!$D$23)*$CD$225+BDC!$D$23*$CD$226</f>
        <v>0.0671461831766286</v>
      </c>
      <c r="BL224" s="45" t="n">
        <f aca="false">BJ224/BDC!$K$23</f>
        <v>1.25193892227591</v>
      </c>
      <c r="BM224" s="35" t="n">
        <f aca="false">IF(BL224&lt;1.5,BDC!$C$23,0)</f>
        <v>5.75</v>
      </c>
      <c r="BN224" s="43" t="n">
        <f aca="false">MAX(0,1-BJ224*(1-CE_mig_hc)-p_bb_cush)*BDC!$Q$23</f>
        <v>0.050065278117532</v>
      </c>
      <c r="BO224" s="43" t="n">
        <f aca="false">MAX(0,BDC!$K$23-BJ224/1.5)</f>
        <v>0.0734995785849151</v>
      </c>
      <c r="BP224" s="43" t="n">
        <f aca="false">MIN(MIN(1,BDC!$H$23*$CD$216),$CD$215)</f>
        <v>0</v>
      </c>
      <c r="BQ224" s="43" t="n">
        <f aca="false">BDC!$I$23*BDC!$J$23*BP224*(1-0.3)</f>
        <v>0</v>
      </c>
      <c r="BR224" s="45" t="n">
        <f aca="false">BDC!$C$23*($CD$214*MAX(BN224,BO224)+BQ224)</f>
        <v>0.422622576863262</v>
      </c>
      <c r="CC224" s="10" t="s">
        <v>989</v>
      </c>
      <c r="CD224" s="43" t="n">
        <f aca="false">$CD$222*p_lgd_sw-CE_PDb*g_lgd_sw_b</f>
        <v>0.556662359955042</v>
      </c>
    </row>
    <row r="225" customFormat="false" ht="15" hidden="false" customHeight="true" outlineLevel="0" collapsed="false">
      <c r="A225" s="10" t="s">
        <v>534</v>
      </c>
      <c r="B225" s="35" t="n">
        <f aca="false">AY185</f>
        <v>43.1850972513385</v>
      </c>
      <c r="C225" s="39" t="n">
        <f aca="false">AZ185</f>
        <v>0.0793534454428393</v>
      </c>
      <c r="D225" s="44" t="n">
        <f aca="false">IF(C225&lt;Inputs_Banks!$I24,1,0)</f>
        <v>1</v>
      </c>
      <c r="E225" s="44" t="n">
        <f aca="false">IF(C225&lt;0.045,1,0)</f>
        <v>0</v>
      </c>
      <c r="F225" s="44" t="n">
        <f aca="false">IF(B225&lt;0,1,0)</f>
        <v>0</v>
      </c>
      <c r="G225" s="44" t="n">
        <f aca="false">MIN(6,MIN(3,INT(MAX(0,Inputs_Banks!$BA24-C225)/p_notch_step))+D225+2*E225)</f>
        <v>3</v>
      </c>
      <c r="H225" s="39" t="n">
        <f aca="false">C225-Inputs_Banks!$I24</f>
        <v>-0.0289465545571607</v>
      </c>
      <c r="I225" s="44" t="n">
        <f aca="false">RANK(H225,$H$207:$H$230,1)</f>
        <v>20</v>
      </c>
      <c r="J225" s="44" t="n">
        <f aca="false">MAX(IF(I225&lt;=g_n_weak,1,0),E225)</f>
        <v>0</v>
      </c>
      <c r="K225" s="44" t="n">
        <f aca="false">IF(I225&gt;12,1,0)*(1-E225)</f>
        <v>1</v>
      </c>
      <c r="L225" s="35" t="n">
        <f aca="false">INDEX(Inputs_Banks!$AR24:$AX24,1,G225+1)</f>
        <v>1.0254</v>
      </c>
      <c r="M225" s="35" t="n">
        <f aca="false">Inputs_Banks!$AI24*MIN(1,p_u_base+$CD$210*p_u_pan_all+J225*($CD$210*p_u_pan_weak+p_u_mda*D225)+p_u_notch*G225+p_u_fail*E225)</f>
        <v>98.681085</v>
      </c>
      <c r="N225" s="35" t="n">
        <f aca="false">Inputs_Banks!$AK24*MIN(1,p_w_base+p_w_pan*$CD$210+p_w_notch*G225+0.5*D225+1*E225)</f>
        <v>44.031</v>
      </c>
      <c r="O225" s="35" t="n">
        <f aca="false">Inputs_Banks!$AO24*MIN(1,p_cp_base+p_cp_pan*$CD$210+p_cp_notch*G225)</f>
        <v>6.29</v>
      </c>
      <c r="P225" s="35" t="n">
        <f aca="false">Inputs_Banks!$AN24*(p_dh+p_dh_pan*$CD$210+MIN(1,0.5*$CD$217+0.25*G225))</f>
        <v>21.26696</v>
      </c>
      <c r="Q225" s="35" t="n">
        <f aca="false">Modules!$Y24</f>
        <v>0.730916</v>
      </c>
      <c r="R225" s="35" t="n">
        <f aca="false">Inputs_Banks!$AJ24*K225</f>
        <v>812.19</v>
      </c>
      <c r="S225" s="35" t="n">
        <f aca="false">p_liq_on*$CD$218*SUM($M$207:$M$230)*R225/MAX(0.000000001,SUM($R$207:$R$230))</f>
        <v>168.188952592438</v>
      </c>
      <c r="T225" s="35" t="n">
        <f aca="false">p_liq_on*(L225+M225+N225+O225+P225+Q225)</f>
        <v>172.025361</v>
      </c>
      <c r="U225" s="35" t="n">
        <f aca="false">g_usable*Inputs_Banks!$AG24+p_cb_on*Inputs_Banks!$AQ24+S225</f>
        <v>544.168952592438</v>
      </c>
      <c r="V225" s="35" t="n">
        <f aca="false">MAX(0,T225-U225)</f>
        <v>0</v>
      </c>
      <c r="W225" s="44" t="n">
        <f aca="false">IF(V225&gt;0.9*Inputs_Banks!$BB24,1,0)</f>
        <v>0</v>
      </c>
      <c r="X225" s="43" t="n">
        <f aca="false">MAX(p_htm_forced,(1-p_cb_on)*MIN(1,T225/Inputs_Banks!$AG24)*g_theta_sell)</f>
        <v>0.125823113662961</v>
      </c>
      <c r="Y225" s="35" t="n">
        <f aca="false">MAX(0,Modules!$V24-B225/(Inputs_Banks!$I24+g_del_buf))</f>
        <v>163.05491922914</v>
      </c>
      <c r="Z225" s="35" t="n">
        <f aca="false">MIN(g_del_cap*Inputs_Banks!$BB24,Y225)</f>
        <v>63.9425</v>
      </c>
      <c r="AA225" s="35" t="n">
        <f aca="false">MIN(Inputs_Banks!$BB24,V225+Z225)</f>
        <v>63.9425</v>
      </c>
      <c r="AB225" s="35" t="n">
        <f aca="false">$AA225*Holdings!Q24</f>
        <v>0</v>
      </c>
      <c r="AC225" s="35" t="n">
        <f aca="false">$AA225*Holdings!R24</f>
        <v>0</v>
      </c>
      <c r="AD225" s="35" t="n">
        <f aca="false">$AA225*Holdings!S24</f>
        <v>0</v>
      </c>
      <c r="AE225" s="35" t="n">
        <f aca="false">$AA225*Holdings!T24</f>
        <v>0</v>
      </c>
      <c r="AF225" s="35" t="n">
        <f aca="false">$AA225*Holdings!U24</f>
        <v>10.3475</v>
      </c>
      <c r="AG225" s="35" t="n">
        <f aca="false">$AA225*Holdings!V24</f>
        <v>0</v>
      </c>
      <c r="AH225" s="35" t="n">
        <f aca="false">$AA225*Holdings!W24</f>
        <v>0.915</v>
      </c>
      <c r="AI225" s="35" t="n">
        <f aca="false">$AA225*Holdings!X24</f>
        <v>0</v>
      </c>
      <c r="AJ225" s="35" t="n">
        <f aca="false">$AA225*Holdings!Y24</f>
        <v>0.535</v>
      </c>
      <c r="AK225" s="35" t="n">
        <f aca="false">$AA225*Holdings!Z24</f>
        <v>0</v>
      </c>
      <c r="AL225" s="35" t="n">
        <f aca="false">$AA225*Holdings!AA24</f>
        <v>32.3075</v>
      </c>
      <c r="AM225" s="35" t="n">
        <f aca="false">$AA225*Holdings!AB24</f>
        <v>0</v>
      </c>
      <c r="AN225" s="35" t="n">
        <f aca="false">$AA225*Holdings!AC24</f>
        <v>19.8375</v>
      </c>
      <c r="AO225" s="43" t="n">
        <f aca="false">MIN(1,$CD$217+0.5*G225)</f>
        <v>1</v>
      </c>
      <c r="AP225" s="35" t="n">
        <f aca="false">p_liq_on*Inputs_Banks!$AP24*AO225*p_mb_psi</f>
        <v>0.18</v>
      </c>
      <c r="AQ225" s="44" t="n">
        <f aca="false">MAX(F225,E225,W225*(1-p_cb_on))</f>
        <v>0</v>
      </c>
      <c r="AR225" s="35" t="n">
        <f aca="false">p_ib_on*p_lgd_ib*g_s_in*g_u_ib*SUMPRODUCT(Network!U$6:U$29,$AQ$207:$AQ$230)</f>
        <v>10.91666863851</v>
      </c>
      <c r="AS225" s="35" t="n">
        <f aca="false">p_sw_M1*(SUMPRODUCT(BDC_EAD!U$106:U$127,$BF$207:$BF$228)+SUMPRODUCT(BDC_EAD!U$131:U$152,$BG$207:$BG$228)+(Inputs_Banks!$Y24+p_ccf_bl*Inputs_Banks!$Z24)*$CD$230+Modules!$E24)</f>
        <v>0.0607767881736133</v>
      </c>
      <c r="AT225" s="35" t="n">
        <f aca="false">p_sw_M3*(Inputs_Banks!$U24+p_ccf_abf*Inputs_Banks!$V24)*$CD$231</f>
        <v>0</v>
      </c>
      <c r="AU225" s="35" t="n">
        <f aca="false">p_sw_M10*Inputs_Banks!$AC24*$CD$232</f>
        <v>0</v>
      </c>
      <c r="AV225" s="35" t="n">
        <f aca="false">p_sw_M8*(Modules!$M24+Modules!$N24*IF(p_liq_on&gt;0,X225,p_htm_forced))</f>
        <v>0.542714787401624</v>
      </c>
      <c r="AW225" s="35" t="n">
        <f aca="false">SUMPRODUCT(Holdings!$C24:$O24,Holdings!$C$32:$O$32,$AB$232:$AN$232)+Inputs_Banks!$P24*$AL$232</f>
        <v>7.60623973690638</v>
      </c>
      <c r="AX225" s="35" t="n">
        <f aca="false">Modules!$T24+AS225+AT225+AU225+AV225+AW225+AR225</f>
        <v>29.2789027486616</v>
      </c>
      <c r="AY225" s="35" t="n">
        <f aca="false">Modules!$U24-(1-p_tax)*AX225</f>
        <v>43.1850972513385</v>
      </c>
      <c r="AZ225" s="39" t="n">
        <f aca="false">AY225/Modules!$V24</f>
        <v>0.0793534454428393</v>
      </c>
      <c r="BA225" s="48" t="s">
        <v>655</v>
      </c>
      <c r="BB225" s="43" t="n">
        <f aca="false">INDEX($BJ$207:$BJ$240,BDC_EAD!$B24)</f>
        <v>0.392098725301358</v>
      </c>
      <c r="BC225" s="43" t="n">
        <f aca="false">INDEX($BK$207:$BK$240,BDC_EAD!$B24)</f>
        <v>0.0620042590793056</v>
      </c>
      <c r="BD225" s="22" t="n">
        <f aca="false">INDEX(BDC!$Q$6:$Q$39,BDC_EAD!$B24)</f>
        <v>0.254901960784314</v>
      </c>
      <c r="BE225" s="43" t="n">
        <f aca="false">BB225*(1-$AK$232)-BC225-p_c_liq</f>
        <v>0.103650039836441</v>
      </c>
      <c r="BF225" s="43" t="n">
        <f aca="false">p_phi*MAX(0,p_a_spv-BE225)/p_a_spv+(1-p_phi)*MAX(0,p_a_spv-BB225)/p_a_spv</f>
        <v>0.769514604386537</v>
      </c>
      <c r="BG225" s="43" t="n">
        <f aca="false">IF(BD225&gt;0,p_phi*MAX(0,BD225-BE225)/BD225+(1-p_phi)*MAX(0,BD225-BB225)/BD225,0)</f>
        <v>0.474698336513323</v>
      </c>
      <c r="BI225" s="12" t="str">
        <f aca="false">BDC!$A$24</f>
        <v>OTIC</v>
      </c>
      <c r="BJ225" s="43" t="n">
        <f aca="false">1-((1-BDC!$D$24)*$CD$223+BDC!$D$24*$CD$224)-p_gap-$CD$213*(1-BDC!$M$24)</f>
        <v>0.384840432143422</v>
      </c>
      <c r="BK225" s="43" t="n">
        <f aca="false">(1-BDC!$D$24)*$CD$225+BDC!$D$24*$CD$226</f>
        <v>0.0578683636097197</v>
      </c>
      <c r="BL225" s="45" t="n">
        <f aca="false">BJ225/BDC!$K$24</f>
        <v>0.832329306728796</v>
      </c>
      <c r="BM225" s="35" t="n">
        <f aca="false">IF(BL225&lt;1.5,BDC!$C$24,0)</f>
        <v>5.06</v>
      </c>
      <c r="BN225" s="43" t="n">
        <f aca="false">MAX(0,1-BJ225*(1-CE_mig_hc)-p_bb_cush)*BDC!$Q$24</f>
        <v>0.270936849243253</v>
      </c>
      <c r="BO225" s="43" t="n">
        <f aca="false">MAX(0,BDC!$K$24-BJ225/1.5)</f>
        <v>0.205805303302235</v>
      </c>
      <c r="BP225" s="43" t="n">
        <f aca="false">MIN(MIN(1,BDC!$H$24*$CD$216),$CD$215)</f>
        <v>0.25</v>
      </c>
      <c r="BQ225" s="43" t="n">
        <f aca="false">BDC!$I$24*BDC!$J$24*BP225*(1-0.3)</f>
        <v>0.0940860215053764</v>
      </c>
      <c r="BR225" s="45" t="n">
        <f aca="false">BDC!$C$24*($CD$214*MAX(BN225,BO225)+BQ225)</f>
        <v>1.84701572598807</v>
      </c>
      <c r="CC225" s="10" t="s">
        <v>990</v>
      </c>
      <c r="CD225" s="43" t="n">
        <f aca="false">(1-$CD$221)*$CD$212/10000*g_dur_s</f>
        <v>0.0690464594734653</v>
      </c>
    </row>
    <row r="226" customFormat="false" ht="15" hidden="false" customHeight="true" outlineLevel="0" collapsed="false">
      <c r="A226" s="10" t="s">
        <v>535</v>
      </c>
      <c r="B226" s="35" t="n">
        <f aca="false">AY186</f>
        <v>2.33549298402798</v>
      </c>
      <c r="C226" s="39" t="n">
        <f aca="false">AZ186</f>
        <v>0.00281267876952754</v>
      </c>
      <c r="D226" s="44" t="n">
        <f aca="false">IF(C226&lt;Inputs_Banks!$I25,1,0)</f>
        <v>1</v>
      </c>
      <c r="E226" s="44" t="n">
        <f aca="false">IF(C226&lt;0.045,1,0)</f>
        <v>1</v>
      </c>
      <c r="F226" s="44" t="n">
        <f aca="false">IF(B226&lt;0,1,0)</f>
        <v>0</v>
      </c>
      <c r="G226" s="44" t="n">
        <f aca="false">MIN(6,MIN(3,INT(MAX(0,Inputs_Banks!$BA25-C226)/p_notch_step))+D226+2*E226)</f>
        <v>6</v>
      </c>
      <c r="H226" s="39" t="n">
        <f aca="false">C226-Inputs_Banks!$I25</f>
        <v>-0.0840873212304725</v>
      </c>
      <c r="I226" s="44" t="n">
        <f aca="false">RANK(H226,$H$207:$H$230,1)</f>
        <v>6</v>
      </c>
      <c r="J226" s="44" t="n">
        <f aca="false">MAX(IF(I226&lt;=g_n_weak,1,0),E226)</f>
        <v>1</v>
      </c>
      <c r="K226" s="44" t="n">
        <f aca="false">IF(I226&gt;12,1,0)*(1-E226)</f>
        <v>0</v>
      </c>
      <c r="L226" s="35" t="n">
        <f aca="false">INDEX(Inputs_Banks!$AR25:$AX25,1,G226+1)</f>
        <v>0.817907877744296</v>
      </c>
      <c r="M226" s="35" t="n">
        <f aca="false">Inputs_Banks!$AI25*MIN(1,p_u_base+$CD$210*p_u_pan_all+J226*($CD$210*p_u_pan_weak+p_u_mda*D226)+p_u_notch*G226+p_u_fail*E226)</f>
        <v>715.108384601193</v>
      </c>
      <c r="N226" s="35" t="n">
        <f aca="false">Inputs_Banks!$AK25*MIN(1,p_w_base+p_w_pan*$CD$210+p_w_notch*G226+0.5*D226+1*E226)</f>
        <v>111.414716192116</v>
      </c>
      <c r="O226" s="35" t="n">
        <f aca="false">Inputs_Banks!$AO25*MIN(1,p_cp_base+p_cp_pan*$CD$210+p_cp_notch*G226)</f>
        <v>32.9</v>
      </c>
      <c r="P226" s="35" t="n">
        <f aca="false">Inputs_Banks!$AN25*(p_dh+p_dh_pan*$CD$210+MIN(1,0.5*$CD$217+0.25*G226))</f>
        <v>76.0290509481086</v>
      </c>
      <c r="Q226" s="35" t="n">
        <f aca="false">Modules!$Y25</f>
        <v>21.0243399144764</v>
      </c>
      <c r="R226" s="35" t="n">
        <f aca="false">Inputs_Banks!$AJ25*K226</f>
        <v>0</v>
      </c>
      <c r="S226" s="35" t="n">
        <f aca="false">p_liq_on*$CD$218*SUM($M$207:$M$230)*R226/MAX(0.000000001,SUM($R$207:$R$230))</f>
        <v>0</v>
      </c>
      <c r="T226" s="35" t="n">
        <f aca="false">p_liq_on*(L226+M226+N226+O226+P226+Q226)</f>
        <v>957.294399533638</v>
      </c>
      <c r="U226" s="35" t="n">
        <f aca="false">g_usable*Inputs_Banks!$AG25+p_cb_on*Inputs_Banks!$AQ25+S226</f>
        <v>834.979565832359</v>
      </c>
      <c r="V226" s="35" t="n">
        <f aca="false">MAX(0,T226-U226)</f>
        <v>122.314833701279</v>
      </c>
      <c r="W226" s="44" t="n">
        <f aca="false">IF(V226&gt;0.9*Inputs_Banks!$BB25,1,0)</f>
        <v>0</v>
      </c>
      <c r="X226" s="43" t="n">
        <f aca="false">MAX(p_htm_forced,(1-p_cb_on)*MIN(1,T226/Inputs_Banks!$AG25)*g_theta_sell)</f>
        <v>0.25</v>
      </c>
      <c r="Y226" s="35" t="n">
        <f aca="false">MAX(0,Modules!$V25-B226/(Inputs_Banks!$I25+g_del_buf))</f>
        <v>804.93131006303</v>
      </c>
      <c r="Z226" s="35" t="n">
        <f aca="false">MIN(g_del_cap*Inputs_Banks!$BB25,Y226)</f>
        <v>34.975</v>
      </c>
      <c r="AA226" s="35" t="n">
        <f aca="false">MIN(Inputs_Banks!$BB25,V226+Z226)</f>
        <v>139.9</v>
      </c>
      <c r="AB226" s="35" t="n">
        <f aca="false">$AA226*Holdings!Q25</f>
        <v>0</v>
      </c>
      <c r="AC226" s="35" t="n">
        <f aca="false">$AA226*Holdings!R25</f>
        <v>0</v>
      </c>
      <c r="AD226" s="35" t="n">
        <f aca="false">$AA226*Holdings!S25</f>
        <v>0</v>
      </c>
      <c r="AE226" s="35" t="n">
        <f aca="false">$AA226*Holdings!T25</f>
        <v>0</v>
      </c>
      <c r="AF226" s="35" t="n">
        <f aca="false">$AA226*Holdings!U25</f>
        <v>24.89</v>
      </c>
      <c r="AG226" s="35" t="n">
        <f aca="false">$AA226*Holdings!V25</f>
        <v>0</v>
      </c>
      <c r="AH226" s="35" t="n">
        <f aca="false">$AA226*Holdings!W25</f>
        <v>0</v>
      </c>
      <c r="AI226" s="35" t="n">
        <f aca="false">$AA226*Holdings!X25</f>
        <v>42.43</v>
      </c>
      <c r="AJ226" s="35" t="n">
        <f aca="false">$AA226*Holdings!Y25</f>
        <v>0</v>
      </c>
      <c r="AK226" s="35" t="n">
        <f aca="false">$AA226*Holdings!Z25</f>
        <v>0</v>
      </c>
      <c r="AL226" s="35" t="n">
        <f aca="false">$AA226*Holdings!AA25</f>
        <v>33.46</v>
      </c>
      <c r="AM226" s="35" t="n">
        <f aca="false">$AA226*Holdings!AB25</f>
        <v>0</v>
      </c>
      <c r="AN226" s="35" t="n">
        <f aca="false">$AA226*Holdings!AC25</f>
        <v>39.12</v>
      </c>
      <c r="AO226" s="43" t="n">
        <f aca="false">MIN(1,$CD$217+0.5*G226)</f>
        <v>1</v>
      </c>
      <c r="AP226" s="35" t="n">
        <f aca="false">p_liq_on*Inputs_Banks!$AP25*AO226*p_mb_psi</f>
        <v>1.674</v>
      </c>
      <c r="AQ226" s="44" t="n">
        <f aca="false">MAX(F226,E226,W226*(1-p_cb_on))</f>
        <v>1</v>
      </c>
      <c r="AR226" s="35" t="n">
        <f aca="false">p_ib_on*p_lgd_ib*g_s_in*g_u_ib*SUMPRODUCT(Network!V$6:V$29,$AQ$207:$AQ$230)</f>
        <v>9.81310841621088</v>
      </c>
      <c r="AS226" s="35" t="n">
        <f aca="false">p_sw_M1*(SUMPRODUCT(BDC_EAD!V$106:V$127,$BF$207:$BF$228)+SUMPRODUCT(BDC_EAD!V$131:V$152,$BG$207:$BG$228)+(Inputs_Banks!$Y25+p_ccf_bl*Inputs_Banks!$Z25)*$CD$230+Modules!$E25)</f>
        <v>28.8226410800686</v>
      </c>
      <c r="AT226" s="35" t="n">
        <f aca="false">p_sw_M3*(Inputs_Banks!$U25+p_ccf_abf*Inputs_Banks!$V25)*$CD$231</f>
        <v>0</v>
      </c>
      <c r="AU226" s="35" t="n">
        <f aca="false">p_sw_M10*Inputs_Banks!$AC25*$CD$232</f>
        <v>0</v>
      </c>
      <c r="AV226" s="35" t="n">
        <f aca="false">p_sw_M8*(Modules!$M25+Modules!$N25*IF(p_liq_on&gt;0,X226,p_htm_forced))</f>
        <v>7.68041297429432</v>
      </c>
      <c r="AW226" s="35" t="n">
        <f aca="false">SUMPRODUCT(Holdings!$C25:$O25,Holdings!$C$32:$O$32,$AB$232:$AN$232)+Inputs_Banks!$P25*$AL$232</f>
        <v>22.2442070071431</v>
      </c>
      <c r="AX226" s="35" t="n">
        <f aca="false">Modules!$T25+AS226+AT226+AU226+AV226+AW226+AR226</f>
        <v>97.3022906701138</v>
      </c>
      <c r="AY226" s="35" t="n">
        <f aca="false">Modules!$U25-(1-p_tax)*AX226</f>
        <v>2.33549298402798</v>
      </c>
      <c r="AZ226" s="39" t="n">
        <f aca="false">AY226/Modules!$V25</f>
        <v>0.00281267876952754</v>
      </c>
      <c r="BA226" s="48" t="s">
        <v>645</v>
      </c>
      <c r="BB226" s="43" t="n">
        <f aca="false">INDEX($BJ$207:$BJ$240,BDC_EAD!$B25)</f>
        <v>0.413355834314687</v>
      </c>
      <c r="BC226" s="43" t="n">
        <f aca="false">INDEX($BK$207:$BK$240,BDC_EAD!$B25)</f>
        <v>0.0626004241920387</v>
      </c>
      <c r="BD226" s="22" t="n">
        <f aca="false">INDEX(BDC!$Q$6:$Q$39,BDC_EAD!$B25)</f>
        <v>0.212552795031056</v>
      </c>
      <c r="BE226" s="43" t="n">
        <f aca="false">BB226*(1-$AK$232)-BC226-p_c_liq</f>
        <v>0.114745284681039</v>
      </c>
      <c r="BF226" s="43" t="n">
        <f aca="false">p_phi*MAX(0,p_a_spv-BE226)/p_a_spv+(1-p_phi)*MAX(0,p_a_spv-BB226)/p_a_spv</f>
        <v>0.750760864846045</v>
      </c>
      <c r="BG226" s="43" t="n">
        <f aca="false">IF(BD226&gt;0,p_phi*MAX(0,BD226-BE226)/BD226+(1-p_phi)*MAX(0,BD226-BB226)/BD226,0)</f>
        <v>0.368125049913274</v>
      </c>
      <c r="BI226" s="12" t="str">
        <f aca="false">BDC!$A$25</f>
        <v>ASCF</v>
      </c>
      <c r="BJ226" s="43" t="n">
        <f aca="false">1-((1-BDC!$D$25)*$CD$223+BDC!$D$25*$CD$224)-p_gap-$CD$213*(1-BDC!$M$25)</f>
        <v>0.410212404154075</v>
      </c>
      <c r="BK226" s="43" t="n">
        <f aca="false">(1-BDC!$D$25)*$CD$225+BDC!$D$25*$CD$226</f>
        <v>0.0620787797183972</v>
      </c>
      <c r="BL226" s="45" t="n">
        <f aca="false">BJ226/BDC!$K$25</f>
        <v>0.760821296593456</v>
      </c>
      <c r="BM226" s="35" t="n">
        <f aca="false">IF(BL226&lt;1.5,BDC!$C$25,0)</f>
        <v>4.62</v>
      </c>
      <c r="BN226" s="43" t="n">
        <f aca="false">MAX(0,1-BJ226*(1-CE_mig_hc)-p_bb_cush)*BDC!$Q$25</f>
        <v>0.164799096707034</v>
      </c>
      <c r="BO226" s="43" t="n">
        <f aca="false">MAX(0,BDC!$K$25-BJ226/1.5)</f>
        <v>0.265695570809726</v>
      </c>
      <c r="BP226" s="43" t="n">
        <f aca="false">MIN(MIN(1,BDC!$H$25*$CD$216),$CD$215)</f>
        <v>0.25</v>
      </c>
      <c r="BQ226" s="43" t="n">
        <f aca="false">BDC!$I$25*BDC!$J$25*BP226*(1-0.3)</f>
        <v>0.0806451612903226</v>
      </c>
      <c r="BR226" s="45" t="n">
        <f aca="false">BDC!$C$25*($CD$214*MAX(BN226,BO226)+BQ226)</f>
        <v>1.60009418230222</v>
      </c>
      <c r="CC226" s="10" t="s">
        <v>991</v>
      </c>
      <c r="CD226" s="43" t="n">
        <f aca="false">(1-$CD$222)*($CD$212+p_ds_sw)/10000*g_dur_s</f>
        <v>0.0317861399276465</v>
      </c>
    </row>
    <row r="227" customFormat="false" ht="15" hidden="false" customHeight="true" outlineLevel="0" collapsed="false">
      <c r="A227" s="10" t="s">
        <v>537</v>
      </c>
      <c r="B227" s="35" t="n">
        <f aca="false">AY187</f>
        <v>31.4382369652748</v>
      </c>
      <c r="C227" s="39" t="n">
        <f aca="false">AZ187</f>
        <v>0.0463485337720714</v>
      </c>
      <c r="D227" s="44" t="n">
        <f aca="false">IF(C227&lt;Inputs_Banks!$I26,1,0)</f>
        <v>1</v>
      </c>
      <c r="E227" s="44" t="n">
        <f aca="false">IF(C227&lt;0.045,1,0)</f>
        <v>0</v>
      </c>
      <c r="F227" s="44" t="n">
        <f aca="false">IF(B227&lt;0,1,0)</f>
        <v>0</v>
      </c>
      <c r="G227" s="44" t="n">
        <f aca="false">MIN(6,MIN(3,INT(MAX(0,Inputs_Banks!$BA26-C227)/p_notch_step))+D227+2*E227)</f>
        <v>4</v>
      </c>
      <c r="H227" s="39" t="n">
        <f aca="false">C227-Inputs_Banks!$I26</f>
        <v>-0.0353514662279286</v>
      </c>
      <c r="I227" s="44" t="n">
        <f aca="false">RANK(H227,$H$207:$H$230,1)</f>
        <v>19</v>
      </c>
      <c r="J227" s="44" t="n">
        <f aca="false">MAX(IF(I227&lt;=g_n_weak,1,0),E227)</f>
        <v>0</v>
      </c>
      <c r="K227" s="44" t="n">
        <f aca="false">IF(I227&gt;12,1,0)*(1-E227)</f>
        <v>1</v>
      </c>
      <c r="L227" s="35" t="n">
        <f aca="false">INDEX(Inputs_Banks!$AR26:$AX26,1,G227+1)</f>
        <v>2.38995739499416</v>
      </c>
      <c r="M227" s="35" t="n">
        <f aca="false">Inputs_Banks!$AI26*MIN(1,p_u_base+$CD$210*p_u_pan_all+J227*($CD$210*p_u_pan_weak+p_u_mda*D227)+p_u_notch*G227+p_u_fail*E227)</f>
        <v>179.605346842138</v>
      </c>
      <c r="N227" s="35" t="n">
        <f aca="false">Inputs_Banks!$AK26*MIN(1,p_w_base+p_w_pan*$CD$210+p_w_notch*G227+0.5*D227+1*E227)</f>
        <v>142.213430908308</v>
      </c>
      <c r="O227" s="35" t="n">
        <f aca="false">Inputs_Banks!$AO26*MIN(1,p_cp_base+p_cp_pan*$CD$210+p_cp_notch*G227)</f>
        <v>24.02</v>
      </c>
      <c r="P227" s="35" t="n">
        <f aca="false">Inputs_Banks!$AN26*(p_dh+p_dh_pan*$CD$210+MIN(1,0.5*$CD$217+0.25*G227))</f>
        <v>30.3571427289411</v>
      </c>
      <c r="Q227" s="35" t="n">
        <f aca="false">Modules!$Y26</f>
        <v>5.08130839142734</v>
      </c>
      <c r="R227" s="35" t="n">
        <f aca="false">Inputs_Banks!$AJ26*K227</f>
        <v>1241.80817292909</v>
      </c>
      <c r="S227" s="35" t="n">
        <f aca="false">p_liq_on*$CD$218*SUM($M$207:$M$230)*R227/MAX(0.000000001,SUM($R$207:$R$230))</f>
        <v>257.154626289013</v>
      </c>
      <c r="T227" s="35" t="n">
        <f aca="false">p_liq_on*(L227+M227+N227+O227+P227+Q227)</f>
        <v>383.667186265808</v>
      </c>
      <c r="U227" s="35" t="n">
        <f aca="false">g_usable*Inputs_Banks!$AG26+p_cb_on*Inputs_Banks!$AQ26+S227</f>
        <v>914.392909912406</v>
      </c>
      <c r="V227" s="35" t="n">
        <f aca="false">MAX(0,T227-U227)</f>
        <v>0</v>
      </c>
      <c r="W227" s="44" t="n">
        <f aca="false">IF(V227&gt;0.9*Inputs_Banks!$BB26,1,0)</f>
        <v>0</v>
      </c>
      <c r="X227" s="43" t="n">
        <f aca="false">MAX(p_htm_forced,(1-p_cb_on)*MIN(1,T227/Inputs_Banks!$AG26)*g_theta_sell)</f>
        <v>0.160533065179075</v>
      </c>
      <c r="Y227" s="35" t="n">
        <f aca="false">MAX(0,Modules!$V26-B227/(Inputs_Banks!$I26+g_del_buf))</f>
        <v>315.691149022337</v>
      </c>
      <c r="Z227" s="35" t="n">
        <f aca="false">MIN(g_del_cap*Inputs_Banks!$BB26,Y227)</f>
        <v>9.4025</v>
      </c>
      <c r="AA227" s="35" t="n">
        <f aca="false">MIN(Inputs_Banks!$BB26,V227+Z227)</f>
        <v>9.4025</v>
      </c>
      <c r="AB227" s="35" t="n">
        <f aca="false">$AA227*Holdings!Q26</f>
        <v>0</v>
      </c>
      <c r="AC227" s="35" t="n">
        <f aca="false">$AA227*Holdings!R26</f>
        <v>0</v>
      </c>
      <c r="AD227" s="35" t="n">
        <f aca="false">$AA227*Holdings!S26</f>
        <v>0</v>
      </c>
      <c r="AE227" s="35" t="n">
        <f aca="false">$AA227*Holdings!T26</f>
        <v>0</v>
      </c>
      <c r="AF227" s="35" t="n">
        <f aca="false">$AA227*Holdings!U26</f>
        <v>0.78</v>
      </c>
      <c r="AG227" s="35" t="n">
        <f aca="false">$AA227*Holdings!V26</f>
        <v>0</v>
      </c>
      <c r="AH227" s="35" t="n">
        <f aca="false">$AA227*Holdings!W26</f>
        <v>0</v>
      </c>
      <c r="AI227" s="35" t="n">
        <f aca="false">$AA227*Holdings!X26</f>
        <v>0</v>
      </c>
      <c r="AJ227" s="35" t="n">
        <f aca="false">$AA227*Holdings!Y26</f>
        <v>0</v>
      </c>
      <c r="AK227" s="35" t="n">
        <f aca="false">$AA227*Holdings!Z26</f>
        <v>0</v>
      </c>
      <c r="AL227" s="35" t="n">
        <f aca="false">$AA227*Holdings!AA26</f>
        <v>0.6375</v>
      </c>
      <c r="AM227" s="35" t="n">
        <f aca="false">$AA227*Holdings!AB26</f>
        <v>0</v>
      </c>
      <c r="AN227" s="35" t="n">
        <f aca="false">$AA227*Holdings!AC26</f>
        <v>7.985</v>
      </c>
      <c r="AO227" s="43" t="n">
        <f aca="false">MIN(1,$CD$217+0.5*G227)</f>
        <v>1</v>
      </c>
      <c r="AP227" s="35" t="n">
        <f aca="false">p_liq_on*Inputs_Banks!$AP26*AO227*p_mb_psi</f>
        <v>0.468</v>
      </c>
      <c r="AQ227" s="44" t="n">
        <f aca="false">MAX(F227,E227,W227*(1-p_cb_on))</f>
        <v>0</v>
      </c>
      <c r="AR227" s="35" t="n">
        <f aca="false">p_ib_on*p_lgd_ib*g_s_in*g_u_ib*SUMPRODUCT(Network!W$6:W$29,$AQ$207:$AQ$230)</f>
        <v>12.0727499706953</v>
      </c>
      <c r="AS227" s="35" t="n">
        <f aca="false">p_sw_M1*(SUMPRODUCT(BDC_EAD!W$106:W$127,$BF$207:$BF$228)+SUMPRODUCT(BDC_EAD!W$131:W$152,$BG$207:$BG$228)+(Inputs_Banks!$Y26+p_ccf_bl*Inputs_Banks!$Z26)*$CD$230+Modules!$E26)</f>
        <v>7.70107823629907</v>
      </c>
      <c r="AT227" s="35" t="n">
        <f aca="false">p_sw_M3*(Inputs_Banks!$U26+p_ccf_abf*Inputs_Banks!$V26)*$CD$231</f>
        <v>0</v>
      </c>
      <c r="AU227" s="35" t="n">
        <f aca="false">p_sw_M10*Inputs_Banks!$AC26*$CD$232</f>
        <v>0</v>
      </c>
      <c r="AV227" s="35" t="n">
        <f aca="false">p_sw_M8*(Modules!$M26+Modules!$N26*IF(p_liq_on&gt;0,X227,p_htm_forced))</f>
        <v>2.24642856226028</v>
      </c>
      <c r="AW227" s="35" t="n">
        <f aca="false">SUMPRODUCT(Holdings!$C26:$O26,Holdings!$C$32:$O$32,$AB$232:$AN$232)+Inputs_Banks!$P26*$AL$232</f>
        <v>9.8988542345359</v>
      </c>
      <c r="AX227" s="35" t="n">
        <f aca="false">Modules!$T26+AS227+AT227+AU227+AV227+AW227+AR227</f>
        <v>47.8996942812661</v>
      </c>
      <c r="AY227" s="35" t="n">
        <f aca="false">Modules!$U26-(1-p_tax)*AX227</f>
        <v>31.4382369652748</v>
      </c>
      <c r="AZ227" s="39" t="n">
        <f aca="false">AY227/Modules!$V26</f>
        <v>0.0463485337720714</v>
      </c>
      <c r="BA227" s="48" t="s">
        <v>639</v>
      </c>
      <c r="BB227" s="43" t="n">
        <f aca="false">INDEX($BJ$207:$BJ$240,BDC_EAD!$B26)</f>
        <v>0.261914595446638</v>
      </c>
      <c r="BC227" s="43" t="n">
        <f aca="false">INDEX($BK$207:$BK$240,BDC_EAD!$B26)</f>
        <v>0.0568250746624368</v>
      </c>
      <c r="BD227" s="22" t="n">
        <f aca="false">INDEX(BDC!$Q$6:$Q$39,BDC_EAD!$B26)</f>
        <v>0.310820512820513</v>
      </c>
      <c r="BE227" s="43" t="n">
        <f aca="false">BB227*(1-$AK$232)-BC227-p_c_liq</f>
        <v>0.0372279528332139</v>
      </c>
      <c r="BF227" s="43" t="n">
        <f aca="false">p_phi*MAX(0,p_a_spv-BE227)/p_a_spv+(1-p_phi)*MAX(0,p_a_spv-BB227)/p_a_spv</f>
        <v>0.882621026634431</v>
      </c>
      <c r="BG227" s="43" t="n">
        <f aca="false">IF(BD227&gt;0,p_phi*MAX(0,BD227-BE227)/BD227+(1-p_phi)*MAX(0,BD227-BB227)/BD227,0)</f>
        <v>0.735650389962049</v>
      </c>
      <c r="BI227" s="12" t="str">
        <f aca="false">BDC!$A$26</f>
        <v>HTGC</v>
      </c>
      <c r="BJ227" s="43" t="n">
        <f aca="false">1-((1-BDC!$D$26)*$CD$223+BDC!$D$26*$CD$224)-p_gap-$CD$213*(1-BDC!$M$26)</f>
        <v>0.49422228775433</v>
      </c>
      <c r="BK227" s="43" t="n">
        <f aca="false">(1-BDC!$D$26)*$CD$225+BDC!$D$26*$CD$226</f>
        <v>0.0568250746624368</v>
      </c>
      <c r="BL227" s="45" t="n">
        <f aca="false">BJ227/BDC!$K$26</f>
        <v>0.974049751593485</v>
      </c>
      <c r="BM227" s="35" t="n">
        <f aca="false">IF(BL227&lt;1.5,BDC!$C$26,0)</f>
        <v>4.58</v>
      </c>
      <c r="BN227" s="43" t="n">
        <f aca="false">MAX(0,1-BJ227*(1-CE_mig_hc)-p_bb_cush)*BDC!$Q$26</f>
        <v>0.136448855252561</v>
      </c>
      <c r="BO227" s="43" t="n">
        <f aca="false">MAX(0,BDC!$K$26-BJ227/1.5)</f>
        <v>0.177907637392023</v>
      </c>
      <c r="BP227" s="43" t="n">
        <f aca="false">MIN(MIN(1,BDC!$H$26*$CD$216),$CD$215)</f>
        <v>0</v>
      </c>
      <c r="BQ227" s="43" t="n">
        <f aca="false">BDC!$I$26*BDC!$J$26*BP227*(1-0.3)</f>
        <v>0</v>
      </c>
      <c r="BR227" s="45" t="n">
        <f aca="false">BDC!$C$26*($CD$214*MAX(BN227,BO227)+BQ227)</f>
        <v>0.814816979255466</v>
      </c>
      <c r="CC227" s="10" t="s">
        <v>992</v>
      </c>
      <c r="CD227" s="43" t="n">
        <f aca="false">1-((1-CE_sw_sys)*$CD$223+CE_sw_sys*$CD$224)-p_gap-$CD$213*(1-CE_mk_sys)</f>
        <v>0.408146622487016</v>
      </c>
    </row>
    <row r="228" customFormat="false" ht="15" hidden="false" customHeight="true" outlineLevel="0" collapsed="false">
      <c r="A228" s="10" t="s">
        <v>538</v>
      </c>
      <c r="B228" s="35" t="n">
        <f aca="false">AY188</f>
        <v>37.3401194889872</v>
      </c>
      <c r="C228" s="39" t="n">
        <f aca="false">AZ188</f>
        <v>0.0683840792474054</v>
      </c>
      <c r="D228" s="44" t="n">
        <f aca="false">IF(C228&lt;Inputs_Banks!$I27,1,0)</f>
        <v>1</v>
      </c>
      <c r="E228" s="44" t="n">
        <f aca="false">IF(C228&lt;0.045,1,0)</f>
        <v>0</v>
      </c>
      <c r="F228" s="44" t="n">
        <f aca="false">IF(B228&lt;0,1,0)</f>
        <v>0</v>
      </c>
      <c r="G228" s="44" t="n">
        <f aca="false">MIN(6,MIN(3,INT(MAX(0,Inputs_Banks!$BA27-C228)/p_notch_step))+D228+2*E228)</f>
        <v>3</v>
      </c>
      <c r="H228" s="39" t="n">
        <f aca="false">C228-Inputs_Banks!$I27</f>
        <v>-0.0129159207525946</v>
      </c>
      <c r="I228" s="44" t="n">
        <f aca="false">RANK(H228,$H$207:$H$230,1)</f>
        <v>22</v>
      </c>
      <c r="J228" s="44" t="n">
        <f aca="false">MAX(IF(I228&lt;=g_n_weak,1,0),E228)</f>
        <v>0</v>
      </c>
      <c r="K228" s="44" t="n">
        <f aca="false">IF(I228&gt;12,1,0)*(1-E228)</f>
        <v>1</v>
      </c>
      <c r="L228" s="35" t="n">
        <f aca="false">INDEX(Inputs_Banks!$AR27:$AX27,1,G228+1)</f>
        <v>1.75265973802349</v>
      </c>
      <c r="M228" s="35" t="n">
        <f aca="false">Inputs_Banks!$AI27*MIN(1,p_u_base+$CD$210*p_u_pan_all+J228*($CD$210*p_u_pan_weak+p_u_mda*D228)+p_u_notch*G228+p_u_fail*E228)</f>
        <v>150.345736670561</v>
      </c>
      <c r="N228" s="35" t="n">
        <f aca="false">Inputs_Banks!$AK27*MIN(1,p_w_base+p_w_pan*$CD$210+p_w_notch*G228+0.5*D228+1*E228)</f>
        <v>37.6025029210996</v>
      </c>
      <c r="O228" s="35" t="n">
        <f aca="false">Inputs_Banks!$AO27*MIN(1,p_cp_base+p_cp_pan*$CD$210+p_cp_notch*G228)</f>
        <v>15.5</v>
      </c>
      <c r="P228" s="35" t="n">
        <f aca="false">Inputs_Banks!$AN27*(p_dh+p_dh_pan*$CD$210+MIN(1,0.5*$CD$217+0.25*G228))</f>
        <v>71.2624542599161</v>
      </c>
      <c r="Q228" s="35" t="n">
        <f aca="false">Modules!$Y27</f>
        <v>8.4308773</v>
      </c>
      <c r="R228" s="35" t="n">
        <f aca="false">Inputs_Banks!$AJ27*K228</f>
        <v>1101.02948773138</v>
      </c>
      <c r="S228" s="35" t="n">
        <f aca="false">p_liq_on*$CD$218*SUM($M$207:$M$230)*R228/MAX(0.000000001,SUM($R$207:$R$230))</f>
        <v>228.002063944311</v>
      </c>
      <c r="T228" s="35" t="n">
        <f aca="false">p_liq_on*(L228+M228+N228+O228+P228+Q228)</f>
        <v>284.894230889601</v>
      </c>
      <c r="U228" s="35" t="n">
        <f aca="false">g_usable*Inputs_Banks!$AG27+p_cb_on*Inputs_Banks!$AQ27+S228</f>
        <v>781.793806764555</v>
      </c>
      <c r="V228" s="35" t="n">
        <f aca="false">MAX(0,T228-U228)</f>
        <v>0</v>
      </c>
      <c r="W228" s="44" t="n">
        <f aca="false">IF(V228&gt;0.9*Inputs_Banks!$BB27,1,0)</f>
        <v>0</v>
      </c>
      <c r="X228" s="43" t="n">
        <f aca="false">MAX(p_htm_forced,(1-p_cb_on)*MIN(1,T228/Inputs_Banks!$AG27)*g_theta_sell)</f>
        <v>0.141471797856095</v>
      </c>
      <c r="Y228" s="35" t="n">
        <f aca="false">MAX(0,Modules!$V27-B228/(Inputs_Banks!$I27+g_del_buf))</f>
        <v>113.357180852337</v>
      </c>
      <c r="Z228" s="35" t="n">
        <f aca="false">MIN(g_del_cap*Inputs_Banks!$BB27,Y228)</f>
        <v>12.31</v>
      </c>
      <c r="AA228" s="35" t="n">
        <f aca="false">MIN(Inputs_Banks!$BB27,V228+Z228)</f>
        <v>12.31</v>
      </c>
      <c r="AB228" s="35" t="n">
        <f aca="false">$AA228*Holdings!Q27</f>
        <v>0</v>
      </c>
      <c r="AC228" s="35" t="n">
        <f aca="false">$AA228*Holdings!R27</f>
        <v>0</v>
      </c>
      <c r="AD228" s="35" t="n">
        <f aca="false">$AA228*Holdings!S27</f>
        <v>0</v>
      </c>
      <c r="AE228" s="35" t="n">
        <f aca="false">$AA228*Holdings!T27</f>
        <v>0</v>
      </c>
      <c r="AF228" s="35" t="n">
        <f aca="false">$AA228*Holdings!U27</f>
        <v>0</v>
      </c>
      <c r="AG228" s="35" t="n">
        <f aca="false">$AA228*Holdings!V27</f>
        <v>0</v>
      </c>
      <c r="AH228" s="35" t="n">
        <f aca="false">$AA228*Holdings!W27</f>
        <v>0</v>
      </c>
      <c r="AI228" s="35" t="n">
        <f aca="false">$AA228*Holdings!X27</f>
        <v>0</v>
      </c>
      <c r="AJ228" s="35" t="n">
        <f aca="false">$AA228*Holdings!Y27</f>
        <v>0</v>
      </c>
      <c r="AK228" s="35" t="n">
        <f aca="false">$AA228*Holdings!Z27</f>
        <v>0</v>
      </c>
      <c r="AL228" s="35" t="n">
        <f aca="false">$AA228*Holdings!AA27</f>
        <v>0</v>
      </c>
      <c r="AM228" s="35" t="n">
        <f aca="false">$AA228*Holdings!AB27</f>
        <v>0</v>
      </c>
      <c r="AN228" s="35" t="n">
        <f aca="false">$AA228*Holdings!AC27</f>
        <v>12.31</v>
      </c>
      <c r="AO228" s="43" t="n">
        <f aca="false">MIN(1,$CD$217+0.5*G228)</f>
        <v>1</v>
      </c>
      <c r="AP228" s="35" t="n">
        <f aca="false">p_liq_on*Inputs_Banks!$AP27*AO228*p_mb_psi</f>
        <v>4.374</v>
      </c>
      <c r="AQ228" s="44" t="n">
        <f aca="false">MAX(F228,E228,W228*(1-p_cb_on))</f>
        <v>0</v>
      </c>
      <c r="AR228" s="35" t="n">
        <f aca="false">p_ib_on*p_lgd_ib*g_s_in*g_u_ib*SUMPRODUCT(Network!X$6:X$29,$AQ$207:$AQ$230)</f>
        <v>3.61209531474899</v>
      </c>
      <c r="AS228" s="35" t="n">
        <f aca="false">p_sw_M1*(SUMPRODUCT(BDC_EAD!X$106:X$127,$BF$207:$BF$228)+SUMPRODUCT(BDC_EAD!X$131:X$152,$BG$207:$BG$228)+(Inputs_Banks!$Y27+p_ccf_bl*Inputs_Banks!$Z27)*$CD$230+Modules!$E27)</f>
        <v>7.83931301052684</v>
      </c>
      <c r="AT228" s="35" t="n">
        <f aca="false">p_sw_M3*(Inputs_Banks!$U27+p_ccf_abf*Inputs_Banks!$V27)*$CD$231</f>
        <v>0</v>
      </c>
      <c r="AU228" s="35" t="n">
        <f aca="false">p_sw_M10*Inputs_Banks!$AC27*$CD$232</f>
        <v>0</v>
      </c>
      <c r="AV228" s="35" t="n">
        <f aca="false">p_sw_M8*(Modules!$M27+Modules!$N27*IF(p_liq_on&gt;0,X228,p_htm_forced))</f>
        <v>1.7060801035343</v>
      </c>
      <c r="AW228" s="35" t="n">
        <f aca="false">SUMPRODUCT(Holdings!$C27:$O27,Holdings!$C$32:$O$32,$AB$232:$AN$232)+Inputs_Banks!$P27*$AL$232</f>
        <v>7.97620246435341</v>
      </c>
      <c r="AX228" s="35" t="n">
        <f aca="false">Modules!$T27+AS228+AT228+AU228+AV228+AW228+AR228</f>
        <v>30.9828618774724</v>
      </c>
      <c r="AY228" s="35" t="n">
        <f aca="false">Modules!$U27-(1-p_tax)*AX228</f>
        <v>37.3401194889872</v>
      </c>
      <c r="AZ228" s="39" t="n">
        <f aca="false">AY228/Modules!$V27</f>
        <v>0.0683840792474054</v>
      </c>
      <c r="BA228" s="48" t="s">
        <v>653</v>
      </c>
      <c r="BB228" s="43" t="n">
        <f aca="false">INDEX($BJ$207:$BJ$240,BDC_EAD!$B27)</f>
        <v>0.525207527908933</v>
      </c>
      <c r="BC228" s="43" t="n">
        <f aca="false">INDEX($BK$207:$BK$240,BDC_EAD!$B27)</f>
        <v>0.0619669987597598</v>
      </c>
      <c r="BD228" s="22" t="n">
        <f aca="false">INDEX(BDC!$Q$6:$Q$39,BDC_EAD!$B27)</f>
        <v>0.118607929515418</v>
      </c>
      <c r="BE228" s="43" t="n">
        <f aca="false">BB228*(1-$AK$232)-BC228-p_c_liq</f>
        <v>0.176897141590153</v>
      </c>
      <c r="BF228" s="43" t="n">
        <f aca="false">p_phi*MAX(0,p_a_spv-BE228)/p_a_spv+(1-p_phi)*MAX(0,p_a_spv-BB228)/p_a_spv</f>
        <v>0.647772544494415</v>
      </c>
      <c r="BG228" s="43" t="n">
        <f aca="false">IF(BD228&gt;0,p_phi*MAX(0,BD228-BE228)/BD228+(1-p_phi)*MAX(0,BD228-BB228)/BD228,0)</f>
        <v>0</v>
      </c>
      <c r="BI228" s="12" t="str">
        <f aca="false">BDC!$A$27</f>
        <v>MSDL</v>
      </c>
      <c r="BJ228" s="43" t="n">
        <f aca="false">1-((1-BDC!$D$27)*$CD$223+BDC!$D$27*$CD$224)-p_gap-$CD$213*(1-BDC!$M$27)</f>
        <v>0.363449670124075</v>
      </c>
      <c r="BK228" s="43" t="n">
        <f aca="false">(1-BDC!$D$27)*$CD$225+BDC!$D$27*$CD$226</f>
        <v>0.0611472717297517</v>
      </c>
      <c r="BL228" s="45" t="n">
        <f aca="false">BJ228/BDC!$K$27</f>
        <v>0.666324395227472</v>
      </c>
      <c r="BM228" s="35" t="n">
        <f aca="false">IF(BL228&lt;1.5,BDC!$C$27,0)</f>
        <v>3.55</v>
      </c>
      <c r="BN228" s="43" t="n">
        <f aca="false">MAX(0,1-BJ228*(1-CE_mig_hc)-p_bb_cush)*BDC!$Q$27</f>
        <v>0.155815521691545</v>
      </c>
      <c r="BO228" s="43" t="n">
        <f aca="false">MAX(0,BDC!$K$27-BJ228/1.5)</f>
        <v>0.303154765371829</v>
      </c>
      <c r="BP228" s="43" t="n">
        <f aca="false">MIN(MIN(1,BDC!$H$27*$CD$216),$CD$215)</f>
        <v>0</v>
      </c>
      <c r="BQ228" s="43" t="n">
        <f aca="false">BDC!$I$27*BDC!$J$27*BP228*(1-0.3)</f>
        <v>0</v>
      </c>
      <c r="BR228" s="45" t="n">
        <f aca="false">BDC!$C$27*($CD$214*MAX(BN228,BO228)+BQ228)</f>
        <v>1.07619941706999</v>
      </c>
      <c r="CC228" s="10" t="s">
        <v>845</v>
      </c>
      <c r="CD228" s="43" t="n">
        <f aca="false">(1-CE_sw_sys)*$CD$225+CE_sw_sys*$CD$226</f>
        <v>0.0617359683514154</v>
      </c>
    </row>
    <row r="229" customFormat="false" ht="15" hidden="false" customHeight="true" outlineLevel="0" collapsed="false">
      <c r="A229" s="10" t="s">
        <v>540</v>
      </c>
      <c r="B229" s="35" t="n">
        <f aca="false">AY189</f>
        <v>33.2268270772335</v>
      </c>
      <c r="C229" s="39" t="n">
        <f aca="false">AZ189</f>
        <v>0.0561728885356686</v>
      </c>
      <c r="D229" s="44" t="n">
        <f aca="false">IF(C229&lt;Inputs_Banks!$I28,1,0)</f>
        <v>1</v>
      </c>
      <c r="E229" s="44" t="n">
        <f aca="false">IF(C229&lt;0.045,1,0)</f>
        <v>0</v>
      </c>
      <c r="F229" s="44" t="n">
        <f aca="false">IF(B229&lt;0,1,0)</f>
        <v>0</v>
      </c>
      <c r="G229" s="44" t="n">
        <f aca="false">MIN(6,MIN(3,INT(MAX(0,Inputs_Banks!$BA28-C229)/p_notch_step))+D229+2*E229)</f>
        <v>4</v>
      </c>
      <c r="H229" s="39" t="n">
        <f aca="false">C229-Inputs_Banks!$I28</f>
        <v>-0.0548271114643314</v>
      </c>
      <c r="I229" s="44" t="n">
        <f aca="false">RANK(H229,$H$207:$H$230,1)</f>
        <v>14</v>
      </c>
      <c r="J229" s="44" t="n">
        <f aca="false">MAX(IF(I229&lt;=g_n_weak,1,0),E229)</f>
        <v>0</v>
      </c>
      <c r="K229" s="44" t="n">
        <f aca="false">IF(I229&gt;12,1,0)*(1-E229)</f>
        <v>1</v>
      </c>
      <c r="L229" s="35" t="n">
        <f aca="false">INDEX(Inputs_Banks!$AR28:$AX28,1,G229+1)</f>
        <v>1.06969376979937</v>
      </c>
      <c r="M229" s="35" t="n">
        <f aca="false">Inputs_Banks!$AI28*MIN(1,p_u_base+$CD$210*p_u_pan_all+J229*($CD$210*p_u_pan_weak+p_u_mda*D229)+p_u_notch*G229+p_u_fail*E229)</f>
        <v>118.306518831397</v>
      </c>
      <c r="N229" s="35" t="n">
        <f aca="false">Inputs_Banks!$AK28*MIN(1,p_w_base+p_w_pan*$CD$210+p_w_notch*G229+0.5*D229+1*E229)</f>
        <v>111.12284406899</v>
      </c>
      <c r="O229" s="35" t="n">
        <f aca="false">Inputs_Banks!$AO28*MIN(1,p_cp_base+p_cp_pan*$CD$210+p_cp_notch*G229)</f>
        <v>38.53</v>
      </c>
      <c r="P229" s="35" t="n">
        <f aca="false">Inputs_Banks!$AN28*(p_dh+p_dh_pan*$CD$210+MIN(1,0.5*$CD$217+0.25*G229))</f>
        <v>88.8900335264263</v>
      </c>
      <c r="Q229" s="35" t="n">
        <f aca="false">Modules!$Y28</f>
        <v>3.6692462</v>
      </c>
      <c r="R229" s="35" t="n">
        <f aca="false">Inputs_Banks!$AJ28*K229</f>
        <v>1157.74234424498</v>
      </c>
      <c r="S229" s="35" t="n">
        <f aca="false">p_liq_on*$CD$218*SUM($M$207:$M$230)*R229/MAX(0.000000001,SUM($R$207:$R$230))</f>
        <v>239.746207476671</v>
      </c>
      <c r="T229" s="35" t="n">
        <f aca="false">p_liq_on*(L229+M229+N229+O229+P229+Q229)</f>
        <v>361.588336396613</v>
      </c>
      <c r="U229" s="35" t="n">
        <f aca="false">g_usable*Inputs_Banks!$AG28+p_cb_on*Inputs_Banks!$AQ28+S229</f>
        <v>751.261061401345</v>
      </c>
      <c r="V229" s="35" t="n">
        <f aca="false">MAX(0,T229-U229)</f>
        <v>0</v>
      </c>
      <c r="W229" s="44" t="n">
        <f aca="false">IF(V229&gt;0.9*Inputs_Banks!$BB28,1,0)</f>
        <v>0</v>
      </c>
      <c r="X229" s="43" t="n">
        <f aca="false">MAX(p_htm_forced,(1-p_cb_on)*MIN(1,T229/Inputs_Banks!$AG28)*g_theta_sell)</f>
        <v>0.25</v>
      </c>
      <c r="Y229" s="35" t="n">
        <f aca="false">MAX(0,Modules!$V28-B229/(Inputs_Banks!$I28+g_del_buf))</f>
        <v>305.071867220077</v>
      </c>
      <c r="Z229" s="35" t="n">
        <f aca="false">MIN(g_del_cap*Inputs_Banks!$BB28,Y229)</f>
        <v>33.855</v>
      </c>
      <c r="AA229" s="35" t="n">
        <f aca="false">MIN(Inputs_Banks!$BB28,V229+Z229)</f>
        <v>33.855</v>
      </c>
      <c r="AB229" s="35" t="n">
        <f aca="false">$AA229*Holdings!Q28</f>
        <v>0</v>
      </c>
      <c r="AC229" s="35" t="n">
        <f aca="false">$AA229*Holdings!R28</f>
        <v>0</v>
      </c>
      <c r="AD229" s="35" t="n">
        <f aca="false">$AA229*Holdings!S28</f>
        <v>0</v>
      </c>
      <c r="AE229" s="35" t="n">
        <f aca="false">$AA229*Holdings!T28</f>
        <v>0</v>
      </c>
      <c r="AF229" s="35" t="n">
        <f aca="false">$AA229*Holdings!U28</f>
        <v>13.575</v>
      </c>
      <c r="AG229" s="35" t="n">
        <f aca="false">$AA229*Holdings!V28</f>
        <v>0.3625</v>
      </c>
      <c r="AH229" s="35" t="n">
        <f aca="false">$AA229*Holdings!W28</f>
        <v>0</v>
      </c>
      <c r="AI229" s="35" t="n">
        <f aca="false">$AA229*Holdings!X28</f>
        <v>0</v>
      </c>
      <c r="AJ229" s="35" t="n">
        <f aca="false">$AA229*Holdings!Y28</f>
        <v>2.83</v>
      </c>
      <c r="AK229" s="35" t="n">
        <f aca="false">$AA229*Holdings!Z28</f>
        <v>0</v>
      </c>
      <c r="AL229" s="35" t="n">
        <f aca="false">$AA229*Holdings!AA28</f>
        <v>17.0875</v>
      </c>
      <c r="AM229" s="35" t="n">
        <f aca="false">$AA229*Holdings!AB28</f>
        <v>0</v>
      </c>
      <c r="AN229" s="35" t="n">
        <f aca="false">$AA229*Holdings!AC28</f>
        <v>0</v>
      </c>
      <c r="AO229" s="43" t="n">
        <f aca="false">MIN(1,$CD$217+0.5*G229)</f>
        <v>1</v>
      </c>
      <c r="AP229" s="35" t="n">
        <f aca="false">p_liq_on*Inputs_Banks!$AP28*AO229*p_mb_psi</f>
        <v>1.278</v>
      </c>
      <c r="AQ229" s="44" t="n">
        <f aca="false">MAX(F229,E229,W229*(1-p_cb_on))</f>
        <v>0</v>
      </c>
      <c r="AR229" s="35" t="n">
        <f aca="false">p_ib_on*p_lgd_ib*g_s_in*g_u_ib*SUMPRODUCT(Network!Y$6:Y$29,$AQ$207:$AQ$230)</f>
        <v>4.28546748591128</v>
      </c>
      <c r="AS229" s="35" t="n">
        <f aca="false">p_sw_M1*(SUMPRODUCT(BDC_EAD!Y$106:Y$127,$BF$207:$BF$228)+SUMPRODUCT(BDC_EAD!Y$131:Y$152,$BG$207:$BG$228)+(Inputs_Banks!$Y28+p_ccf_bl*Inputs_Banks!$Z28)*$CD$230+Modules!$E28)</f>
        <v>9.5671959469054</v>
      </c>
      <c r="AT229" s="35" t="n">
        <f aca="false">p_sw_M3*(Inputs_Banks!$U28+p_ccf_abf*Inputs_Banks!$V28)*$CD$231</f>
        <v>7.41184916420829</v>
      </c>
      <c r="AU229" s="35" t="n">
        <f aca="false">p_sw_M10*Inputs_Banks!$AC28*$CD$232</f>
        <v>0</v>
      </c>
      <c r="AV229" s="35" t="n">
        <f aca="false">p_sw_M8*(Modules!$M28+Modules!$N28*IF(p_liq_on&gt;0,X229,p_htm_forced))</f>
        <v>4.53398609644492</v>
      </c>
      <c r="AW229" s="35" t="n">
        <f aca="false">SUMPRODUCT(Holdings!$C28:$O28,Holdings!$C$32:$O$32,$AB$232:$AN$232)+Inputs_Banks!$P28*$AL$232</f>
        <v>5.73840137991657</v>
      </c>
      <c r="AX229" s="35" t="n">
        <f aca="false">Modules!$T28+AS229+AT229+AU229+AV229+AW229+AR229</f>
        <v>40.6598325496584</v>
      </c>
      <c r="AY229" s="35" t="n">
        <f aca="false">Modules!$U28-(1-p_tax)*AX229</f>
        <v>33.2268270772335</v>
      </c>
      <c r="AZ229" s="39" t="n">
        <f aca="false">AY229/Modules!$V28</f>
        <v>0.0561728885356686</v>
      </c>
      <c r="BA229" s="44" t="n">
        <f aca="false">MAX(F229,E229)</f>
        <v>0</v>
      </c>
      <c r="BI229" s="12" t="str">
        <f aca="false">BDC!$A$28</f>
        <v>TSLX</v>
      </c>
      <c r="BJ229" s="43" t="n">
        <f aca="false">1-((1-BDC!$D$28)*$CD$223+BDC!$D$28*$CD$224)-p_gap-$CD$213*(1-BDC!$M$28)</f>
        <v>0.525207527908933</v>
      </c>
      <c r="BK229" s="43" t="n">
        <f aca="false">(1-BDC!$D$28)*$CD$225+BDC!$D$28*$CD$226</f>
        <v>0.0619669987597598</v>
      </c>
      <c r="BL229" s="45" t="n">
        <f aca="false">BJ229/BDC!$K$28</f>
        <v>0.938756762482896</v>
      </c>
      <c r="BM229" s="35" t="n">
        <f aca="false">IF(BL229&lt;1.5,BDC!$C$28,0)</f>
        <v>3.3</v>
      </c>
      <c r="BN229" s="43" t="n">
        <f aca="false">MAX(0,1-BJ229*(1-CE_mig_hc)-p_bb_cush)*BDC!$Q$28</f>
        <v>0.0605793713671617</v>
      </c>
      <c r="BO229" s="43" t="n">
        <f aca="false">MAX(0,BDC!$K$28-BJ229/1.5)</f>
        <v>0.209333013699478</v>
      </c>
      <c r="BP229" s="43" t="n">
        <f aca="false">MIN(MIN(1,BDC!$H$28*$CD$216),$CD$215)</f>
        <v>0</v>
      </c>
      <c r="BQ229" s="43" t="n">
        <f aca="false">BDC!$I$28*BDC!$J$28*BP229*(1-0.3)</f>
        <v>0</v>
      </c>
      <c r="BR229" s="45" t="n">
        <f aca="false">BDC!$C$28*($CD$214*MAX(BN229,BO229)+BQ229)</f>
        <v>0.690798945208277</v>
      </c>
      <c r="CC229" s="10" t="s">
        <v>993</v>
      </c>
      <c r="CD229" s="43" t="n">
        <f aca="false">$CD$227*(1-$AK$232)-$CD$228-p_c_liq</f>
        <v>0.112744674016444</v>
      </c>
    </row>
    <row r="230" customFormat="false" ht="15" hidden="false" customHeight="true" outlineLevel="0" collapsed="false">
      <c r="A230" s="10" t="s">
        <v>543</v>
      </c>
      <c r="B230" s="35" t="n">
        <f aca="false">AY190</f>
        <v>5.74718717276074</v>
      </c>
      <c r="C230" s="39" t="n">
        <f aca="false">AZ190</f>
        <v>0.0549360248218316</v>
      </c>
      <c r="D230" s="44" t="n">
        <f aca="false">IF(C230&lt;Inputs_Banks!$I29,1,0)</f>
        <v>1</v>
      </c>
      <c r="E230" s="44" t="n">
        <f aca="false">IF(C230&lt;0.045,1,0)</f>
        <v>0</v>
      </c>
      <c r="F230" s="44" t="n">
        <f aca="false">IF(B230&lt;0,1,0)</f>
        <v>0</v>
      </c>
      <c r="G230" s="44" t="n">
        <f aca="false">MIN(6,MIN(3,INT(MAX(0,Inputs_Banks!$BA29-C230)/p_notch_step))+D230+2*E230)</f>
        <v>2</v>
      </c>
      <c r="H230" s="39" t="n">
        <f aca="false">C230-Inputs_Banks!$I29</f>
        <v>-0.0125639751781684</v>
      </c>
      <c r="I230" s="44" t="n">
        <f aca="false">RANK(H230,$H$207:$H$230,1)</f>
        <v>23</v>
      </c>
      <c r="J230" s="44" t="n">
        <f aca="false">MAX(IF(I230&lt;=g_n_weak,1,0),E230)</f>
        <v>0</v>
      </c>
      <c r="K230" s="44" t="n">
        <f aca="false">IF(I230&gt;12,1,0)*(1-E230)</f>
        <v>1</v>
      </c>
      <c r="L230" s="35" t="n">
        <f aca="false">INDEX(Inputs_Banks!$AR29:$AX29,1,G230+1)</f>
        <v>0.8997</v>
      </c>
      <c r="M230" s="35" t="n">
        <f aca="false">Inputs_Banks!$AI29*MIN(1,p_u_base+$CD$210*p_u_pan_all+J230*($CD$210*p_u_pan_weak+p_u_mda*D230)+p_u_notch*G230+p_u_fail*E230)</f>
        <v>0</v>
      </c>
      <c r="N230" s="35" t="n">
        <f aca="false">Inputs_Banks!$AK29*MIN(1,p_w_base+p_w_pan*$CD$210+p_w_notch*G230+0.5*D230+1*E230)</f>
        <v>1.603</v>
      </c>
      <c r="O230" s="35" t="n">
        <f aca="false">Inputs_Banks!$AO29*MIN(1,p_cp_base+p_cp_pan*$CD$210+p_cp_notch*G230)</f>
        <v>0</v>
      </c>
      <c r="P230" s="35" t="n">
        <f aca="false">Inputs_Banks!$AN29*(p_dh+p_dh_pan*$CD$210+MIN(1,0.5*$CD$217+0.25*G230))</f>
        <v>15.8432978486056</v>
      </c>
      <c r="Q230" s="35" t="n">
        <f aca="false">Modules!$Y29</f>
        <v>0</v>
      </c>
      <c r="R230" s="35" t="n">
        <f aca="false">Inputs_Banks!$AJ29*K230</f>
        <v>0</v>
      </c>
      <c r="S230" s="35" t="n">
        <f aca="false">p_liq_on*$CD$218*SUM($M$207:$M$230)*R230/MAX(0.000000001,SUM($R$207:$R$230))</f>
        <v>0</v>
      </c>
      <c r="T230" s="35" t="n">
        <f aca="false">p_liq_on*(L230+M230+N230+O230+P230+Q230)</f>
        <v>18.3459978486056</v>
      </c>
      <c r="U230" s="35" t="n">
        <f aca="false">g_usable*Inputs_Banks!$AG29+p_cb_on*Inputs_Banks!$AQ29+S230</f>
        <v>16.4573</v>
      </c>
      <c r="V230" s="35" t="n">
        <f aca="false">MAX(0,T230-U230)</f>
        <v>1.88869784860557</v>
      </c>
      <c r="W230" s="44" t="n">
        <f aca="false">IF(V230&gt;0.9*Inputs_Banks!$BB29,1,0)</f>
        <v>0</v>
      </c>
      <c r="X230" s="43" t="n">
        <f aca="false">MAX(p_htm_forced,(1-p_cb_on)*MIN(1,T230/Inputs_Banks!$AG29)*g_theta_sell)</f>
        <v>0.25</v>
      </c>
      <c r="Y230" s="35" t="n">
        <f aca="false">MAX(0,Modules!$V29-B230/(Inputs_Banks!$I29+g_del_buf))</f>
        <v>25.3444527895071</v>
      </c>
      <c r="Z230" s="35" t="n">
        <f aca="false">MIN(g_del_cap*Inputs_Banks!$BB29,Y230)</f>
        <v>4.57</v>
      </c>
      <c r="AA230" s="35" t="n">
        <f aca="false">MIN(Inputs_Banks!$BB29,V230+Z230)</f>
        <v>6.45869784860557</v>
      </c>
      <c r="AB230" s="35" t="n">
        <f aca="false">$AA230*Holdings!Q29</f>
        <v>0</v>
      </c>
      <c r="AC230" s="35" t="n">
        <f aca="false">$AA230*Holdings!R29</f>
        <v>0</v>
      </c>
      <c r="AD230" s="35" t="n">
        <f aca="false">$AA230*Holdings!S29</f>
        <v>0</v>
      </c>
      <c r="AE230" s="35" t="n">
        <f aca="false">$AA230*Holdings!T29</f>
        <v>0.229658293303809</v>
      </c>
      <c r="AF230" s="35" t="n">
        <f aca="false">$AA230*Holdings!U29</f>
        <v>1.86199877801703</v>
      </c>
      <c r="AG230" s="35" t="n">
        <f aca="false">$AA230*Holdings!V29</f>
        <v>0</v>
      </c>
      <c r="AH230" s="35" t="n">
        <f aca="false">$AA230*Holdings!W29</f>
        <v>0.64657642576303</v>
      </c>
      <c r="AI230" s="35" t="n">
        <f aca="false">$AA230*Holdings!X29</f>
        <v>0.250857520378006</v>
      </c>
      <c r="AJ230" s="35" t="n">
        <f aca="false">$AA230*Holdings!Y29</f>
        <v>0.346254042211896</v>
      </c>
      <c r="AK230" s="35" t="n">
        <f aca="false">$AA230*Holdings!Z29</f>
        <v>0</v>
      </c>
      <c r="AL230" s="35" t="n">
        <f aca="false">$AA230*Holdings!AA29</f>
        <v>3.0597551077092</v>
      </c>
      <c r="AM230" s="35" t="n">
        <f aca="false">$AA230*Holdings!AB29</f>
        <v>0</v>
      </c>
      <c r="AN230" s="35" t="n">
        <f aca="false">$AA230*Holdings!AC29</f>
        <v>0.0635976812225931</v>
      </c>
      <c r="AO230" s="43" t="n">
        <f aca="false">MIN(1,$CD$217+0.5*G230)</f>
        <v>1</v>
      </c>
      <c r="AP230" s="35" t="n">
        <f aca="false">p_liq_on*Inputs_Banks!$AP29*AO230*p_mb_psi</f>
        <v>0</v>
      </c>
      <c r="AQ230" s="44" t="n">
        <f aca="false">MAX(F230,E230,W230*(1-p_cb_on))</f>
        <v>0</v>
      </c>
      <c r="AR230" s="35" t="n">
        <f aca="false">p_ib_on*p_lgd_ib*g_s_in*g_u_ib*SUMPRODUCT(Network!Z$6:Z$29,$AQ$207:$AQ$230)</f>
        <v>0.371741653794596</v>
      </c>
      <c r="AS230" s="35" t="n">
        <f aca="false">p_sw_M1*(SUMPRODUCT(BDC_EAD!Z$106:Z$127,$BF$207:$BF$228)+SUMPRODUCT(BDC_EAD!Z$131:Z$152,$BG$207:$BG$228)+(Inputs_Banks!$Y29+p_ccf_bl*Inputs_Banks!$Z29)*$CD$230+Modules!$E29)</f>
        <v>0</v>
      </c>
      <c r="AT230" s="35" t="n">
        <f aca="false">p_sw_M3*(Inputs_Banks!$U29+p_ccf_abf*Inputs_Banks!$V29)*$CD$231</f>
        <v>0</v>
      </c>
      <c r="AU230" s="35" t="n">
        <f aca="false">p_sw_M10*Inputs_Banks!$AC29*$CD$232</f>
        <v>0</v>
      </c>
      <c r="AV230" s="35" t="n">
        <f aca="false">p_sw_M8*(Modules!$M29+Modules!$N29*IF(p_liq_on&gt;0,X230,p_htm_forced))</f>
        <v>0</v>
      </c>
      <c r="AW230" s="35" t="n">
        <f aca="false">SUMPRODUCT(Holdings!$C29:$O29,Holdings!$C$32:$O$32,$AB$232:$AN$232)+Inputs_Banks!$P29*$AL$232</f>
        <v>1.44215757921998</v>
      </c>
      <c r="AX230" s="35" t="n">
        <f aca="false">Modules!$T29+AS230+AT230+AU230+AV230+AW230+AR230</f>
        <v>2.97081282723926</v>
      </c>
      <c r="AY230" s="35" t="n">
        <f aca="false">Modules!$U29-(1-p_tax)*AX230</f>
        <v>5.74718717276074</v>
      </c>
      <c r="AZ230" s="39" t="n">
        <f aca="false">AY230/Modules!$V29</f>
        <v>0.0549360248218316</v>
      </c>
      <c r="BA230" s="44" t="n">
        <f aca="false">MAX(F230,E230)</f>
        <v>0</v>
      </c>
      <c r="BI230" s="12" t="str">
        <f aca="false">BDC!$A$29</f>
        <v>GSBD</v>
      </c>
      <c r="BJ230" s="43" t="n">
        <f aca="false">1-((1-BDC!$D$29)*$CD$223+BDC!$D$29*$CD$224)-p_gap-$CD$213*(1-BDC!$M$29)</f>
        <v>0.402673902876419</v>
      </c>
      <c r="BK230" s="43" t="n">
        <f aca="false">(1-BDC!$D$29)*$CD$225+BDC!$D$29*$CD$226</f>
        <v>0.0617434368424848</v>
      </c>
      <c r="BL230" s="45" t="n">
        <f aca="false">BJ230/BDC!$K$29</f>
        <v>0.698757654991433</v>
      </c>
      <c r="BM230" s="35" t="n">
        <f aca="false">IF(BL230&lt;1.5,BDC!$C$29,0)</f>
        <v>3.2</v>
      </c>
      <c r="BN230" s="43" t="n">
        <f aca="false">MAX(0,1-BJ230*(1-CE_mig_hc)-p_bb_cush)*BDC!$Q$29</f>
        <v>0.130680147041233</v>
      </c>
      <c r="BO230" s="43" t="n">
        <f aca="false">MAX(0,BDC!$K$29-BJ230/1.5)</f>
        <v>0.307821917856399</v>
      </c>
      <c r="BP230" s="43" t="n">
        <f aca="false">MIN(MIN(1,BDC!$H$29*$CD$216),$CD$215)</f>
        <v>0</v>
      </c>
      <c r="BQ230" s="43" t="n">
        <f aca="false">BDC!$I$29*BDC!$J$29*BP230*(1-0.3)</f>
        <v>0</v>
      </c>
      <c r="BR230" s="45" t="n">
        <f aca="false">BDC!$C$29*($CD$214*MAX(BN230,BO230)+BQ230)</f>
        <v>0.985030137140476</v>
      </c>
      <c r="CC230" s="10" t="s">
        <v>994</v>
      </c>
      <c r="CD230" s="43" t="n">
        <f aca="false">p_phi*MAX(0,p_a_spv-$CD$229)/p_a_spv+(1-p_phi)*MAX(0,p_a_spv-$CD$227)/p_a_spv</f>
        <v>0.754535623270631</v>
      </c>
    </row>
    <row r="231" customFormat="false" ht="15" hidden="false" customHeight="true" outlineLevel="0" collapsed="false">
      <c r="AA231" s="7" t="s">
        <v>995</v>
      </c>
      <c r="AB231" s="47" t="n">
        <f aca="false">p_fs_on*(SUM(AB207:AB230)+$CD$220*Holdings!C$37+Holdings!C$36*SUM($AP$207:$AP$230))</f>
        <v>0</v>
      </c>
      <c r="AC231" s="47" t="n">
        <f aca="false">p_fs_on*(SUM(AC207:AC230)+$CD$220*Holdings!D$37+Holdings!D$36*SUM($AP$207:$AP$230))</f>
        <v>0</v>
      </c>
      <c r="AD231" s="47" t="n">
        <f aca="false">p_fs_on*(SUM(AD207:AD230)+$CD$220*Holdings!E$37+Holdings!E$36*SUM($AP$207:$AP$230))</f>
        <v>0</v>
      </c>
      <c r="AE231" s="47" t="n">
        <f aca="false">p_fs_on*(SUM(AE207:AE230)+$CD$220*Holdings!F$37+Holdings!F$36*SUM($AP$207:$AP$230))</f>
        <v>73.0743229780475</v>
      </c>
      <c r="AF231" s="47" t="n">
        <f aca="false">p_fs_on*(SUM(AF207:AF230)+$CD$220*Holdings!G$37+Holdings!G$36*SUM($AP$207:$AP$230))</f>
        <v>469.109968894015</v>
      </c>
      <c r="AG231" s="47" t="n">
        <f aca="false">p_fs_on*(SUM(AG207:AG230)+$CD$220*Holdings!H$37+Holdings!H$36*SUM($AP$207:$AP$230))</f>
        <v>8.84482</v>
      </c>
      <c r="AH231" s="47" t="n">
        <f aca="false">p_fs_on*(SUM(AH207:AH230)+$CD$220*Holdings!I$37+Holdings!I$36*SUM($AP$207:$AP$230))</f>
        <v>67.8038928293643</v>
      </c>
      <c r="AI231" s="47" t="n">
        <f aca="false">p_fs_on*(SUM(AI207:AI230)+$CD$220*Holdings!J$37+Holdings!J$36*SUM($AP$207:$AP$230))</f>
        <v>117.445857520378</v>
      </c>
      <c r="AJ231" s="47" t="n">
        <f aca="false">p_fs_on*(SUM(AJ207:AJ230)+$CD$220*Holdings!K$37+Holdings!K$36*SUM($AP$207:$AP$230))</f>
        <v>108.589065039421</v>
      </c>
      <c r="AK231" s="47" t="n">
        <f aca="false">p_fs_on*(SUM(AK207:AK230)+$CD$220*Holdings!L$37+$CD$234+Holdings!L$36*SUM($AP$207:$AP$230))</f>
        <v>216.309230667799</v>
      </c>
      <c r="AL231" s="47" t="n">
        <f aca="false">p_fs_on*(SUM(AL207:AL230)+$CD$220*Holdings!M$37+Holdings!M$36*SUM($AP$207:$AP$230))</f>
        <v>866.737029727618</v>
      </c>
      <c r="AM231" s="47" t="n">
        <f aca="false">p_fs_on*(SUM(AM207:AM230)+$CD$220*Holdings!N$37+Holdings!N$36*SUM($AP$207:$AP$230))</f>
        <v>0</v>
      </c>
      <c r="AN231" s="47" t="n">
        <f aca="false">p_fs_on*(SUM(AN207:AN230)+$CD$220*Holdings!O$37+Holdings!O$36*SUM($AP$207:$AP$230))</f>
        <v>185.647651909261</v>
      </c>
      <c r="BI231" s="12" t="str">
        <f aca="false">BDC!$A$30</f>
        <v>OCSL</v>
      </c>
      <c r="BJ231" s="43" t="n">
        <f aca="false">1-((1-BDC!$D$30)*$CD$223+BDC!$D$30*$CD$224)-p_gap-$CD$213*(1-BDC!$M$30)</f>
        <v>0.392098725301358</v>
      </c>
      <c r="BK231" s="43" t="n">
        <f aca="false">(1-BDC!$D$30)*$CD$225+BDC!$D$30*$CD$226</f>
        <v>0.0620042590793056</v>
      </c>
      <c r="BL231" s="45" t="n">
        <f aca="false">BJ231/BDC!$K$30</f>
        <v>0.769116730398817</v>
      </c>
      <c r="BM231" s="35" t="n">
        <f aca="false">IF(BL231&lt;1.5,BDC!$C$30,0)</f>
        <v>2.74</v>
      </c>
      <c r="BN231" s="43" t="n">
        <f aca="false">MAX(0,1-BJ231*(1-CE_mig_hc)-p_bb_cush)*BDC!$Q$30</f>
        <v>0.159860448974885</v>
      </c>
      <c r="BO231" s="43" t="n">
        <f aca="false">MAX(0,BDC!$K$30-BJ231/1.5)</f>
        <v>0.248404771367722</v>
      </c>
      <c r="BP231" s="43" t="n">
        <f aca="false">MIN(MIN(1,BDC!$H$30*$CD$216),$CD$215)</f>
        <v>0</v>
      </c>
      <c r="BQ231" s="43" t="n">
        <f aca="false">BDC!$I$30*BDC!$J$30*BP231*(1-0.3)</f>
        <v>0</v>
      </c>
      <c r="BR231" s="45" t="n">
        <f aca="false">BDC!$C$30*($CD$214*MAX(BN231,BO231)+BQ231)</f>
        <v>0.680629073547559</v>
      </c>
      <c r="CC231" s="10" t="s">
        <v>996</v>
      </c>
      <c r="CD231" s="43" t="n">
        <f aca="false">p_phi*MAX(0,g_a_abf-(CE_Vh_a*(1-$AJ$232)-p_c_liq))/g_a_abf+(1-p_phi)*MAX(0,g_a_abf-CE_Vh_a)/g_a_abf</f>
        <v>0.309662698169349</v>
      </c>
    </row>
    <row r="232" customFormat="false" ht="15" hidden="false" customHeight="true" outlineLevel="0" collapsed="false">
      <c r="AA232" s="7" t="s">
        <v>997</v>
      </c>
      <c r="AB232" s="50" t="n">
        <f aca="false">MIN(Holdings!C$34,$CD$219*Holdings!C$31*AB231/10000+Holdings!C$39*$CD$210^g_gamma_pan)</f>
        <v>0</v>
      </c>
      <c r="AC232" s="50" t="n">
        <f aca="false">MIN(Holdings!D$34,$CD$219*Holdings!D$31*AC231/10000+Holdings!D$39*$CD$210^g_gamma_pan)</f>
        <v>0.01</v>
      </c>
      <c r="AD232" s="50" t="n">
        <f aca="false">MIN(Holdings!E$34,$CD$219*Holdings!E$31*AD231/10000+Holdings!E$39*$CD$210^g_gamma_pan)</f>
        <v>0.02</v>
      </c>
      <c r="AE232" s="50" t="n">
        <f aca="false">MIN(Holdings!F$34,$CD$219*Holdings!F$31*AE231/10000+Holdings!F$39*$CD$210^g_gamma_pan)</f>
        <v>0.0982685807445119</v>
      </c>
      <c r="AF232" s="50" t="n">
        <f aca="false">MIN(Holdings!G$34,$CD$219*Holdings!G$31*AF231/10000+Holdings!G$39*$CD$210^g_gamma_pan)</f>
        <v>0.25</v>
      </c>
      <c r="AG232" s="50" t="n">
        <f aca="false">MIN(Holdings!H$34,$CD$219*Holdings!H$31*AG231/10000+Holdings!H$39*$CD$210^g_gamma_pan)</f>
        <v>0.16326723</v>
      </c>
      <c r="AH232" s="50" t="n">
        <f aca="false">MIN(Holdings!I$34,$CD$219*Holdings!I$31*AH231/10000+Holdings!I$39*$CD$210^g_gamma_pan)</f>
        <v>0.403411678488093</v>
      </c>
      <c r="AI232" s="50" t="n">
        <f aca="false">MIN(Holdings!J$34,$CD$219*Holdings!J$31*AI231/10000+Holdings!J$39*$CD$210^g_gamma_pan)</f>
        <v>0.45</v>
      </c>
      <c r="AJ232" s="50" t="n">
        <f aca="false">MIN(Holdings!K$34,$CD$219*Holdings!K$31*AJ231/10000+Holdings!K$39*$CD$210^g_gamma_pan)</f>
        <v>0.262883597559132</v>
      </c>
      <c r="AK232" s="50" t="n">
        <f aca="false">MIN(Holdings!L$34,$CD$219*Holdings!L$31*AK231/10000+Holdings!L$39*$CD$210^g_gamma_pan)</f>
        <v>0.45</v>
      </c>
      <c r="AL232" s="50" t="n">
        <f aca="false">MIN(Holdings!M$34,$CD$219*Holdings!M$31*AL231/10000+Holdings!M$39*$CD$210^g_gamma_pan)</f>
        <v>0.343336851486381</v>
      </c>
      <c r="AM232" s="50" t="n">
        <f aca="false">MIN(Holdings!N$34,$CD$219*Holdings!N$31*AM231/10000+Holdings!N$39*$CD$210^g_gamma_pan)</f>
        <v>0</v>
      </c>
      <c r="AN232" s="50" t="n">
        <f aca="false">MIN(Holdings!O$34,$CD$219*Holdings!O$31*AN231/10000+Holdings!O$39*$CD$210^g_gamma_pan)</f>
        <v>0.285647651909261</v>
      </c>
      <c r="BI232" s="12" t="str">
        <f aca="false">BDC!$A$31</f>
        <v>BBDC</v>
      </c>
      <c r="BJ232" s="43" t="n">
        <f aca="false">1-((1-BDC!$D$31)*$CD$223+BDC!$D$31*$CD$224)-p_gap-$CD$213*(1-BDC!$M$31)</f>
        <v>0.440484450675871</v>
      </c>
      <c r="BK232" s="43" t="n">
        <f aca="false">(1-BDC!$D$31)*$CD$225+BDC!$D$31*$CD$226</f>
        <v>0.0655439894361584</v>
      </c>
      <c r="BL232" s="45" t="n">
        <f aca="false">BJ232/BDC!$K$31</f>
        <v>0.798601890249749</v>
      </c>
      <c r="BM232" s="35" t="n">
        <f aca="false">IF(BL232&lt;1.5,BDC!$C$31,0)</f>
        <v>2.46</v>
      </c>
      <c r="BN232" s="43" t="n">
        <f aca="false">MAX(0,1-BJ232*(1-CE_mig_hc)-p_bb_cush)*BDC!$Q$31</f>
        <v>0.161288813940408</v>
      </c>
      <c r="BO232" s="43" t="n">
        <f aca="false">MAX(0,BDC!$K$31-BJ232/1.5)</f>
        <v>0.257913206275877</v>
      </c>
      <c r="BP232" s="43" t="n">
        <f aca="false">MIN(MIN(1,BDC!$H$31*$CD$216),$CD$215)</f>
        <v>0</v>
      </c>
      <c r="BQ232" s="43" t="n">
        <f aca="false">BDC!$I$31*BDC!$J$31*BP232*(1-0.3)</f>
        <v>0</v>
      </c>
      <c r="BR232" s="45" t="n">
        <f aca="false">BDC!$C$31*($CD$214*MAX(BN232,BO232)+BQ232)</f>
        <v>0.634466487438657</v>
      </c>
      <c r="CC232" s="10" t="s">
        <v>998</v>
      </c>
      <c r="CD232" s="43" t="n">
        <f aca="false">p_phi*MAX(0,g_trs_adv-$CD$229)/g_trs_adv+(1-p_phi)*MAX(0,g_trs_adv-$CD$227)/g_trs_adv</f>
        <v>0.785218670361803</v>
      </c>
    </row>
    <row r="233" customFormat="false" ht="15" hidden="false" customHeight="true" outlineLevel="0" collapsed="false">
      <c r="BI233" s="12" t="str">
        <f aca="false">BDC!$A$32</f>
        <v>CGBD</v>
      </c>
      <c r="BJ233" s="43" t="n">
        <f aca="false">1-((1-BDC!$D$32)*$CD$223+BDC!$D$32*$CD$224)-p_gap-$CD$213*(1-BDC!$M$32)</f>
        <v>0.378165749019815</v>
      </c>
      <c r="BK233" s="43" t="n">
        <f aca="false">(1-BDC!$D$32)*$CD$225+BDC!$D$32*$CD$226</f>
        <v>0.0643143988911463</v>
      </c>
      <c r="BL233" s="45" t="n">
        <f aca="false">BJ233/BDC!$K$32</f>
        <v>0.695952092733944</v>
      </c>
      <c r="BM233" s="35" t="n">
        <f aca="false">IF(BL233&lt;1.5,BDC!$C$32,0)</f>
        <v>2.36</v>
      </c>
      <c r="BN233" s="43" t="n">
        <f aca="false">MAX(0,1-BJ233*(1-CE_mig_hc)-p_bb_cush)*BDC!$Q$32</f>
        <v>0.188636784641365</v>
      </c>
      <c r="BO233" s="43" t="n">
        <f aca="false">MAX(0,BDC!$K$32-BJ233/1.5)</f>
        <v>0.291268496087247</v>
      </c>
      <c r="BP233" s="43" t="n">
        <f aca="false">MIN(MIN(1,BDC!$H$32*$CD$216),$CD$215)</f>
        <v>0</v>
      </c>
      <c r="BQ233" s="43" t="n">
        <f aca="false">BDC!$I$32*BDC!$J$32*BP233*(1-0.3)</f>
        <v>0</v>
      </c>
      <c r="BR233" s="45" t="n">
        <f aca="false">BDC!$C$32*($CD$214*MAX(BN233,BO233)+BQ233)</f>
        <v>0.687393650765903</v>
      </c>
      <c r="CC233" s="10" t="s">
        <v>999</v>
      </c>
      <c r="CD233" s="43" t="n">
        <f aca="false">SUM($BM$207:$BM$240)/SUM(BDC!$C$6:$C$39)</f>
        <v>0.998189261533617</v>
      </c>
    </row>
    <row r="234" customFormat="false" ht="15" hidden="false" customHeight="true" outlineLevel="0" collapsed="false">
      <c r="BI234" s="12" t="str">
        <f aca="false">BDC!$A$33</f>
        <v>KBDC</v>
      </c>
      <c r="BJ234" s="43" t="n">
        <f aca="false">1-((1-BDC!$D$33)*$CD$223+BDC!$D$33*$CD$224)-p_gap-$CD$213*(1-BDC!$M$33)</f>
        <v>0.456205474041006</v>
      </c>
      <c r="BK234" s="43" t="n">
        <f aca="false">(1-BDC!$D$33)*$CD$225+BDC!$D$33*$CD$226</f>
        <v>0.0684875546802781</v>
      </c>
      <c r="BL234" s="45" t="n">
        <f aca="false">BJ234/BDC!$K$33</f>
        <v>0.846124682623062</v>
      </c>
      <c r="BM234" s="35" t="n">
        <f aca="false">IF(BL234&lt;1.5,BDC!$C$33,0)</f>
        <v>2.29</v>
      </c>
      <c r="BN234" s="43" t="n">
        <f aca="false">MAX(0,1-BJ234*(1-CE_mig_hc)-p_bb_cush)*BDC!$Q$33</f>
        <v>0.1539572367744</v>
      </c>
      <c r="BO234" s="43" t="n">
        <f aca="false">MAX(0,BDC!$K$33-BJ234/1.5)</f>
        <v>0.235033524218438</v>
      </c>
      <c r="BP234" s="43" t="n">
        <f aca="false">MIN(MIN(1,BDC!$H$33*$CD$216),$CD$215)</f>
        <v>0</v>
      </c>
      <c r="BQ234" s="43" t="n">
        <f aca="false">BDC!$I$33*BDC!$J$33*BP234*(1-0.3)</f>
        <v>0</v>
      </c>
      <c r="BR234" s="45" t="n">
        <f aca="false">BDC!$C$33*($CD$214*MAX(BN234,BO234)+BQ234)</f>
        <v>0.538226770460224</v>
      </c>
      <c r="CC234" s="10" t="s">
        <v>869</v>
      </c>
      <c r="CD234" s="35" t="n">
        <f aca="false">p_pc_scale*SUM($BR$207:$BR$240)</f>
        <v>209.214230667799</v>
      </c>
    </row>
    <row r="235" customFormat="false" ht="15" hidden="false" customHeight="true" outlineLevel="0" collapsed="false">
      <c r="BI235" s="12" t="str">
        <f aca="false">BDC!$A$34</f>
        <v>NMFC</v>
      </c>
      <c r="BJ235" s="43" t="n">
        <f aca="false">1-((1-BDC!$D$34)*$CD$223+BDC!$D$34*$CD$224)-p_gap-$CD$213*(1-BDC!$M$34)</f>
        <v>0.361123826355913</v>
      </c>
      <c r="BK235" s="43" t="n">
        <f aca="false">(1-BDC!$D$34)*$CD$225+BDC!$D$34*$CD$226</f>
        <v>0.0628985067484052</v>
      </c>
      <c r="BL235" s="45" t="n">
        <f aca="false">BJ235/BDC!$K$34</f>
        <v>0.636790869375694</v>
      </c>
      <c r="BM235" s="35" t="n">
        <f aca="false">IF(BL235&lt;1.5,BDC!$C$34,0)</f>
        <v>2.29</v>
      </c>
      <c r="BN235" s="43" t="n">
        <f aca="false">MAX(0,1-BJ235*(1-CE_mig_hc)-p_bb_cush)*BDC!$Q$34</f>
        <v>0.15656762438422</v>
      </c>
      <c r="BO235" s="43" t="n">
        <f aca="false">MAX(0,BDC!$K$34-BJ235/1.5)</f>
        <v>0.326350349528958</v>
      </c>
      <c r="BP235" s="43" t="n">
        <f aca="false">MIN(MIN(1,BDC!$H$34*$CD$216),$CD$215)</f>
        <v>0</v>
      </c>
      <c r="BQ235" s="43" t="n">
        <f aca="false">BDC!$I$34*BDC!$J$34*BP235*(1-0.3)</f>
        <v>0</v>
      </c>
      <c r="BR235" s="45" t="n">
        <f aca="false">BDC!$C$34*($CD$214*MAX(BN235,BO235)+BQ235)</f>
        <v>0.747342300421315</v>
      </c>
    </row>
    <row r="236" customFormat="false" ht="15" hidden="false" customHeight="true" outlineLevel="0" collapsed="false">
      <c r="BI236" s="12" t="str">
        <f aca="false">BDC!$A$35</f>
        <v>HPS CCS</v>
      </c>
      <c r="BJ236" s="43" t="n">
        <f aca="false">1-((1-BDC!$D$35)*$CD$223+BDC!$D$35*$CD$224)-p_gap-$CD$213*(1-BDC!$M$35)</f>
        <v>0.428848454391989</v>
      </c>
      <c r="BK236" s="43" t="n">
        <f aca="false">(1-BDC!$D$35)*$CD$225+BDC!$D$35*$CD$226</f>
        <v>0.0651713862407002</v>
      </c>
      <c r="BL236" s="45" t="n">
        <f aca="false">BJ236/BDC!$K$35</f>
        <v>1.05036795351081</v>
      </c>
      <c r="BM236" s="35" t="n">
        <f aca="false">IF(BL236&lt;1.5,BDC!$C$35,0)</f>
        <v>2.27</v>
      </c>
      <c r="BN236" s="43" t="n">
        <f aca="false">MAX(0,1-BJ236*(1-CE_mig_hc)-p_bb_cush)*BDC!$Q$35</f>
        <v>0.121466639892192</v>
      </c>
      <c r="BO236" s="43" t="n">
        <f aca="false">MAX(0,BDC!$K$35-BJ236/1.5)</f>
        <v>0.12238505407398</v>
      </c>
      <c r="BP236" s="43" t="n">
        <f aca="false">MIN(MIN(1,BDC!$H$35*$CD$216),$CD$215)</f>
        <v>0.138</v>
      </c>
      <c r="BQ236" s="43" t="n">
        <f aca="false">BDC!$I$35*BDC!$J$35*BP236*(1-0.3)</f>
        <v>0.0571597633136095</v>
      </c>
      <c r="BR236" s="45" t="n">
        <f aca="false">BDC!$C$35*($CD$214*MAX(BN236,BO236)+BQ236)</f>
        <v>0.407566735469828</v>
      </c>
    </row>
    <row r="237" customFormat="false" ht="15" hidden="false" customHeight="true" outlineLevel="0" collapsed="false">
      <c r="BI237" s="12" t="str">
        <f aca="false">BDC!$A$36</f>
        <v>APCF</v>
      </c>
      <c r="BJ237" s="43" t="n">
        <f aca="false">1-((1-BDC!$D$36)*$CD$223+BDC!$D$36*$CD$224)-p_gap-$CD$213*(1-BDC!$M$36)</f>
        <v>0.412233180685897</v>
      </c>
      <c r="BK237" s="43" t="n">
        <f aca="false">(1-BDC!$D$36)*$CD$225+BDC!$D$36*$CD$226</f>
        <v>0.0624141225943096</v>
      </c>
      <c r="BL237" s="45" t="n">
        <f aca="false">BJ237/BDC!$K$36</f>
        <v>0.770696816064938</v>
      </c>
      <c r="BM237" s="35" t="n">
        <f aca="false">IF(BL237&lt;1.5,BDC!$C$36,0)</f>
        <v>1.73</v>
      </c>
      <c r="BN237" s="43" t="n">
        <f aca="false">MAX(0,1-BJ237*(1-CE_mig_hc)-p_bb_cush)*BDC!$Q$36</f>
        <v>0.163016261096768</v>
      </c>
      <c r="BO237" s="43" t="n">
        <f aca="false">MAX(0,BDC!$K$36-BJ237/1.5)</f>
        <v>0.260061600472968</v>
      </c>
      <c r="BP237" s="43" t="n">
        <f aca="false">MIN(MIN(1,BDC!$H$36*$CD$216),$CD$215)</f>
        <v>0.0135</v>
      </c>
      <c r="BQ237" s="43" t="n">
        <f aca="false">BDC!$I$36*BDC!$J$36*BP237*(1-0.3)</f>
        <v>0.0043953488372093</v>
      </c>
      <c r="BR237" s="45" t="n">
        <f aca="false">BDC!$C$36*($CD$214*MAX(BN237,BO237)+BQ237)</f>
        <v>0.457510522306607</v>
      </c>
    </row>
    <row r="238" customFormat="false" ht="15" hidden="false" customHeight="true" outlineLevel="0" collapsed="false">
      <c r="BI238" s="12" t="str">
        <f aca="false">BDC!$A$37</f>
        <v>TCPC</v>
      </c>
      <c r="BJ238" s="43" t="n">
        <f aca="false">1-((1-BDC!$D$37)*$CD$223+BDC!$D$37*$CD$224)-p_gap-$CD$213*(1-BDC!$M$37)</f>
        <v>0.368439426438033</v>
      </c>
      <c r="BK238" s="43" t="n">
        <f aca="false">(1-BDC!$D$37)*$CD$225+BDC!$D$37*$CD$226</f>
        <v>0.059246995432915</v>
      </c>
      <c r="BL238" s="45" t="n">
        <f aca="false">BJ238/BDC!$K$37</f>
        <v>0.59173604852169</v>
      </c>
      <c r="BM238" s="35" t="n">
        <f aca="false">IF(BL238&lt;1.5,BDC!$C$37,0)</f>
        <v>1.29</v>
      </c>
      <c r="BN238" s="43" t="n">
        <f aca="false">MAX(0,1-BJ238*(1-CE_mig_hc)-p_bb_cush)*BDC!$Q$37</f>
        <v>0.201683787747215</v>
      </c>
      <c r="BO238" s="43" t="n">
        <f aca="false">MAX(0,BDC!$K$37-BJ238/1.5)</f>
        <v>0.37701522514194</v>
      </c>
      <c r="BP238" s="43" t="n">
        <f aca="false">MIN(MIN(1,BDC!$H$37*$CD$216),$CD$215)</f>
        <v>0</v>
      </c>
      <c r="BQ238" s="43" t="n">
        <f aca="false">BDC!$I$37*BDC!$J$37*BP238*(1-0.3)</f>
        <v>0</v>
      </c>
      <c r="BR238" s="45" t="n">
        <f aca="false">BDC!$C$37*($CD$214*MAX(BN238,BO238)+BQ238)</f>
        <v>0.486349640433103</v>
      </c>
    </row>
    <row r="239" customFormat="false" ht="15" hidden="false" customHeight="true" outlineLevel="0" collapsed="false">
      <c r="BI239" s="12" t="str">
        <f aca="false">BDC!$A$38</f>
        <v>OBDC II</v>
      </c>
      <c r="BJ239" s="43" t="n">
        <f aca="false">1-((1-BDC!$D$38)*$CD$223+BDC!$D$38*$CD$224)-p_gap-$CD$213*(1-BDC!$M$38)</f>
        <v>0.431318292375327</v>
      </c>
      <c r="BK239" s="43" t="n">
        <f aca="false">(1-BDC!$D$38)*$CD$225+BDC!$D$38*$CD$226</f>
        <v>0.0655812497557042</v>
      </c>
      <c r="BL239" s="45" t="n">
        <f aca="false">BJ239/BDC!$K$38</f>
        <v>2.02879344932098</v>
      </c>
      <c r="BM239" s="35" t="n">
        <f aca="false">IF(BL239&lt;1.5,BDC!$C$38,0)</f>
        <v>0</v>
      </c>
      <c r="BN239" s="43" t="n">
        <f aca="false">MAX(0,1-BJ239*(1-CE_mig_hc)-p_bb_cush)*BDC!$Q$38</f>
        <v>0.126039156046108</v>
      </c>
      <c r="BO239" s="43" t="n">
        <f aca="false">MAX(0,BDC!$K$38-BJ239/1.5)</f>
        <v>0</v>
      </c>
      <c r="BP239" s="43" t="n">
        <f aca="false">MIN(MIN(1,BDC!$H$38*$CD$216),$CD$215)</f>
        <v>0</v>
      </c>
      <c r="BQ239" s="43" t="n">
        <f aca="false">BDC!$I$38*BDC!$J$38*BP239*(1-0.3)</f>
        <v>0</v>
      </c>
      <c r="BR239" s="45" t="n">
        <f aca="false">BDC!$C$38*($CD$214*MAX(BN239,BO239)+BQ239)</f>
        <v>0.0869670176718148</v>
      </c>
    </row>
    <row r="240" customFormat="false" ht="15" hidden="false" customHeight="true" outlineLevel="0" collapsed="false">
      <c r="BI240" s="12" t="str">
        <f aca="false">BDC!$A$39</f>
        <v>NHPIF-A</v>
      </c>
      <c r="BJ240" s="43" t="n">
        <f aca="false">1-((1-BDC!$D$39)*$CD$223+BDC!$D$39*$CD$224)-p_gap-$CD$213*(1-BDC!$M$39)</f>
        <v>0.406395381816189</v>
      </c>
      <c r="BK240" s="43" t="n">
        <f aca="false">(1-BDC!$D$39)*$CD$225+BDC!$D$39*$CD$226</f>
        <v>0.0614453542861183</v>
      </c>
      <c r="BL240" s="45" t="n">
        <f aca="false">BJ240/BDC!$K$39</f>
        <v>0.800954004938703</v>
      </c>
      <c r="BM240" s="35" t="n">
        <f aca="false">IF(BL240&lt;1.5,BDC!$C$39,0)</f>
        <v>0.6</v>
      </c>
      <c r="BN240" s="43" t="n">
        <f aca="false">MAX(0,1-BJ240*(1-CE_mig_hc)-p_bb_cush)*BDC!$Q$39</f>
        <v>0.155931774753151</v>
      </c>
      <c r="BO240" s="43" t="n">
        <f aca="false">MAX(0,BDC!$K$39-BJ240/1.5)</f>
        <v>0.23645890801745</v>
      </c>
      <c r="BP240" s="43" t="n">
        <f aca="false">MIN(MIN(1,BDC!$H$39*$CD$216),$CD$215)</f>
        <v>0.204</v>
      </c>
      <c r="BQ240" s="43" t="n">
        <f aca="false">BDC!$I$39*BDC!$J$39*BP240*(1-0.3)</f>
        <v>0.0703448275862069</v>
      </c>
      <c r="BR240" s="45" t="n">
        <f aca="false">BDC!$C$39*($CD$214*MAX(BN240,BO240)+BQ240)</f>
        <v>0.184082241362194</v>
      </c>
    </row>
    <row r="245" customFormat="false" ht="15" hidden="false" customHeight="true" outlineLevel="0" collapsed="false">
      <c r="A245" s="9" t="s">
        <v>1005</v>
      </c>
    </row>
    <row r="246" customFormat="false" ht="42" hidden="false" customHeight="true" outlineLevel="0" collapsed="false">
      <c r="A246" s="21" t="s">
        <v>51</v>
      </c>
      <c r="B246" s="21" t="s">
        <v>910</v>
      </c>
      <c r="C246" s="21" t="s">
        <v>911</v>
      </c>
      <c r="D246" s="21" t="s">
        <v>912</v>
      </c>
      <c r="E246" s="21" t="s">
        <v>913</v>
      </c>
      <c r="F246" s="21" t="s">
        <v>914</v>
      </c>
      <c r="G246" s="21" t="s">
        <v>61</v>
      </c>
      <c r="H246" s="21" t="s">
        <v>915</v>
      </c>
      <c r="I246" s="21" t="s">
        <v>916</v>
      </c>
      <c r="J246" s="21" t="s">
        <v>917</v>
      </c>
      <c r="K246" s="21" t="s">
        <v>918</v>
      </c>
      <c r="L246" s="21" t="s">
        <v>919</v>
      </c>
      <c r="M246" s="21" t="s">
        <v>920</v>
      </c>
      <c r="N246" s="21" t="s">
        <v>921</v>
      </c>
      <c r="O246" s="21" t="s">
        <v>922</v>
      </c>
      <c r="P246" s="21" t="s">
        <v>923</v>
      </c>
      <c r="Q246" s="21" t="s">
        <v>924</v>
      </c>
      <c r="R246" s="21" t="s">
        <v>925</v>
      </c>
      <c r="S246" s="21" t="s">
        <v>926</v>
      </c>
      <c r="T246" s="21" t="s">
        <v>927</v>
      </c>
      <c r="U246" s="21" t="s">
        <v>928</v>
      </c>
      <c r="V246" s="21" t="s">
        <v>60</v>
      </c>
      <c r="W246" s="21" t="s">
        <v>929</v>
      </c>
      <c r="X246" s="21" t="s">
        <v>930</v>
      </c>
      <c r="Y246" s="21" t="s">
        <v>931</v>
      </c>
      <c r="Z246" s="21" t="s">
        <v>932</v>
      </c>
      <c r="AA246" s="21" t="s">
        <v>933</v>
      </c>
      <c r="AB246" s="21" t="s">
        <v>934</v>
      </c>
      <c r="AC246" s="21" t="s">
        <v>935</v>
      </c>
      <c r="AD246" s="21" t="s">
        <v>936</v>
      </c>
      <c r="AE246" s="21" t="s">
        <v>937</v>
      </c>
      <c r="AF246" s="21" t="s">
        <v>938</v>
      </c>
      <c r="AG246" s="21" t="s">
        <v>939</v>
      </c>
      <c r="AH246" s="21" t="s">
        <v>940</v>
      </c>
      <c r="AI246" s="21" t="s">
        <v>941</v>
      </c>
      <c r="AJ246" s="21" t="s">
        <v>942</v>
      </c>
      <c r="AK246" s="21" t="s">
        <v>943</v>
      </c>
      <c r="AL246" s="21" t="s">
        <v>944</v>
      </c>
      <c r="AM246" s="21" t="s">
        <v>945</v>
      </c>
      <c r="AN246" s="21" t="s">
        <v>946</v>
      </c>
      <c r="AO246" s="21" t="s">
        <v>947</v>
      </c>
      <c r="AP246" s="21" t="s">
        <v>948</v>
      </c>
      <c r="AQ246" s="21" t="s">
        <v>949</v>
      </c>
      <c r="AR246" s="21" t="s">
        <v>950</v>
      </c>
      <c r="AS246" s="21" t="s">
        <v>951</v>
      </c>
      <c r="AT246" s="21" t="s">
        <v>952</v>
      </c>
      <c r="AU246" s="21" t="s">
        <v>953</v>
      </c>
      <c r="AV246" s="21" t="s">
        <v>954</v>
      </c>
      <c r="AW246" s="21" t="s">
        <v>955</v>
      </c>
      <c r="AX246" s="21" t="s">
        <v>956</v>
      </c>
      <c r="AY246" s="21" t="s">
        <v>957</v>
      </c>
      <c r="AZ246" s="21" t="s">
        <v>958</v>
      </c>
      <c r="BA246" s="21" t="s">
        <v>959</v>
      </c>
      <c r="BB246" s="21" t="s">
        <v>960</v>
      </c>
      <c r="BC246" s="21" t="s">
        <v>614</v>
      </c>
      <c r="BD246" s="21" t="s">
        <v>961</v>
      </c>
      <c r="BE246" s="21" t="s">
        <v>962</v>
      </c>
      <c r="BF246" s="21" t="s">
        <v>963</v>
      </c>
      <c r="BG246" s="21" t="s">
        <v>964</v>
      </c>
      <c r="BI246" s="21" t="s">
        <v>599</v>
      </c>
      <c r="BJ246" s="21" t="s">
        <v>960</v>
      </c>
      <c r="BK246" s="21" t="s">
        <v>614</v>
      </c>
      <c r="BL246" s="21" t="s">
        <v>965</v>
      </c>
      <c r="BM246" s="21" t="s">
        <v>966</v>
      </c>
      <c r="BN246" s="21" t="s">
        <v>967</v>
      </c>
      <c r="BO246" s="21" t="s">
        <v>968</v>
      </c>
      <c r="BP246" s="21" t="s">
        <v>969</v>
      </c>
      <c r="BQ246" s="21" t="s">
        <v>622</v>
      </c>
      <c r="BR246" s="21" t="s">
        <v>623</v>
      </c>
      <c r="BT246" s="21" t="s">
        <v>805</v>
      </c>
      <c r="BU246" s="21" t="s">
        <v>970</v>
      </c>
      <c r="BV246" s="21" t="s">
        <v>971</v>
      </c>
      <c r="CC246" s="21" t="s">
        <v>972</v>
      </c>
      <c r="CD246" s="21" t="s">
        <v>363</v>
      </c>
    </row>
    <row r="247" customFormat="false" ht="15" hidden="false" customHeight="true" outlineLevel="0" collapsed="false">
      <c r="A247" s="10" t="s">
        <v>496</v>
      </c>
      <c r="B247" s="35" t="n">
        <f aca="false">AY207</f>
        <v>136.757052678189</v>
      </c>
      <c r="C247" s="39" t="n">
        <f aca="false">AZ207</f>
        <v>0.0579926268046499</v>
      </c>
      <c r="D247" s="44" t="n">
        <f aca="false">IF(C247&lt;Inputs_Banks!$I6,1,0)</f>
        <v>1</v>
      </c>
      <c r="E247" s="44" t="n">
        <f aca="false">IF(C247&lt;0.045,1,0)</f>
        <v>0</v>
      </c>
      <c r="F247" s="44" t="n">
        <f aca="false">IF(B247&lt;0,1,0)</f>
        <v>0</v>
      </c>
      <c r="G247" s="44" t="n">
        <f aca="false">MIN(6,MIN(3,INT(MAX(0,Inputs_Banks!$BA6-C247)/p_notch_step))+D247+2*E247)</f>
        <v>4</v>
      </c>
      <c r="H247" s="39" t="n">
        <f aca="false">C247-Inputs_Banks!$I6</f>
        <v>-0.0570073731953502</v>
      </c>
      <c r="I247" s="44" t="n">
        <f aca="false">RANK(H247,$H$247:$H$270,1)</f>
        <v>12</v>
      </c>
      <c r="J247" s="44" t="n">
        <f aca="false">MAX(IF(I247&lt;=g_n_weak,1,0),E247)</f>
        <v>0</v>
      </c>
      <c r="K247" s="44" t="n">
        <f aca="false">IF(I247&gt;12,1,0)*(1-E247)</f>
        <v>0</v>
      </c>
      <c r="L247" s="35" t="n">
        <f aca="false">INDEX(Inputs_Banks!$AR6:$AX6,1,G247+1)</f>
        <v>0.918</v>
      </c>
      <c r="M247" s="35" t="n">
        <f aca="false">Inputs_Banks!$AI6*MIN(1,p_u_base+$CD$250*p_u_pan_all+J247*($CD$250*p_u_pan_weak+p_u_mda*D247)+p_u_notch*G247+p_u_fail*E247)</f>
        <v>540.609</v>
      </c>
      <c r="N247" s="35" t="n">
        <f aca="false">Inputs_Banks!$AK6*MIN(1,p_w_base+p_w_pan*$CD$250+p_w_notch*G247+0.5*D247+1*E247)</f>
        <v>30.166</v>
      </c>
      <c r="O247" s="35" t="n">
        <f aca="false">Inputs_Banks!$AO6*MIN(1,p_cp_base+p_cp_pan*$CD$250+p_cp_notch*G247)</f>
        <v>5.45</v>
      </c>
      <c r="P247" s="35" t="n">
        <f aca="false">Inputs_Banks!$AN6*(p_dh+p_dh_pan*$CD$250+MIN(1,0.5*$CD$257+0.25*G247))</f>
        <v>244.593789910108</v>
      </c>
      <c r="Q247" s="35" t="n">
        <f aca="false">Modules!$Y6</f>
        <v>45.160097</v>
      </c>
      <c r="R247" s="35" t="n">
        <f aca="false">Inputs_Banks!$AJ6*K247</f>
        <v>0</v>
      </c>
      <c r="S247" s="35" t="n">
        <f aca="false">p_liq_on*$CD$258*SUM($M$247:$M$270)*R247/MAX(0.000000001,SUM($R$247:$R$270))</f>
        <v>0</v>
      </c>
      <c r="T247" s="35" t="n">
        <f aca="false">p_liq_on*(L247+M247+N247+O247+P247+Q247)</f>
        <v>866.896886910109</v>
      </c>
      <c r="U247" s="35" t="n">
        <f aca="false">g_usable*Inputs_Banks!$AG6+p_cb_on*Inputs_Banks!$AQ6+S247</f>
        <v>1057.6002</v>
      </c>
      <c r="V247" s="35" t="n">
        <f aca="false">MAX(0,T247-U247)</f>
        <v>0</v>
      </c>
      <c r="W247" s="44" t="n">
        <f aca="false">IF(V247&gt;0.9*Inputs_Banks!$BB6,1,0)</f>
        <v>0</v>
      </c>
      <c r="X247" s="43" t="n">
        <f aca="false">MAX(p_htm_forced,(1-p_cb_on)*MIN(1,T247/Inputs_Banks!$AG6)*g_theta_sell)</f>
        <v>0.22218736464953</v>
      </c>
      <c r="Y247" s="35" t="n">
        <f aca="false">MAX(0,Modules!$V6-B247/(Inputs_Banks!$I6+g_del_buf))</f>
        <v>1218.53789434842</v>
      </c>
      <c r="Z247" s="35" t="n">
        <f aca="false">MIN(g_del_cap*Inputs_Banks!$BB6,Y247)</f>
        <v>120.0675</v>
      </c>
      <c r="AA247" s="35" t="n">
        <f aca="false">MIN(Inputs_Banks!$BB6,V247+Z247)</f>
        <v>120.0675</v>
      </c>
      <c r="AB247" s="35" t="n">
        <f aca="false">$AA247*Holdings!Q6</f>
        <v>0</v>
      </c>
      <c r="AC247" s="35" t="n">
        <f aca="false">$AA247*Holdings!R6</f>
        <v>0</v>
      </c>
      <c r="AD247" s="35" t="n">
        <f aca="false">$AA247*Holdings!S6</f>
        <v>0</v>
      </c>
      <c r="AE247" s="35" t="n">
        <f aca="false">$AA247*Holdings!T6</f>
        <v>8.5</v>
      </c>
      <c r="AF247" s="35" t="n">
        <f aca="false">$AA247*Holdings!U6</f>
        <v>13.89</v>
      </c>
      <c r="AG247" s="35" t="n">
        <f aca="false">$AA247*Holdings!V6</f>
        <v>0</v>
      </c>
      <c r="AH247" s="35" t="n">
        <f aca="false">$AA247*Holdings!W6</f>
        <v>3.56</v>
      </c>
      <c r="AI247" s="35" t="n">
        <f aca="false">$AA247*Holdings!X6</f>
        <v>11.0075</v>
      </c>
      <c r="AJ247" s="35" t="n">
        <f aca="false">$AA247*Holdings!Y6</f>
        <v>8.495</v>
      </c>
      <c r="AK247" s="35" t="n">
        <f aca="false">$AA247*Holdings!Z6</f>
        <v>0</v>
      </c>
      <c r="AL247" s="35" t="n">
        <f aca="false">$AA247*Holdings!AA6</f>
        <v>66.7675</v>
      </c>
      <c r="AM247" s="35" t="n">
        <f aca="false">$AA247*Holdings!AB6</f>
        <v>0</v>
      </c>
      <c r="AN247" s="35" t="n">
        <f aca="false">$AA247*Holdings!AC6</f>
        <v>7.8475</v>
      </c>
      <c r="AO247" s="43" t="n">
        <f aca="false">MIN(1,$CD$257+0.5*G247)</f>
        <v>1</v>
      </c>
      <c r="AP247" s="35" t="n">
        <f aca="false">p_liq_on*Inputs_Banks!$AP6*AO247*p_mb_psi</f>
        <v>20.688</v>
      </c>
      <c r="AQ247" s="44" t="n">
        <f aca="false">MAX(F247,E247,W247*(1-p_cb_on))</f>
        <v>0</v>
      </c>
      <c r="AR247" s="35" t="n">
        <f aca="false">p_ib_on*p_lgd_ib*g_s_in*g_u_ib*SUMPRODUCT(Network!C$6:C$29,$AQ$247:$AQ$270)</f>
        <v>18.7554113051636</v>
      </c>
      <c r="AS247" s="35" t="n">
        <f aca="false">p_sw_M1*(SUMPRODUCT(BDC_EAD!C$106:C$127,$BF$247:$BF$268)+SUMPRODUCT(BDC_EAD!C$131:C$152,$BG$247:$BG$268)+(Inputs_Banks!$Y6+p_ccf_bl*Inputs_Banks!$Z6)*$CD$270+Modules!$E6)</f>
        <v>58.8832880051148</v>
      </c>
      <c r="AT247" s="35" t="n">
        <f aca="false">p_sw_M3*(Inputs_Banks!$U6+p_ccf_abf*Inputs_Banks!$V6)*$CD$271</f>
        <v>0</v>
      </c>
      <c r="AU247" s="35" t="n">
        <f aca="false">p_sw_M10*Inputs_Banks!$AC6*$CD$272</f>
        <v>0</v>
      </c>
      <c r="AV247" s="35" t="n">
        <f aca="false">p_sw_M8*(Modules!$M6+Modules!$N6*IF(p_liq_on&gt;0,X247,p_htm_forced))</f>
        <v>21.0161031237091</v>
      </c>
      <c r="AW247" s="35" t="n">
        <f aca="false">SUMPRODUCT(Holdings!$C6:$O6,Holdings!$C$32:$O$32,$AB$272:$AN$272)+Inputs_Banks!$P6*$AL$272</f>
        <v>27.990754998401</v>
      </c>
      <c r="AX247" s="35" t="n">
        <f aca="false">Modules!$T6+AS247+AT247+AU247+AV247+AW247+AR247</f>
        <v>167.342947321811</v>
      </c>
      <c r="AY247" s="35" t="n">
        <f aca="false">Modules!$U6-(1-p_tax)*AX247</f>
        <v>136.757052678189</v>
      </c>
      <c r="AZ247" s="39" t="n">
        <f aca="false">AY247/Modules!$V6</f>
        <v>0.0579926268046499</v>
      </c>
      <c r="BA247" s="48" t="s">
        <v>634</v>
      </c>
      <c r="BB247" s="43" t="n">
        <f aca="false">INDEX($BJ$247:$BJ$280,BDC_EAD!$B6)</f>
        <v>0.428174862214715</v>
      </c>
      <c r="BC247" s="43" t="n">
        <f aca="false">INDEX($BK$247:$BK$280,BDC_EAD!$B6)</f>
        <v>0.0650596052820627</v>
      </c>
      <c r="BD247" s="22" t="n">
        <f aca="false">INDEX(BDC!$Q$6:$Q$39,BDC_EAD!$B6)</f>
        <v>0.243786096256685</v>
      </c>
      <c r="BE247" s="43" t="n">
        <f aca="false">BB247*(1-$AK$272)-BC247-p_c_liq</f>
        <v>0.12043656893603</v>
      </c>
      <c r="BF247" s="43" t="n">
        <f aca="false">p_phi*MAX(0,p_a_spv-BE247)/p_a_spv+(1-p_phi)*MAX(0,p_a_spv-BB247)/p_a_spv</f>
        <v>0.740022532011761</v>
      </c>
      <c r="BG247" s="43" t="n">
        <f aca="false">IF(BD247&gt;0,p_phi*MAX(0,BD247-BE247)/BD247+(1-p_phi)*MAX(0,BD247-BB247)/BD247,0)</f>
        <v>0.404779531612922</v>
      </c>
      <c r="BI247" s="12" t="str">
        <f aca="false">BDC!$A$6</f>
        <v>BCRED</v>
      </c>
      <c r="BJ247" s="43" t="n">
        <f aca="false">1-((1-BDC!$D$6)*$CD$263+BDC!$D$6*$CD$264)-p_gap-$CD$253*(1-BDC!$M$6)</f>
        <v>0.394270722625258</v>
      </c>
      <c r="BK247" s="43" t="n">
        <f aca="false">(1-BDC!$D$6)*$CD$265+BDC!$D$6*$CD$266</f>
        <v>0.0594332970306441</v>
      </c>
      <c r="BL247" s="45" t="n">
        <f aca="false">BJ247/BDC!$K$6</f>
        <v>0.875088677046303</v>
      </c>
      <c r="BM247" s="35" t="n">
        <f aca="false">IF(BL247&lt;1.5,BDC!$C$6,0)</f>
        <v>77.65</v>
      </c>
      <c r="BN247" s="43" t="n">
        <f aca="false">MAX(0,1-BJ247*(1-CE_mig_hc)-p_bb_cush)*BDC!$Q$6</f>
        <v>0.162261545017265</v>
      </c>
      <c r="BO247" s="43" t="n">
        <f aca="false">MAX(0,BDC!$K$6-BJ247/1.5)</f>
        <v>0.187702302132612</v>
      </c>
      <c r="BP247" s="43" t="n">
        <f aca="false">MIN(MIN(1,BDC!$H$6*$CD$256),$CD$255)</f>
        <v>0.25</v>
      </c>
      <c r="BQ247" s="43" t="n">
        <f aca="false">BDC!$I$6*BDC!$J$6*BP247*(1-0.3)</f>
        <v>0.0961538461538462</v>
      </c>
      <c r="BR247" s="45" t="n">
        <f aca="false">BDC!$C$6*($CD$254*MAX(BN247,BO247)+BQ247)</f>
        <v>22.0414299144435</v>
      </c>
      <c r="BT247" s="10" t="s">
        <v>816</v>
      </c>
      <c r="BU247" s="43" t="n">
        <f aca="false">NORMSDIST((NORMSINV(CreditEngine!$D$6)-SQRT(g_rho)*$CD$251)/SQRT(1-g_rho))</f>
        <v>0.666274429098982</v>
      </c>
      <c r="BV247" s="43" t="n">
        <f aca="false">NORMSDIST((NORMSINV(MIN(0.999,CreditEngine!$D$6*p_m_sw))-SQRT(g_rho)*$CD$251)/SQRT(1-g_rho))</f>
        <v>0.838888284547613</v>
      </c>
      <c r="CC247" s="10" t="s">
        <v>973</v>
      </c>
      <c r="CD247" s="43" t="n">
        <f aca="false">$CD$233</f>
        <v>0.998189261533617</v>
      </c>
    </row>
    <row r="248" customFormat="false" ht="15" hidden="false" customHeight="true" outlineLevel="0" collapsed="false">
      <c r="A248" s="10" t="s">
        <v>499</v>
      </c>
      <c r="B248" s="35" t="n">
        <f aca="false">AY208</f>
        <v>53.0866430382107</v>
      </c>
      <c r="C248" s="39" t="n">
        <f aca="false">AZ208</f>
        <v>0.0269501064254917</v>
      </c>
      <c r="D248" s="44" t="n">
        <f aca="false">IF(C248&lt;Inputs_Banks!$I7,1,0)</f>
        <v>1</v>
      </c>
      <c r="E248" s="44" t="n">
        <f aca="false">IF(C248&lt;0.045,1,0)</f>
        <v>1</v>
      </c>
      <c r="F248" s="44" t="n">
        <f aca="false">IF(B248&lt;0,1,0)</f>
        <v>0</v>
      </c>
      <c r="G248" s="44" t="n">
        <f aca="false">MIN(6,MIN(3,INT(MAX(0,Inputs_Banks!$BA7-C248)/p_notch_step))+D248+2*E248)</f>
        <v>6</v>
      </c>
      <c r="H248" s="39" t="n">
        <f aca="false">C248-Inputs_Banks!$I7</f>
        <v>-0.0730498935745083</v>
      </c>
      <c r="I248" s="44" t="n">
        <f aca="false">RANK(H248,$H$247:$H$270,1)</f>
        <v>9</v>
      </c>
      <c r="J248" s="44" t="n">
        <f aca="false">MAX(IF(I248&lt;=g_n_weak,1,0),E248)</f>
        <v>1</v>
      </c>
      <c r="K248" s="44" t="n">
        <f aca="false">IF(I248&gt;12,1,0)*(1-E248)</f>
        <v>0</v>
      </c>
      <c r="L248" s="35" t="n">
        <f aca="false">INDEX(Inputs_Banks!$AR7:$AX7,1,G248+1)</f>
        <v>6.81</v>
      </c>
      <c r="M248" s="35" t="n">
        <f aca="false">Inputs_Banks!$AI7*MIN(1,p_u_base+$CD$250*p_u_pan_all+J248*($CD$250*p_u_pan_weak+p_u_mda*D248)+p_u_notch*G248+p_u_fail*E248)</f>
        <v>845.718</v>
      </c>
      <c r="N248" s="35" t="n">
        <f aca="false">Inputs_Banks!$AK7*MIN(1,p_w_base+p_w_pan*$CD$250+p_w_notch*G248+0.5*D248+1*E248)</f>
        <v>59.979</v>
      </c>
      <c r="O248" s="35" t="n">
        <f aca="false">Inputs_Banks!$AO7*MIN(1,p_cp_base+p_cp_pan*$CD$250+p_cp_notch*G248)</f>
        <v>27.98</v>
      </c>
      <c r="P248" s="35" t="n">
        <f aca="false">Inputs_Banks!$AN7*(p_dh+p_dh_pan*$CD$250+MIN(1,0.5*$CD$257+0.25*G248))</f>
        <v>74.3236122327501</v>
      </c>
      <c r="Q248" s="35" t="n">
        <f aca="false">Modules!$Y7</f>
        <v>25.5386092</v>
      </c>
      <c r="R248" s="35" t="n">
        <f aca="false">Inputs_Banks!$AJ7*K248</f>
        <v>0</v>
      </c>
      <c r="S248" s="35" t="n">
        <f aca="false">p_liq_on*$CD$258*SUM($M$247:$M$270)*R248/MAX(0.000000001,SUM($R$247:$R$270))</f>
        <v>0</v>
      </c>
      <c r="T248" s="35" t="n">
        <f aca="false">p_liq_on*(L248+M248+N248+O248+P248+Q248)</f>
        <v>1040.34922143275</v>
      </c>
      <c r="U248" s="35" t="n">
        <f aca="false">g_usable*Inputs_Banks!$AG7+p_cb_on*Inputs_Banks!$AQ7+S248</f>
        <v>759.9</v>
      </c>
      <c r="V248" s="35" t="n">
        <f aca="false">MAX(0,T248-U248)</f>
        <v>280.44922143275</v>
      </c>
      <c r="W248" s="44" t="n">
        <f aca="false">IF(V248&gt;0.9*Inputs_Banks!$BB7,1,0)</f>
        <v>1</v>
      </c>
      <c r="X248" s="43" t="n">
        <f aca="false">MAX(p_htm_forced,(1-p_cb_on)*MIN(1,T248/Inputs_Banks!$AG7)*g_theta_sell)</f>
        <v>0.25</v>
      </c>
      <c r="Y248" s="35" t="n">
        <f aca="false">MAX(0,Modules!$V7-B248/(Inputs_Banks!$I7+g_del_buf))</f>
        <v>1464.22492344561</v>
      </c>
      <c r="Z248" s="35" t="n">
        <f aca="false">MIN(g_del_cap*Inputs_Banks!$BB7,Y248)</f>
        <v>52.7625</v>
      </c>
      <c r="AA248" s="35" t="n">
        <f aca="false">MIN(Inputs_Banks!$BB7,V248+Z248)</f>
        <v>211.05</v>
      </c>
      <c r="AB248" s="35" t="n">
        <f aca="false">$AA248*Holdings!Q7</f>
        <v>0</v>
      </c>
      <c r="AC248" s="35" t="n">
        <f aca="false">$AA248*Holdings!R7</f>
        <v>0</v>
      </c>
      <c r="AD248" s="35" t="n">
        <f aca="false">$AA248*Holdings!S7</f>
        <v>0</v>
      </c>
      <c r="AE248" s="35" t="n">
        <f aca="false">$AA248*Holdings!T7</f>
        <v>14.32</v>
      </c>
      <c r="AF248" s="35" t="n">
        <f aca="false">$AA248*Holdings!U7</f>
        <v>45.65</v>
      </c>
      <c r="AG248" s="35" t="n">
        <f aca="false">$AA248*Holdings!V7</f>
        <v>0</v>
      </c>
      <c r="AH248" s="35" t="n">
        <f aca="false">$AA248*Holdings!W7</f>
        <v>6.9</v>
      </c>
      <c r="AI248" s="35" t="n">
        <f aca="false">$AA248*Holdings!X7</f>
        <v>8.75</v>
      </c>
      <c r="AJ248" s="35" t="n">
        <f aca="false">$AA248*Holdings!Y7</f>
        <v>14.76</v>
      </c>
      <c r="AK248" s="35" t="n">
        <f aca="false">$AA248*Holdings!Z7</f>
        <v>0</v>
      </c>
      <c r="AL248" s="35" t="n">
        <f aca="false">$AA248*Holdings!AA7</f>
        <v>120.67</v>
      </c>
      <c r="AM248" s="35" t="n">
        <f aca="false">$AA248*Holdings!AB7</f>
        <v>0</v>
      </c>
      <c r="AN248" s="35" t="n">
        <f aca="false">$AA248*Holdings!AC7</f>
        <v>0</v>
      </c>
      <c r="AO248" s="43" t="n">
        <f aca="false">MIN(1,$CD$257+0.5*G248)</f>
        <v>1</v>
      </c>
      <c r="AP248" s="35" t="n">
        <f aca="false">p_liq_on*Inputs_Banks!$AP7*AO248*p_mb_psi</f>
        <v>4.722</v>
      </c>
      <c r="AQ248" s="44" t="n">
        <f aca="false">MAX(F248,E248,W248*(1-p_cb_on))</f>
        <v>1</v>
      </c>
      <c r="AR248" s="35" t="n">
        <f aca="false">p_ib_on*p_lgd_ib*g_s_in*g_u_ib*SUMPRODUCT(Network!D$6:D$29,$AQ$247:$AQ$270)</f>
        <v>9.82416957801496</v>
      </c>
      <c r="AS248" s="35" t="n">
        <f aca="false">p_sw_M1*(SUMPRODUCT(BDC_EAD!D$106:D$127,$BF$247:$BF$268)+SUMPRODUCT(BDC_EAD!D$131:D$152,$BG$247:$BG$268)+(Inputs_Banks!$Y7+p_ccf_bl*Inputs_Banks!$Z7)*$CD$270+Modules!$E7)</f>
        <v>27.9111227157586</v>
      </c>
      <c r="AT248" s="35" t="n">
        <f aca="false">p_sw_M3*(Inputs_Banks!$U7+p_ccf_abf*Inputs_Banks!$V7)*$CD$271</f>
        <v>0</v>
      </c>
      <c r="AU248" s="35" t="n">
        <f aca="false">p_sw_M10*Inputs_Banks!$AC7*$CD$272</f>
        <v>39.156499434932</v>
      </c>
      <c r="AV248" s="35" t="n">
        <f aca="false">p_sw_M8*(Modules!$M7+Modules!$N7*IF(p_liq_on&gt;0,X248,p_htm_forced))</f>
        <v>36.823985</v>
      </c>
      <c r="AW248" s="35" t="n">
        <f aca="false">SUMPRODUCT(Holdings!$C7:$O7,Holdings!$C$32:$O$32,$AB$272:$AN$272)+Inputs_Banks!$P7*$AL$272</f>
        <v>11.4775672079968</v>
      </c>
      <c r="AX248" s="35" t="n">
        <f aca="false">Modules!$T7+AS248+AT248+AU248+AV248+AW248+AR248</f>
        <v>145.313356961789</v>
      </c>
      <c r="AY248" s="35" t="n">
        <f aca="false">Modules!$U7-(1-p_tax)*AX248</f>
        <v>53.0866430382107</v>
      </c>
      <c r="AZ248" s="39" t="n">
        <f aca="false">AY248/Modules!$V7</f>
        <v>0.0269501064254917</v>
      </c>
      <c r="BA248" s="48" t="s">
        <v>632</v>
      </c>
      <c r="BB248" s="43" t="n">
        <f aca="false">INDEX($BJ$247:$BJ$280,BDC_EAD!$B7)</f>
        <v>0.493705250996006</v>
      </c>
      <c r="BC248" s="43" t="n">
        <f aca="false">INDEX($BK$247:$BK$280,BDC_EAD!$B7)</f>
        <v>0.0608491891733852</v>
      </c>
      <c r="BD248" s="22" t="n">
        <f aca="false">INDEX(BDC!$Q$6:$Q$39,BDC_EAD!$B7)</f>
        <v>0.193373831775701</v>
      </c>
      <c r="BE248" s="43" t="n">
        <f aca="false">BB248*(1-$AK$272)-BC248-p_c_liq</f>
        <v>0.160688698874418</v>
      </c>
      <c r="BF248" s="43" t="n">
        <f aca="false">p_phi*MAX(0,p_a_spv-BE248)/p_a_spv+(1-p_phi)*MAX(0,p_a_spv-BB248)/p_a_spv</f>
        <v>0.675297129573235</v>
      </c>
      <c r="BG248" s="43" t="n">
        <f aca="false">IF(BD248&gt;0,p_phi*MAX(0,BD248-BE248)/BD248+(1-p_phi)*MAX(0,BD248-BB248)/BD248,0)</f>
        <v>0.135220500524373</v>
      </c>
      <c r="BI248" s="12" t="str">
        <f aca="false">BDC!$A$7</f>
        <v>OCIC</v>
      </c>
      <c r="BJ248" s="43" t="n">
        <f aca="false">1-((1-BDC!$D$7)*$CD$263+BDC!$D$7*$CD$264)-p_gap-$CD$253*(1-BDC!$M$7)</f>
        <v>0.421663471167733</v>
      </c>
      <c r="BK248" s="43" t="n">
        <f aca="false">(1-BDC!$D$7)*$CD$265+BDC!$D$7*$CD$266</f>
        <v>0.063979056015234</v>
      </c>
      <c r="BL248" s="45" t="n">
        <f aca="false">BJ248/BDC!$K$7</f>
        <v>0.885029923000406</v>
      </c>
      <c r="BM248" s="35" t="n">
        <f aca="false">IF(BL248&lt;1.5,BDC!$C$7,0)</f>
        <v>35.69</v>
      </c>
      <c r="BN248" s="43" t="n">
        <f aca="false">MAX(0,1-BJ248*(1-CE_mig_hc)-p_bb_cush)*BDC!$Q$7</f>
        <v>0.166158381580711</v>
      </c>
      <c r="BO248" s="43" t="n">
        <f aca="false">MAX(0,BDC!$K$7-BJ248/1.5)</f>
        <v>0.195330809797428</v>
      </c>
      <c r="BP248" s="43" t="n">
        <f aca="false">MIN(MIN(1,BDC!$H$7*$CD$256),$CD$255)</f>
        <v>0.25</v>
      </c>
      <c r="BQ248" s="43" t="n">
        <f aca="false">BDC!$I$7*BDC!$J$7*BP248*(1-0.3)</f>
        <v>0.0916230366492147</v>
      </c>
      <c r="BR248" s="45" t="n">
        <f aca="false">BDC!$C$7*($CD$254*MAX(BN248,BO248)+BQ248)</f>
        <v>10.2413827796807</v>
      </c>
      <c r="BT248" s="10" t="s">
        <v>817</v>
      </c>
      <c r="BU248" s="43" t="n">
        <f aca="false">NORMSDIST((NORMSINV(CreditEngine!$D$7)-SQRT(g_rho)*$CD$251)/SQRT(1-g_rho))</f>
        <v>0.694145194913595</v>
      </c>
      <c r="BV248" s="43" t="n">
        <f aca="false">NORMSDIST((NORMSINV(MIN(0.999,CreditEngine!$D$7*p_m_sw))-SQRT(g_rho)*$CD$251)/SQRT(1-g_rho))</f>
        <v>0.863150017491553</v>
      </c>
      <c r="CC248" s="10" t="s">
        <v>974</v>
      </c>
      <c r="CD248" s="43" t="n">
        <f aca="false">$AK$232</f>
        <v>0.45</v>
      </c>
    </row>
    <row r="249" customFormat="false" ht="15" hidden="false" customHeight="true" outlineLevel="0" collapsed="false">
      <c r="A249" s="10" t="s">
        <v>501</v>
      </c>
      <c r="B249" s="35" t="n">
        <f aca="false">AY209</f>
        <v>53.5304669527118</v>
      </c>
      <c r="C249" s="39" t="n">
        <f aca="false">AZ209</f>
        <v>0.0402347976121738</v>
      </c>
      <c r="D249" s="44" t="n">
        <f aca="false">IF(C249&lt;Inputs_Banks!$I8,1,0)</f>
        <v>1</v>
      </c>
      <c r="E249" s="44" t="n">
        <f aca="false">IF(C249&lt;0.045,1,0)</f>
        <v>1</v>
      </c>
      <c r="F249" s="44" t="n">
        <f aca="false">IF(B249&lt;0,1,0)</f>
        <v>0</v>
      </c>
      <c r="G249" s="44" t="n">
        <f aca="false">MIN(6,MIN(3,INT(MAX(0,Inputs_Banks!$BA8-C249)/p_notch_step))+D249+2*E249)</f>
        <v>6</v>
      </c>
      <c r="H249" s="39" t="n">
        <f aca="false">C249-Inputs_Banks!$I8</f>
        <v>-0.0757652023878262</v>
      </c>
      <c r="I249" s="44" t="n">
        <f aca="false">RANK(H249,$H$247:$H$270,1)</f>
        <v>8</v>
      </c>
      <c r="J249" s="44" t="n">
        <f aca="false">MAX(IF(I249&lt;=g_n_weak,1,0),E249)</f>
        <v>1</v>
      </c>
      <c r="K249" s="44" t="n">
        <f aca="false">IF(I249&gt;12,1,0)*(1-E249)</f>
        <v>0</v>
      </c>
      <c r="L249" s="35" t="n">
        <f aca="false">INDEX(Inputs_Banks!$AR8:$AX8,1,G249+1)</f>
        <v>1.5</v>
      </c>
      <c r="M249" s="35" t="n">
        <f aca="false">Inputs_Banks!$AI8*MIN(1,p_u_base+$CD$250*p_u_pan_all+J249*($CD$250*p_u_pan_weak+p_u_mda*D249)+p_u_notch*G249+p_u_fail*E249)</f>
        <v>695.13</v>
      </c>
      <c r="N249" s="35" t="n">
        <f aca="false">Inputs_Banks!$AK8*MIN(1,p_w_base+p_w_pan*$CD$250+p_w_notch*G249+0.5*D249+1*E249)</f>
        <v>60.978</v>
      </c>
      <c r="O249" s="35" t="n">
        <f aca="false">Inputs_Banks!$AO8*MIN(1,p_cp_base+p_cp_pan*$CD$250+p_cp_notch*G249)</f>
        <v>3.89</v>
      </c>
      <c r="P249" s="35" t="n">
        <f aca="false">Inputs_Banks!$AN8*(p_dh+p_dh_pan*$CD$250+MIN(1,0.5*$CD$257+0.25*G249))</f>
        <v>103.70988533276</v>
      </c>
      <c r="Q249" s="35" t="n">
        <f aca="false">Modules!$Y8</f>
        <v>24.8867432</v>
      </c>
      <c r="R249" s="35" t="n">
        <f aca="false">Inputs_Banks!$AJ8*K249</f>
        <v>0</v>
      </c>
      <c r="S249" s="35" t="n">
        <f aca="false">p_liq_on*$CD$258*SUM($M$247:$M$270)*R249/MAX(0.000000001,SUM($R$247:$R$270))</f>
        <v>0</v>
      </c>
      <c r="T249" s="35" t="n">
        <f aca="false">p_liq_on*(L249+M249+N249+O249+P249+Q249)</f>
        <v>890.09462853276</v>
      </c>
      <c r="U249" s="35" t="n">
        <f aca="false">g_usable*Inputs_Banks!$AG8+p_cb_on*Inputs_Banks!$AQ8+S249</f>
        <v>626.52</v>
      </c>
      <c r="V249" s="35" t="n">
        <f aca="false">MAX(0,T249-U249)</f>
        <v>263.57462853276</v>
      </c>
      <c r="W249" s="44" t="n">
        <f aca="false">IF(V249&gt;0.9*Inputs_Banks!$BB8,1,0)</f>
        <v>1</v>
      </c>
      <c r="X249" s="43" t="n">
        <f aca="false">MAX(p_htm_forced,(1-p_cb_on)*MIN(1,T249/Inputs_Banks!$AG8)*g_theta_sell)</f>
        <v>0.25</v>
      </c>
      <c r="Y249" s="35" t="n">
        <f aca="false">MAX(0,Modules!$V8-B249/(Inputs_Banks!$I8+g_del_buf))</f>
        <v>888.051446671803</v>
      </c>
      <c r="Z249" s="35" t="n">
        <f aca="false">MIN(g_del_cap*Inputs_Banks!$BB8,Y249)</f>
        <v>49.625</v>
      </c>
      <c r="AA249" s="35" t="n">
        <f aca="false">MIN(Inputs_Banks!$BB8,V249+Z249)</f>
        <v>198.5</v>
      </c>
      <c r="AB249" s="35" t="n">
        <f aca="false">$AA249*Holdings!Q8</f>
        <v>0</v>
      </c>
      <c r="AC249" s="35" t="n">
        <f aca="false">$AA249*Holdings!R8</f>
        <v>0</v>
      </c>
      <c r="AD249" s="35" t="n">
        <f aca="false">$AA249*Holdings!S8</f>
        <v>0</v>
      </c>
      <c r="AE249" s="35" t="n">
        <f aca="false">$AA249*Holdings!T8</f>
        <v>9.97</v>
      </c>
      <c r="AF249" s="35" t="n">
        <f aca="false">$AA249*Holdings!U8</f>
        <v>31.57</v>
      </c>
      <c r="AG249" s="35" t="n">
        <f aca="false">$AA249*Holdings!V8</f>
        <v>0</v>
      </c>
      <c r="AH249" s="35" t="n">
        <f aca="false">$AA249*Holdings!W8</f>
        <v>1.45</v>
      </c>
      <c r="AI249" s="35" t="n">
        <f aca="false">$AA249*Holdings!X8</f>
        <v>18.23</v>
      </c>
      <c r="AJ249" s="35" t="n">
        <f aca="false">$AA249*Holdings!Y8</f>
        <v>8.48</v>
      </c>
      <c r="AK249" s="35" t="n">
        <f aca="false">$AA249*Holdings!Z8</f>
        <v>0</v>
      </c>
      <c r="AL249" s="35" t="n">
        <f aca="false">$AA249*Holdings!AA8</f>
        <v>97.93</v>
      </c>
      <c r="AM249" s="35" t="n">
        <f aca="false">$AA249*Holdings!AB8</f>
        <v>0</v>
      </c>
      <c r="AN249" s="35" t="n">
        <f aca="false">$AA249*Holdings!AC8</f>
        <v>30.87</v>
      </c>
      <c r="AO249" s="43" t="n">
        <f aca="false">MIN(1,$CD$257+0.5*G249)</f>
        <v>1</v>
      </c>
      <c r="AP249" s="35" t="n">
        <f aca="false">p_liq_on*Inputs_Banks!$AP8*AO249*p_mb_psi</f>
        <v>10.488</v>
      </c>
      <c r="AQ249" s="44" t="n">
        <f aca="false">MAX(F249,E249,W249*(1-p_cb_on))</f>
        <v>1</v>
      </c>
      <c r="AR249" s="35" t="n">
        <f aca="false">p_ib_on*p_lgd_ib*g_s_in*g_u_ib*SUMPRODUCT(Network!E$6:E$29,$AQ$247:$AQ$270)</f>
        <v>8.3290801802124</v>
      </c>
      <c r="AS249" s="35" t="n">
        <f aca="false">p_sw_M1*(SUMPRODUCT(BDC_EAD!E$106:E$127,$BF$247:$BF$268)+SUMPRODUCT(BDC_EAD!E$131:E$152,$BG$247:$BG$268)+(Inputs_Banks!$Y8+p_ccf_bl*Inputs_Banks!$Z8)*$CD$270+Modules!$E8)</f>
        <v>52.4702922221031</v>
      </c>
      <c r="AT249" s="35" t="n">
        <f aca="false">p_sw_M3*(Inputs_Banks!$U8+p_ccf_abf*Inputs_Banks!$V8)*$CD$271</f>
        <v>3.2824246005951</v>
      </c>
      <c r="AU249" s="35" t="n">
        <f aca="false">p_sw_M10*Inputs_Banks!$AC8*$CD$272</f>
        <v>0</v>
      </c>
      <c r="AV249" s="35" t="n">
        <f aca="false">p_sw_M8*(Modules!$M8+Modules!$N8*IF(p_liq_on&gt;0,X249,p_htm_forced))</f>
        <v>12.27977</v>
      </c>
      <c r="AW249" s="35" t="n">
        <f aca="false">SUMPRODUCT(Holdings!$C8:$O8,Holdings!$C$32:$O$32,$AB$272:$AN$272)+Inputs_Banks!$P8*$AL$272</f>
        <v>10.4393066837293</v>
      </c>
      <c r="AX249" s="35" t="n">
        <f aca="false">Modules!$T8+AS249+AT249+AU249+AV249+AW249+AR249</f>
        <v>103.869533047288</v>
      </c>
      <c r="AY249" s="35" t="n">
        <f aca="false">Modules!$U8-(1-p_tax)*AX249</f>
        <v>53.5304669527118</v>
      </c>
      <c r="AZ249" s="39" t="n">
        <f aca="false">AY249/Modules!$V8</f>
        <v>0.0402347976121738</v>
      </c>
      <c r="BA249" s="48" t="s">
        <v>636</v>
      </c>
      <c r="BB249" s="43" t="n">
        <f aca="false">INDEX($BJ$247:$BJ$280,BDC_EAD!$B8)</f>
        <v>0.404374605284367</v>
      </c>
      <c r="BC249" s="43" t="n">
        <f aca="false">INDEX($BK$247:$BK$280,BDC_EAD!$B8)</f>
        <v>0.0611100114102059</v>
      </c>
      <c r="BD249" s="22" t="n">
        <f aca="false">INDEX(BDC!$Q$6:$Q$39,BDC_EAD!$B8)</f>
        <v>0.270100917431193</v>
      </c>
      <c r="BE249" s="43" t="n">
        <f aca="false">BB249*(1-$AK$272)-BC249-p_c_liq</f>
        <v>0.111296021496196</v>
      </c>
      <c r="BF249" s="43" t="n">
        <f aca="false">p_phi*MAX(0,p_a_spv-BE249)/p_a_spv+(1-p_phi)*MAX(0,p_a_spv-BB249)/p_a_spv</f>
        <v>0.757268945351671</v>
      </c>
      <c r="BG249" s="43" t="n">
        <f aca="false">IF(BD249&gt;0,p_phi*MAX(0,BD249-BE249)/BD249+(1-p_phi)*MAX(0,BD249-BB249)/BD249,0)</f>
        <v>0.470357220391009</v>
      </c>
      <c r="BI249" s="12" t="str">
        <f aca="false">BDC!$A$8</f>
        <v>ARCC</v>
      </c>
      <c r="BJ249" s="43" t="n">
        <f aca="false">1-((1-BDC!$D$8)*$CD$263+BDC!$D$8*$CD$264)-p_gap-$CD$253*(1-BDC!$M$8)</f>
        <v>0.493705250996006</v>
      </c>
      <c r="BK249" s="43" t="n">
        <f aca="false">(1-BDC!$D$8)*$CD$265+BDC!$D$8*$CD$266</f>
        <v>0.0608491891733852</v>
      </c>
      <c r="BL249" s="45" t="n">
        <f aca="false">BJ249/BDC!$K$8</f>
        <v>0.92678003257145</v>
      </c>
      <c r="BM249" s="35" t="n">
        <f aca="false">IF(BL249&lt;1.5,BDC!$C$8,0)</f>
        <v>29.35</v>
      </c>
      <c r="BN249" s="43" t="n">
        <f aca="false">MAX(0,1-BJ249*(1-CE_mig_hc)-p_bb_cush)*BDC!$Q$8</f>
        <v>0.104092949218272</v>
      </c>
      <c r="BO249" s="43" t="n">
        <f aca="false">MAX(0,BDC!$K$8-BJ249/1.5)</f>
        <v>0.203573446376494</v>
      </c>
      <c r="BP249" s="43" t="n">
        <f aca="false">MIN(MIN(1,BDC!$H$8*$CD$256),$CD$255)</f>
        <v>0</v>
      </c>
      <c r="BQ249" s="43" t="n">
        <f aca="false">BDC!$I$8*BDC!$J$8*BP249*(1-0.3)</f>
        <v>0</v>
      </c>
      <c r="BR249" s="45" t="n">
        <f aca="false">BDC!$C$8*($CD$254*MAX(BN249,BO249)+BQ249)</f>
        <v>5.97488065115011</v>
      </c>
      <c r="BT249" s="10" t="s">
        <v>818</v>
      </c>
      <c r="BU249" s="43" t="n">
        <f aca="false">NORMSDIST((NORMSINV(CreditEngine!$D$8)-SQRT(g_rho)*$CD$251)/SQRT(1-g_rho))</f>
        <v>0.778440947362696</v>
      </c>
      <c r="BV249" s="43" t="n">
        <f aca="false">NORMSDIST((NORMSINV(MIN(0.999,CreditEngine!$D$8*p_m_sw))-SQRT(g_rho)*$CD$251)/SQRT(1-g_rho))</f>
        <v>0.928422699706501</v>
      </c>
      <c r="CC249" s="10" t="s">
        <v>975</v>
      </c>
      <c r="CD249" s="45" t="n">
        <f aca="false">p_news0+g_w_cov*$CD$247+g_w_notch*SUMPRODUCT($G$247:$G$270,Inputs_Banks!$D$6:$D$29)/(3*SUM(Inputs_Banks!$D$6:$D$29))+g_w_mda*SUMPRODUCT($D$247:$D$270,Inputs_Banks!$D$6:$D$29)/SUM(Inputs_Banks!$D$6:$D$29)+g_w_def*MAX($BA$247:$BA$270)+g_w_fs*$CD$248/0.3</f>
        <v>4.13446088979863</v>
      </c>
    </row>
    <row r="250" customFormat="false" ht="15" hidden="false" customHeight="true" outlineLevel="0" collapsed="false">
      <c r="A250" s="10" t="s">
        <v>503</v>
      </c>
      <c r="B250" s="35" t="n">
        <f aca="false">AY210</f>
        <v>3.00090419934335</v>
      </c>
      <c r="C250" s="39" t="n">
        <f aca="false">AZ210</f>
        <v>0.00207390282086281</v>
      </c>
      <c r="D250" s="44" t="n">
        <f aca="false">IF(C250&lt;Inputs_Banks!$I9,1,0)</f>
        <v>1</v>
      </c>
      <c r="E250" s="44" t="n">
        <f aca="false">IF(C250&lt;0.045,1,0)</f>
        <v>1</v>
      </c>
      <c r="F250" s="44" t="n">
        <f aca="false">IF(B250&lt;0,1,0)</f>
        <v>0</v>
      </c>
      <c r="G250" s="44" t="n">
        <f aca="false">MIN(6,MIN(3,INT(MAX(0,Inputs_Banks!$BA9-C250)/p_notch_step))+D250+2*E250)</f>
        <v>6</v>
      </c>
      <c r="H250" s="39" t="n">
        <f aca="false">C250-Inputs_Banks!$I9</f>
        <v>-0.0829260971791372</v>
      </c>
      <c r="I250" s="44" t="n">
        <f aca="false">RANK(H250,$H$247:$H$270,1)</f>
        <v>7</v>
      </c>
      <c r="J250" s="44" t="n">
        <f aca="false">MAX(IF(I250&lt;=g_n_weak,1,0),E250)</f>
        <v>1</v>
      </c>
      <c r="K250" s="44" t="n">
        <f aca="false">IF(I250&gt;12,1,0)*(1-E250)</f>
        <v>0</v>
      </c>
      <c r="L250" s="35" t="n">
        <f aca="false">INDEX(Inputs_Banks!$AR9:$AX9,1,G250+1)</f>
        <v>4.1</v>
      </c>
      <c r="M250" s="35" t="n">
        <f aca="false">Inputs_Banks!$AI9*MIN(1,p_u_base+$CD$250*p_u_pan_all+J250*($CD$250*p_u_pan_weak+p_u_mda*D250)+p_u_notch*G250+p_u_fail*E250)</f>
        <v>739.028</v>
      </c>
      <c r="N250" s="35" t="n">
        <f aca="false">Inputs_Banks!$AK9*MIN(1,p_w_base+p_w_pan*$CD$250+p_w_notch*G250+0.5*D250+1*E250)</f>
        <v>25.168</v>
      </c>
      <c r="O250" s="35" t="n">
        <f aca="false">Inputs_Banks!$AO9*MIN(1,p_cp_base+p_cp_pan*$CD$250+p_cp_notch*G250)</f>
        <v>12.67</v>
      </c>
      <c r="P250" s="35" t="n">
        <f aca="false">Inputs_Banks!$AN9*(p_dh+p_dh_pan*$CD$250+MIN(1,0.5*$CD$257+0.25*G250))</f>
        <v>62.6368013541448</v>
      </c>
      <c r="Q250" s="35" t="n">
        <f aca="false">Modules!$Y9</f>
        <v>53.0660504</v>
      </c>
      <c r="R250" s="35" t="n">
        <f aca="false">Inputs_Banks!$AJ9*K250</f>
        <v>0</v>
      </c>
      <c r="S250" s="35" t="n">
        <f aca="false">p_liq_on*$CD$258*SUM($M$247:$M$270)*R250/MAX(0.000000001,SUM($R$247:$R$270))</f>
        <v>0</v>
      </c>
      <c r="T250" s="35" t="n">
        <f aca="false">p_liq_on*(L250+M250+N250+O250+P250+Q250)</f>
        <v>896.668851754145</v>
      </c>
      <c r="U250" s="35" t="n">
        <f aca="false">g_usable*Inputs_Banks!$AG9+p_cb_on*Inputs_Banks!$AQ9+S250</f>
        <v>570.088</v>
      </c>
      <c r="V250" s="35" t="n">
        <f aca="false">MAX(0,T250-U250)</f>
        <v>326.580851754145</v>
      </c>
      <c r="W250" s="44" t="n">
        <f aca="false">IF(V250&gt;0.9*Inputs_Banks!$BB9,1,0)</f>
        <v>1</v>
      </c>
      <c r="X250" s="43" t="n">
        <f aca="false">MAX(p_htm_forced,(1-p_cb_on)*MIN(1,T250/Inputs_Banks!$AG9)*g_theta_sell)</f>
        <v>0.25</v>
      </c>
      <c r="Y250" s="35" t="n">
        <f aca="false">MAX(0,Modules!$V9-B250/(Inputs_Banks!$I9+g_del_buf))</f>
        <v>1413.6406200073</v>
      </c>
      <c r="Z250" s="35" t="n">
        <f aca="false">MIN(g_del_cap*Inputs_Banks!$BB9,Y250)</f>
        <v>31.935</v>
      </c>
      <c r="AA250" s="35" t="n">
        <f aca="false">MIN(Inputs_Banks!$BB9,V250+Z250)</f>
        <v>127.74</v>
      </c>
      <c r="AB250" s="35" t="n">
        <f aca="false">$AA250*Holdings!Q9</f>
        <v>0</v>
      </c>
      <c r="AC250" s="35" t="n">
        <f aca="false">$AA250*Holdings!R9</f>
        <v>0</v>
      </c>
      <c r="AD250" s="35" t="n">
        <f aca="false">$AA250*Holdings!S9</f>
        <v>0</v>
      </c>
      <c r="AE250" s="35" t="n">
        <f aca="false">$AA250*Holdings!T9</f>
        <v>29.87</v>
      </c>
      <c r="AF250" s="35" t="n">
        <f aca="false">$AA250*Holdings!U9</f>
        <v>17.09</v>
      </c>
      <c r="AG250" s="35" t="n">
        <f aca="false">$AA250*Holdings!V9</f>
        <v>0</v>
      </c>
      <c r="AH250" s="35" t="n">
        <f aca="false">$AA250*Holdings!W9</f>
        <v>5.03</v>
      </c>
      <c r="AI250" s="35" t="n">
        <f aca="false">$AA250*Holdings!X9</f>
        <v>13.21</v>
      </c>
      <c r="AJ250" s="35" t="n">
        <f aca="false">$AA250*Holdings!Y9</f>
        <v>5.26</v>
      </c>
      <c r="AK250" s="35" t="n">
        <f aca="false">$AA250*Holdings!Z9</f>
        <v>0</v>
      </c>
      <c r="AL250" s="35" t="n">
        <f aca="false">$AA250*Holdings!AA9</f>
        <v>37.96</v>
      </c>
      <c r="AM250" s="35" t="n">
        <f aca="false">$AA250*Holdings!AB9</f>
        <v>0</v>
      </c>
      <c r="AN250" s="35" t="n">
        <f aca="false">$AA250*Holdings!AC9</f>
        <v>19.32</v>
      </c>
      <c r="AO250" s="43" t="n">
        <f aca="false">MIN(1,$CD$257+0.5*G250)</f>
        <v>1</v>
      </c>
      <c r="AP250" s="35" t="n">
        <f aca="false">p_liq_on*Inputs_Banks!$AP9*AO250*p_mb_psi</f>
        <v>10.32</v>
      </c>
      <c r="AQ250" s="44" t="n">
        <f aca="false">MAX(F250,E250,W250*(1-p_cb_on))</f>
        <v>1</v>
      </c>
      <c r="AR250" s="35" t="n">
        <f aca="false">p_ib_on*p_lgd_ib*g_s_in*g_u_ib*SUMPRODUCT(Network!F$6:F$29,$AQ$247:$AQ$270)</f>
        <v>8.47195325842872</v>
      </c>
      <c r="AS250" s="35" t="n">
        <f aca="false">p_sw_M1*(SUMPRODUCT(BDC_EAD!F$106:F$127,$BF$247:$BF$268)+SUMPRODUCT(BDC_EAD!F$131:F$152,$BG$247:$BG$268)+(Inputs_Banks!$Y9+p_ccf_bl*Inputs_Banks!$Z9)*$CD$270+Modules!$E9)</f>
        <v>79.5487236356887</v>
      </c>
      <c r="AT250" s="35" t="n">
        <f aca="false">p_sw_M3*(Inputs_Banks!$U9+p_ccf_abf*Inputs_Banks!$V9)*$CD$271</f>
        <v>0</v>
      </c>
      <c r="AU250" s="35" t="n">
        <f aca="false">p_sw_M10*Inputs_Banks!$AC9*$CD$272</f>
        <v>0</v>
      </c>
      <c r="AV250" s="35" t="n">
        <f aca="false">p_sw_M8*(Modules!$M9+Modules!$N9*IF(p_liq_on&gt;0,X250,p_htm_forced))</f>
        <v>17.338745</v>
      </c>
      <c r="AW250" s="35" t="n">
        <f aca="false">SUMPRODUCT(Holdings!$C9:$O9,Holdings!$C$32:$O$32,$AB$272:$AN$272)+Inputs_Banks!$P9*$AL$272</f>
        <v>8.69909283222242</v>
      </c>
      <c r="AX250" s="35" t="n">
        <f aca="false">Modules!$T9+AS250+AT250+AU250+AV250+AW250+AR250</f>
        <v>131.599095800657</v>
      </c>
      <c r="AY250" s="35" t="n">
        <f aca="false">Modules!$U9-(1-p_tax)*AX250</f>
        <v>3.00090419934335</v>
      </c>
      <c r="AZ250" s="39" t="n">
        <f aca="false">AY250/Modules!$V9</f>
        <v>0.00207390282086281</v>
      </c>
      <c r="BA250" s="48" t="s">
        <v>656</v>
      </c>
      <c r="BB250" s="43" t="n">
        <f aca="false">INDEX($BJ$247:$BJ$280,BDC_EAD!$B9)</f>
        <v>0.440484450675871</v>
      </c>
      <c r="BC250" s="43" t="n">
        <f aca="false">INDEX($BK$247:$BK$280,BDC_EAD!$B9)</f>
        <v>0.0655439894361584</v>
      </c>
      <c r="BD250" s="22" t="n">
        <f aca="false">INDEX(BDC!$Q$6:$Q$39,BDC_EAD!$B9)</f>
        <v>0.275784753363229</v>
      </c>
      <c r="BE250" s="43" t="n">
        <f aca="false">BB250*(1-$AK$272)-BC250-p_c_liq</f>
        <v>0.126722458435571</v>
      </c>
      <c r="BF250" s="43" t="n">
        <f aca="false">p_phi*MAX(0,p_a_spv-BE250)/p_a_spv+(1-p_phi)*MAX(0,p_a_spv-BB250)/p_a_spv</f>
        <v>0.729321633023385</v>
      </c>
      <c r="BG250" s="43" t="n">
        <f aca="false">IF(BD250&gt;0,p_phi*MAX(0,BD250-BE250)/BD250+(1-p_phi)*MAX(0,BD250-BB250)/BD250,0)</f>
        <v>0.432401844147873</v>
      </c>
      <c r="BI250" s="12" t="str">
        <f aca="false">BDC!$A$9</f>
        <v>ADS</v>
      </c>
      <c r="BJ250" s="43" t="n">
        <f aca="false">1-((1-BDC!$D$9)*$CD$263+BDC!$D$9*$CD$264)-p_gap-$CD$253*(1-BDC!$M$9)</f>
        <v>0.428174862214715</v>
      </c>
      <c r="BK250" s="43" t="n">
        <f aca="false">(1-BDC!$D$9)*$CD$265+BDC!$D$9*$CD$266</f>
        <v>0.0650596052820627</v>
      </c>
      <c r="BL250" s="45" t="n">
        <f aca="false">BJ250/BDC!$K$9</f>
        <v>0.920329876254616</v>
      </c>
      <c r="BM250" s="35" t="n">
        <f aca="false">IF(BL250&lt;1.5,BDC!$C$9,0)</f>
        <v>25.37</v>
      </c>
      <c r="BN250" s="43" t="n">
        <f aca="false">MAX(0,1-BJ250*(1-CE_mig_hc)-p_bb_cush)*BDC!$Q$9</f>
        <v>0.145198875281454</v>
      </c>
      <c r="BO250" s="43" t="n">
        <f aca="false">MAX(0,BDC!$K$9-BJ250/1.5)</f>
        <v>0.179790733568087</v>
      </c>
      <c r="BP250" s="43" t="n">
        <f aca="false">MIN(MIN(1,BDC!$H$9*$CD$256),$CD$255)</f>
        <v>0.25</v>
      </c>
      <c r="BQ250" s="43" t="n">
        <f aca="false">BDC!$I$9*BDC!$J$9*BP250*(1-0.3)</f>
        <v>0.0935828877005347</v>
      </c>
      <c r="BR250" s="45" t="n">
        <f aca="false">BDC!$C$9*($CD$254*MAX(BN250,BO250)+BQ250)</f>
        <v>6.93548877158493</v>
      </c>
      <c r="BT250" s="10" t="s">
        <v>819</v>
      </c>
      <c r="BU250" s="43" t="n">
        <f aca="false">NORMSDIST((NORMSINV(CreditEngine!$D$9)-SQRT(g_rho)*$CD$251)/SQRT(1-g_rho))</f>
        <v>0.94008092388034</v>
      </c>
      <c r="BV250" s="43" t="n">
        <f aca="false">NORMSDIST((NORMSINV(MIN(0.999,CreditEngine!$D$9*p_m_sw))-SQRT(g_rho)*$CD$251)/SQRT(1-g_rho))</f>
        <v>0.999738169883273</v>
      </c>
      <c r="CC250" s="7" t="s">
        <v>976</v>
      </c>
      <c r="CD250" s="49" t="n">
        <f aca="false">p_panic_on*(p_S0+(1-p_S0)*MAX(0,1/(1+EXP(-($CD$249-g_theta_news)/g_tau_news))-(1/(1+EXP(g_theta_news/g_tau_news))))/(1-(1/(1+EXP(g_theta_news/g_tau_news)))))</f>
        <v>1</v>
      </c>
    </row>
    <row r="251" customFormat="false" ht="15" hidden="false" customHeight="true" outlineLevel="0" collapsed="false">
      <c r="A251" s="10" t="s">
        <v>505</v>
      </c>
      <c r="B251" s="35" t="n">
        <f aca="false">AY211</f>
        <v>9.27861486547613</v>
      </c>
      <c r="C251" s="39" t="n">
        <f aca="false">AZ211</f>
        <v>0.0105156793887712</v>
      </c>
      <c r="D251" s="44" t="n">
        <f aca="false">IF(C251&lt;Inputs_Banks!$I10,1,0)</f>
        <v>1</v>
      </c>
      <c r="E251" s="44" t="n">
        <f aca="false">IF(C251&lt;0.045,1,0)</f>
        <v>1</v>
      </c>
      <c r="F251" s="44" t="n">
        <f aca="false">IF(B251&lt;0,1,0)</f>
        <v>0</v>
      </c>
      <c r="G251" s="44" t="n">
        <f aca="false">MIN(6,MIN(3,INT(MAX(0,Inputs_Banks!$BA10-C251)/p_notch_step))+D251+2*E251)</f>
        <v>6</v>
      </c>
      <c r="H251" s="39" t="n">
        <f aca="false">C251-Inputs_Banks!$I10</f>
        <v>-0.103484320611229</v>
      </c>
      <c r="I251" s="44" t="n">
        <f aca="false">RANK(H251,$H$247:$H$270,1)</f>
        <v>4</v>
      </c>
      <c r="J251" s="44" t="n">
        <f aca="false">MAX(IF(I251&lt;=g_n_weak,1,0),E251)</f>
        <v>1</v>
      </c>
      <c r="K251" s="44" t="n">
        <f aca="false">IF(I251&gt;12,1,0)*(1-E251)</f>
        <v>0</v>
      </c>
      <c r="L251" s="35" t="n">
        <f aca="false">INDEX(Inputs_Banks!$AR10:$AX10,1,G251+1)</f>
        <v>6.6675</v>
      </c>
      <c r="M251" s="35" t="n">
        <f aca="false">Inputs_Banks!$AI10*MIN(1,p_u_base+$CD$250*p_u_pan_all+J251*($CD$250*p_u_pan_weak+p_u_mda*D251)+p_u_notch*G251+p_u_fail*E251)</f>
        <v>201.16</v>
      </c>
      <c r="N251" s="35" t="n">
        <f aca="false">Inputs_Banks!$AK10*MIN(1,p_w_base+p_w_pan*$CD$250+p_w_notch*G251+0.5*D251+1*E251)</f>
        <v>55.681</v>
      </c>
      <c r="O251" s="35" t="n">
        <f aca="false">Inputs_Banks!$AO10*MIN(1,p_cp_base+p_cp_pan*$CD$250+p_cp_notch*G251)</f>
        <v>1.51</v>
      </c>
      <c r="P251" s="35" t="n">
        <f aca="false">Inputs_Banks!$AN10*(p_dh+p_dh_pan*$CD$250+MIN(1,0.5*$CD$257+0.25*G251))</f>
        <v>172.798154371499</v>
      </c>
      <c r="Q251" s="35" t="n">
        <f aca="false">Modules!$Y10</f>
        <v>24.4757226</v>
      </c>
      <c r="R251" s="35" t="n">
        <f aca="false">Inputs_Banks!$AJ10*K251</f>
        <v>0</v>
      </c>
      <c r="S251" s="35" t="n">
        <f aca="false">p_liq_on*$CD$258*SUM($M$247:$M$270)*R251/MAX(0.000000001,SUM($R$247:$R$270))</f>
        <v>0</v>
      </c>
      <c r="T251" s="35" t="n">
        <f aca="false">p_liq_on*(L251+M251+N251+O251+P251+Q251)</f>
        <v>462.292376971499</v>
      </c>
      <c r="U251" s="35" t="n">
        <f aca="false">g_usable*Inputs_Banks!$AG10+p_cb_on*Inputs_Banks!$AQ10+S251</f>
        <v>575.89165</v>
      </c>
      <c r="V251" s="35" t="n">
        <f aca="false">MAX(0,T251-U251)</f>
        <v>0</v>
      </c>
      <c r="W251" s="44" t="n">
        <f aca="false">IF(V251&gt;0.9*Inputs_Banks!$BB10,1,0)</f>
        <v>0</v>
      </c>
      <c r="X251" s="43" t="n">
        <f aca="false">MAX(p_htm_forced,(1-p_cb_on)*MIN(1,T251/Inputs_Banks!$AG10)*g_theta_sell)</f>
        <v>0.25</v>
      </c>
      <c r="Y251" s="35" t="n">
        <f aca="false">MAX(0,Modules!$V10-B251/(Inputs_Banks!$I10+g_del_buf))</f>
        <v>804.388446508604</v>
      </c>
      <c r="Z251" s="35" t="n">
        <f aca="false">MIN(g_del_cap*Inputs_Banks!$BB10,Y251)</f>
        <v>91.7425</v>
      </c>
      <c r="AA251" s="35" t="n">
        <f aca="false">MIN(Inputs_Banks!$BB10,V251+Z251)</f>
        <v>91.7425</v>
      </c>
      <c r="AB251" s="35" t="n">
        <f aca="false">$AA251*Holdings!Q10</f>
        <v>0</v>
      </c>
      <c r="AC251" s="35" t="n">
        <f aca="false">$AA251*Holdings!R10</f>
        <v>0</v>
      </c>
      <c r="AD251" s="35" t="n">
        <f aca="false">$AA251*Holdings!S10</f>
        <v>0</v>
      </c>
      <c r="AE251" s="35" t="n">
        <f aca="false">$AA251*Holdings!T10</f>
        <v>0.2225</v>
      </c>
      <c r="AF251" s="35" t="n">
        <f aca="false">$AA251*Holdings!U10</f>
        <v>16.98</v>
      </c>
      <c r="AG251" s="35" t="n">
        <f aca="false">$AA251*Holdings!V10</f>
        <v>0</v>
      </c>
      <c r="AH251" s="35" t="n">
        <f aca="false">$AA251*Holdings!W10</f>
        <v>5.9525</v>
      </c>
      <c r="AI251" s="35" t="n">
        <f aca="false">$AA251*Holdings!X10</f>
        <v>0</v>
      </c>
      <c r="AJ251" s="35" t="n">
        <f aca="false">$AA251*Holdings!Y10</f>
        <v>5.7675</v>
      </c>
      <c r="AK251" s="35" t="n">
        <f aca="false">$AA251*Holdings!Z10</f>
        <v>0</v>
      </c>
      <c r="AL251" s="35" t="n">
        <f aca="false">$AA251*Holdings!AA10</f>
        <v>61.7925</v>
      </c>
      <c r="AM251" s="35" t="n">
        <f aca="false">$AA251*Holdings!AB10</f>
        <v>0</v>
      </c>
      <c r="AN251" s="35" t="n">
        <f aca="false">$AA251*Holdings!AC10</f>
        <v>1.0275</v>
      </c>
      <c r="AO251" s="43" t="n">
        <f aca="false">MIN(1,$CD$257+0.5*G251)</f>
        <v>1</v>
      </c>
      <c r="AP251" s="35" t="n">
        <f aca="false">p_liq_on*Inputs_Banks!$AP10*AO251*p_mb_psi</f>
        <v>1.422</v>
      </c>
      <c r="AQ251" s="44" t="n">
        <f aca="false">MAX(F251,E251,W251*(1-p_cb_on))</f>
        <v>1</v>
      </c>
      <c r="AR251" s="35" t="n">
        <f aca="false">p_ib_on*p_lgd_ib*g_s_in*g_u_ib*SUMPRODUCT(Network!G$6:G$29,$AQ$247:$AQ$270)</f>
        <v>11.7962428802982</v>
      </c>
      <c r="AS251" s="35" t="n">
        <f aca="false">p_sw_M1*(SUMPRODUCT(BDC_EAD!G$106:G$127,$BF$247:$BF$268)+SUMPRODUCT(BDC_EAD!G$131:G$152,$BG$247:$BG$268)+(Inputs_Banks!$Y10+p_ccf_bl*Inputs_Banks!$Z10)*$CD$270+Modules!$E10)</f>
        <v>31.3129915781768</v>
      </c>
      <c r="AT251" s="35" t="n">
        <f aca="false">p_sw_M3*(Inputs_Banks!$U10+p_ccf_abf*Inputs_Banks!$V10)*$CD$271</f>
        <v>0</v>
      </c>
      <c r="AU251" s="35" t="n">
        <f aca="false">p_sw_M10*Inputs_Banks!$AC10*$CD$272</f>
        <v>0</v>
      </c>
      <c r="AV251" s="35" t="n">
        <f aca="false">p_sw_M8*(Modules!$M10+Modules!$N10*IF(p_liq_on&gt;0,X251,p_htm_forced))</f>
        <v>5.01152</v>
      </c>
      <c r="AW251" s="35" t="n">
        <f aca="false">SUMPRODUCT(Holdings!$C10:$O10,Holdings!$C$32:$O$32,$AB$272:$AN$272)+Inputs_Banks!$P10*$AL$272</f>
        <v>19.0984516984342</v>
      </c>
      <c r="AX251" s="35" t="n">
        <f aca="false">Modules!$T10+AS251+AT251+AU251+AV251+AW251+AR251</f>
        <v>92.1213851345239</v>
      </c>
      <c r="AY251" s="35" t="n">
        <f aca="false">Modules!$U10-(1-p_tax)*AX251</f>
        <v>9.27861486547613</v>
      </c>
      <c r="AZ251" s="39" t="n">
        <f aca="false">AY251/Modules!$V10</f>
        <v>0.0105156793887712</v>
      </c>
      <c r="BA251" s="48" t="s">
        <v>629</v>
      </c>
      <c r="BB251" s="43" t="n">
        <f aca="false">INDEX($BJ$247:$BJ$280,BDC_EAD!$B10)</f>
        <v>0.394270722625258</v>
      </c>
      <c r="BC251" s="43" t="n">
        <f aca="false">INDEX($BK$247:$BK$280,BDC_EAD!$B10)</f>
        <v>0.0594332970306441</v>
      </c>
      <c r="BD251" s="22" t="n">
        <f aca="false">INDEX(BDC!$Q$6:$Q$39,BDC_EAD!$B10)</f>
        <v>0.259516483516484</v>
      </c>
      <c r="BE251" s="43" t="n">
        <f aca="false">BB251*(1-$AK$272)-BC251-p_c_liq</f>
        <v>0.107415600413248</v>
      </c>
      <c r="BF251" s="43" t="n">
        <f aca="false">p_phi*MAX(0,p_a_spv-BE251)/p_a_spv+(1-p_phi)*MAX(0,p_a_spv-BB251)/p_a_spv</f>
        <v>0.764590535920501</v>
      </c>
      <c r="BG251" s="43" t="n">
        <f aca="false">IF(BD251&gt;0,p_phi*MAX(0,BD251-BE251)/BD251+(1-p_phi)*MAX(0,BD251-BB251)/BD251,0)</f>
        <v>0.468874673522848</v>
      </c>
      <c r="BI251" s="12" t="str">
        <f aca="false">BDC!$A$10</f>
        <v>HLEND</v>
      </c>
      <c r="BJ251" s="43" t="n">
        <f aca="false">1-((1-BDC!$D$10)*$CD$263+BDC!$D$10*$CD$264)-p_gap-$CD$253*(1-BDC!$M$10)</f>
        <v>0.412682242137413</v>
      </c>
      <c r="BK251" s="43" t="n">
        <f aca="false">(1-BDC!$D$10)*$CD$265+BDC!$D$10*$CD$266</f>
        <v>0.0624886432334012</v>
      </c>
      <c r="BL251" s="45" t="n">
        <f aca="false">BJ251/BDC!$K$10</f>
        <v>0.825364484274826</v>
      </c>
      <c r="BM251" s="35" t="n">
        <f aca="false">IF(BL251&lt;1.5,BDC!$C$10,0)</f>
        <v>24.18</v>
      </c>
      <c r="BN251" s="43" t="n">
        <f aca="false">MAX(0,1-BJ251*(1-CE_mig_hc)-p_bb_cush)*BDC!$Q$10</f>
        <v>0.166906113401486</v>
      </c>
      <c r="BO251" s="43" t="n">
        <f aca="false">MAX(0,BDC!$K$10-BJ251/1.5)</f>
        <v>0.224878505241725</v>
      </c>
      <c r="BP251" s="43" t="n">
        <f aca="false">MIN(MIN(1,BDC!$H$10*$CD$256),$CD$255)</f>
        <v>0.25</v>
      </c>
      <c r="BQ251" s="43" t="n">
        <f aca="false">BDC!$I$10*BDC!$J$10*BP251*(1-0.3)</f>
        <v>0.0875</v>
      </c>
      <c r="BR251" s="45" t="n">
        <f aca="false">BDC!$C$10*($CD$254*MAX(BN251,BO251)+BQ251)</f>
        <v>7.5533122567449</v>
      </c>
      <c r="BT251" s="10" t="s">
        <v>820</v>
      </c>
      <c r="BU251" s="43" t="n">
        <f aca="false">NORMSDIST((NORMSINV(CreditEngine!$D$10)-SQRT(g_rho)*$CD$251)/SQRT(1-g_rho))</f>
        <v>0.94008092388034</v>
      </c>
      <c r="BV251" s="43" t="n">
        <f aca="false">NORMSDIST((NORMSINV(MIN(0.999,CreditEngine!$D$10*p_m_sw))-SQRT(g_rho)*$CD$251)/SQRT(1-g_rho))</f>
        <v>0.999738169883273</v>
      </c>
      <c r="CC251" s="10" t="s">
        <v>977</v>
      </c>
      <c r="CD251" s="45" t="n">
        <f aca="false">p_z-p_zc*$CD$250</f>
        <v>-3.25</v>
      </c>
    </row>
    <row r="252" customFormat="false" ht="15" hidden="false" customHeight="true" outlineLevel="0" collapsed="false">
      <c r="A252" s="10" t="s">
        <v>507</v>
      </c>
      <c r="B252" s="35" t="n">
        <f aca="false">AY212</f>
        <v>12.2050627089213</v>
      </c>
      <c r="C252" s="39" t="n">
        <f aca="false">AZ212</f>
        <v>0.0189677475490801</v>
      </c>
      <c r="D252" s="44" t="n">
        <f aca="false">IF(C252&lt;Inputs_Banks!$I11,1,0)</f>
        <v>1</v>
      </c>
      <c r="E252" s="44" t="n">
        <f aca="false">IF(C252&lt;0.045,1,0)</f>
        <v>1</v>
      </c>
      <c r="F252" s="44" t="n">
        <f aca="false">IF(B252&lt;0,1,0)</f>
        <v>0</v>
      </c>
      <c r="G252" s="44" t="n">
        <f aca="false">MIN(6,MIN(3,INT(MAX(0,Inputs_Banks!$BA11-C252)/p_notch_step))+D252+2*E252)</f>
        <v>6</v>
      </c>
      <c r="H252" s="39" t="n">
        <f aca="false">C252-Inputs_Banks!$I11</f>
        <v>-0.0990322524509199</v>
      </c>
      <c r="I252" s="44" t="n">
        <f aca="false">RANK(H252,$H$247:$H$270,1)</f>
        <v>5</v>
      </c>
      <c r="J252" s="44" t="n">
        <f aca="false">MAX(IF(I252&lt;=g_n_weak,1,0),E252)</f>
        <v>1</v>
      </c>
      <c r="K252" s="44" t="n">
        <f aca="false">IF(I252&gt;12,1,0)*(1-E252)</f>
        <v>0</v>
      </c>
      <c r="L252" s="35" t="n">
        <f aca="false">INDEX(Inputs_Banks!$AR11:$AX11,1,G252+1)</f>
        <v>3.28125</v>
      </c>
      <c r="M252" s="35" t="n">
        <f aca="false">Inputs_Banks!$AI11*MIN(1,p_u_base+$CD$250*p_u_pan_all+J252*($CD$250*p_u_pan_weak+p_u_mda*D252)+p_u_notch*G252+p_u_fail*E252)</f>
        <v>149.742</v>
      </c>
      <c r="N252" s="35" t="n">
        <f aca="false">Inputs_Banks!$AK11*MIN(1,p_w_base+p_w_pan*$CD$250+p_w_notch*G252+0.5*D252+1*E252)</f>
        <v>9.4</v>
      </c>
      <c r="O252" s="35" t="n">
        <f aca="false">Inputs_Banks!$AO11*MIN(1,p_cp_base+p_cp_pan*$CD$250+p_cp_notch*G252)</f>
        <v>0</v>
      </c>
      <c r="P252" s="35" t="n">
        <f aca="false">Inputs_Banks!$AN11*(p_dh+p_dh_pan*$CD$250+MIN(1,0.5*$CD$257+0.25*G252))</f>
        <v>89.5356182750795</v>
      </c>
      <c r="Q252" s="35" t="n">
        <f aca="false">Modules!$Y11</f>
        <v>18.2013845</v>
      </c>
      <c r="R252" s="35" t="n">
        <f aca="false">Inputs_Banks!$AJ11*K252</f>
        <v>0</v>
      </c>
      <c r="S252" s="35" t="n">
        <f aca="false">p_liq_on*$CD$258*SUM($M$247:$M$270)*R252/MAX(0.000000001,SUM($R$247:$R$270))</f>
        <v>0</v>
      </c>
      <c r="T252" s="35" t="n">
        <f aca="false">p_liq_on*(L252+M252+N252+O252+P252+Q252)</f>
        <v>270.16025277508</v>
      </c>
      <c r="U252" s="35" t="n">
        <f aca="false">g_usable*Inputs_Banks!$AG11+p_cb_on*Inputs_Banks!$AQ11+S252</f>
        <v>351.0815</v>
      </c>
      <c r="V252" s="35" t="n">
        <f aca="false">MAX(0,T252-U252)</f>
        <v>0</v>
      </c>
      <c r="W252" s="44" t="n">
        <f aca="false">IF(V252&gt;0.9*Inputs_Banks!$BB11,1,0)</f>
        <v>0</v>
      </c>
      <c r="X252" s="43" t="n">
        <f aca="false">MAX(p_htm_forced,(1-p_cb_on)*MIN(1,T252/Inputs_Banks!$AG11)*g_theta_sell)</f>
        <v>0.211614880058183</v>
      </c>
      <c r="Y252" s="35" t="n">
        <f aca="false">MAX(0,Modules!$V11-B252/(Inputs_Banks!$I11+g_del_buf))</f>
        <v>544.235847894949</v>
      </c>
      <c r="Z252" s="35" t="n">
        <f aca="false">MIN(g_del_cap*Inputs_Banks!$BB11,Y252)</f>
        <v>74.495</v>
      </c>
      <c r="AA252" s="35" t="n">
        <f aca="false">MIN(Inputs_Banks!$BB11,V252+Z252)</f>
        <v>74.495</v>
      </c>
      <c r="AB252" s="35" t="n">
        <f aca="false">$AA252*Holdings!Q11</f>
        <v>0</v>
      </c>
      <c r="AC252" s="35" t="n">
        <f aca="false">$AA252*Holdings!R11</f>
        <v>0</v>
      </c>
      <c r="AD252" s="35" t="n">
        <f aca="false">$AA252*Holdings!S11</f>
        <v>0</v>
      </c>
      <c r="AE252" s="35" t="n">
        <f aca="false">$AA252*Holdings!T11</f>
        <v>1.6275</v>
      </c>
      <c r="AF252" s="35" t="n">
        <f aca="false">$AA252*Holdings!U11</f>
        <v>11.67</v>
      </c>
      <c r="AG252" s="35" t="n">
        <f aca="false">$AA252*Holdings!V11</f>
        <v>0</v>
      </c>
      <c r="AH252" s="35" t="n">
        <f aca="false">$AA252*Holdings!W11</f>
        <v>6.04</v>
      </c>
      <c r="AI252" s="35" t="n">
        <f aca="false">$AA252*Holdings!X11</f>
        <v>0</v>
      </c>
      <c r="AJ252" s="35" t="n">
        <f aca="false">$AA252*Holdings!Y11</f>
        <v>1.3075</v>
      </c>
      <c r="AK252" s="35" t="n">
        <f aca="false">$AA252*Holdings!Z11</f>
        <v>0</v>
      </c>
      <c r="AL252" s="35" t="n">
        <f aca="false">$AA252*Holdings!AA11</f>
        <v>52.9975</v>
      </c>
      <c r="AM252" s="35" t="n">
        <f aca="false">$AA252*Holdings!AB11</f>
        <v>0</v>
      </c>
      <c r="AN252" s="35" t="n">
        <f aca="false">$AA252*Holdings!AC11</f>
        <v>0.8525</v>
      </c>
      <c r="AO252" s="43" t="n">
        <f aca="false">MIN(1,$CD$257+0.5*G252)</f>
        <v>1</v>
      </c>
      <c r="AP252" s="35" t="n">
        <f aca="false">p_liq_on*Inputs_Banks!$AP11*AO252*p_mb_psi</f>
        <v>0</v>
      </c>
      <c r="AQ252" s="44" t="n">
        <f aca="false">MAX(F252,E252,W252*(1-p_cb_on))</f>
        <v>1</v>
      </c>
      <c r="AR252" s="35" t="n">
        <f aca="false">p_ib_on*p_lgd_ib*g_s_in*g_u_ib*SUMPRODUCT(Network!H$6:H$29,$AQ$247:$AQ$270)</f>
        <v>8.85043725068811</v>
      </c>
      <c r="AS252" s="35" t="n">
        <f aca="false">p_sw_M1*(SUMPRODUCT(BDC_EAD!H$106:H$127,$BF$247:$BF$268)+SUMPRODUCT(BDC_EAD!H$131:H$152,$BG$247:$BG$268)+(Inputs_Banks!$Y11+p_ccf_bl*Inputs_Banks!$Z11)*$CD$270+Modules!$E11)</f>
        <v>24.1216345672086</v>
      </c>
      <c r="AT252" s="35" t="n">
        <f aca="false">p_sw_M3*(Inputs_Banks!$U11+p_ccf_abf*Inputs_Banks!$V11)*$CD$271</f>
        <v>0</v>
      </c>
      <c r="AU252" s="35" t="n">
        <f aca="false">p_sw_M10*Inputs_Banks!$AC11*$CD$272</f>
        <v>0</v>
      </c>
      <c r="AV252" s="35" t="n">
        <f aca="false">p_sw_M8*(Modules!$M11+Modules!$N11*IF(p_liq_on&gt;0,X252,p_htm_forced))</f>
        <v>4.83355467504518</v>
      </c>
      <c r="AW252" s="35" t="n">
        <f aca="false">SUMPRODUCT(Holdings!$C11:$O11,Holdings!$C$32:$O$32,$AB$272:$AN$272)+Inputs_Banks!$P11*$AL$272</f>
        <v>15.3298043072842</v>
      </c>
      <c r="AX252" s="35" t="n">
        <f aca="false">Modules!$T11+AS252+AT252+AU252+AV252+AW252+AR252</f>
        <v>76.5949372910787</v>
      </c>
      <c r="AY252" s="35" t="n">
        <f aca="false">Modules!$U11-(1-p_tax)*AX252</f>
        <v>12.2050627089213</v>
      </c>
      <c r="AZ252" s="39" t="n">
        <f aca="false">AY252/Modules!$V11</f>
        <v>0.0189677475490801</v>
      </c>
      <c r="BA252" s="48" t="s">
        <v>640</v>
      </c>
      <c r="BB252" s="43" t="n">
        <f aca="false">INDEX($BJ$247:$BJ$280,BDC_EAD!$B11)</f>
        <v>0.48930871061707</v>
      </c>
      <c r="BC252" s="43" t="n">
        <f aca="false">INDEX($BK$247:$BK$280,BDC_EAD!$B11)</f>
        <v>0.0620042590793056</v>
      </c>
      <c r="BD252" s="22" t="n">
        <f aca="false">INDEX(BDC!$Q$6:$Q$39,BDC_EAD!$B11)</f>
        <v>0.18126872246696</v>
      </c>
      <c r="BE252" s="43" t="n">
        <f aca="false">BB252*(1-$AK$272)-BC252-p_c_liq</f>
        <v>0.157115531760083</v>
      </c>
      <c r="BF252" s="43" t="n">
        <f aca="false">p_phi*MAX(0,p_a_spv-BE252)/p_a_spv+(1-p_phi)*MAX(0,p_a_spv-BB252)/p_a_spv</f>
        <v>0.680636903526457</v>
      </c>
      <c r="BG252" s="43" t="n">
        <f aca="false">IF(BD252&gt;0,p_phi*MAX(0,BD252-BE252)/BD252+(1-p_phi)*MAX(0,BD252-BB252)/BD252,0)</f>
        <v>0.106596175570355</v>
      </c>
      <c r="BI252" s="12" t="str">
        <f aca="false">BDC!$A$11</f>
        <v>ASIF</v>
      </c>
      <c r="BJ252" s="43" t="n">
        <f aca="false">1-((1-BDC!$D$11)*$CD$263+BDC!$D$11*$CD$264)-p_gap-$CD$253*(1-BDC!$M$11)</f>
        <v>0.404374605284367</v>
      </c>
      <c r="BK252" s="43" t="n">
        <f aca="false">(1-BDC!$D$11)*$CD$265+BDC!$D$11*$CD$266</f>
        <v>0.0611100114102059</v>
      </c>
      <c r="BL252" s="45" t="n">
        <f aca="false">BJ252/BDC!$K$11</f>
        <v>0.747064948745695</v>
      </c>
      <c r="BM252" s="35" t="n">
        <f aca="false">IF(BL252&lt;1.5,BDC!$C$11,0)</f>
        <v>21.84</v>
      </c>
      <c r="BN252" s="43" t="n">
        <f aca="false">MAX(0,1-BJ252*(1-CE_mig_hc)-p_bb_cush)*BDC!$Q$11</f>
        <v>0.166493090846723</v>
      </c>
      <c r="BO252" s="43" t="n">
        <f aca="false">MAX(0,BDC!$K$11-BJ252/1.5)</f>
        <v>0.271701333480147</v>
      </c>
      <c r="BP252" s="43" t="n">
        <f aca="false">MIN(MIN(1,BDC!$H$11*$CD$256),$CD$255)</f>
        <v>0.25</v>
      </c>
      <c r="BQ252" s="43" t="n">
        <f aca="false">BDC!$I$11*BDC!$J$11*BP252*(1-0.3)</f>
        <v>0.0802752293577982</v>
      </c>
      <c r="BR252" s="45" t="n">
        <f aca="false">BDC!$C$11*($CD$254*MAX(BN252,BO252)+BQ252)</f>
        <v>7.68716813238072</v>
      </c>
      <c r="CC252" s="10" t="s">
        <v>978</v>
      </c>
      <c r="CD252" s="35" t="n">
        <f aca="false">p_ds+p_ds_pan*$CD$250</f>
        <v>1100</v>
      </c>
    </row>
    <row r="253" customFormat="false" ht="15" hidden="false" customHeight="true" outlineLevel="0" collapsed="false">
      <c r="A253" s="10" t="s">
        <v>509</v>
      </c>
      <c r="B253" s="35" t="n">
        <f aca="false">AY213</f>
        <v>1.94809829656393</v>
      </c>
      <c r="C253" s="39" t="n">
        <f aca="false">AZ213</f>
        <v>0.00360182651565631</v>
      </c>
      <c r="D253" s="44" t="n">
        <f aca="false">IF(C253&lt;Inputs_Banks!$I12,1,0)</f>
        <v>1</v>
      </c>
      <c r="E253" s="44" t="n">
        <f aca="false">IF(C253&lt;0.045,1,0)</f>
        <v>1</v>
      </c>
      <c r="F253" s="44" t="n">
        <f aca="false">IF(B253&lt;0,1,0)</f>
        <v>0</v>
      </c>
      <c r="G253" s="44" t="n">
        <f aca="false">MIN(6,MIN(3,INT(MAX(0,Inputs_Banks!$BA12-C253)/p_notch_step))+D253+2*E253)</f>
        <v>6</v>
      </c>
      <c r="H253" s="39" t="n">
        <f aca="false">C253-Inputs_Banks!$I12</f>
        <v>-0.0663981734843437</v>
      </c>
      <c r="I253" s="44" t="n">
        <f aca="false">RANK(H253,$H$247:$H$270,1)</f>
        <v>11</v>
      </c>
      <c r="J253" s="44" t="n">
        <f aca="false">MAX(IF(I253&lt;=g_n_weak,1,0),E253)</f>
        <v>1</v>
      </c>
      <c r="K253" s="44" t="n">
        <f aca="false">IF(I253&gt;12,1,0)*(1-E253)</f>
        <v>0</v>
      </c>
      <c r="L253" s="35" t="n">
        <f aca="false">INDEX(Inputs_Banks!$AR12:$AX12,1,G253+1)</f>
        <v>2</v>
      </c>
      <c r="M253" s="35" t="n">
        <f aca="false">Inputs_Banks!$AI12*MIN(1,p_u_base+$CD$250*p_u_pan_all+J253*($CD$250*p_u_pan_weak+p_u_mda*D253)+p_u_notch*G253+p_u_fail*E253)</f>
        <v>192.606</v>
      </c>
      <c r="N253" s="35" t="n">
        <f aca="false">Inputs_Banks!$AK12*MIN(1,p_w_base+p_w_pan*$CD$250+p_w_notch*G253+0.5*D253+1*E253)</f>
        <v>2.767</v>
      </c>
      <c r="O253" s="35" t="n">
        <f aca="false">Inputs_Banks!$AO12*MIN(1,p_cp_base+p_cp_pan*$CD$250+p_cp_notch*G253)</f>
        <v>0</v>
      </c>
      <c r="P253" s="35" t="n">
        <f aca="false">Inputs_Banks!$AN12*(p_dh+p_dh_pan*$CD$250+MIN(1,0.5*$CD$257+0.25*G253))</f>
        <v>0</v>
      </c>
      <c r="Q253" s="35" t="n">
        <f aca="false">Modules!$Y12</f>
        <v>25.4204874</v>
      </c>
      <c r="R253" s="35" t="n">
        <f aca="false">Inputs_Banks!$AJ12*K253</f>
        <v>0</v>
      </c>
      <c r="S253" s="35" t="n">
        <f aca="false">p_liq_on*$CD$258*SUM($M$247:$M$270)*R253/MAX(0.000000001,SUM($R$247:$R$270))</f>
        <v>0</v>
      </c>
      <c r="T253" s="35" t="n">
        <f aca="false">p_liq_on*(L253+M253+N253+O253+P253+Q253)</f>
        <v>222.7934874</v>
      </c>
      <c r="U253" s="35" t="n">
        <f aca="false">g_usable*Inputs_Banks!$AG12+p_cb_on*Inputs_Banks!$AQ12+S253</f>
        <v>151.195</v>
      </c>
      <c r="V253" s="35" t="n">
        <f aca="false">MAX(0,T253-U253)</f>
        <v>71.5984874</v>
      </c>
      <c r="W253" s="44" t="n">
        <f aca="false">IF(V253&gt;0.9*Inputs_Banks!$BB12,1,0)</f>
        <v>1</v>
      </c>
      <c r="X253" s="43" t="n">
        <f aca="false">MAX(p_htm_forced,(1-p_cb_on)*MIN(1,T253/Inputs_Banks!$AG12)*g_theta_sell)</f>
        <v>0.25</v>
      </c>
      <c r="Y253" s="35" t="n">
        <f aca="false">MAX(0,Modules!$V12-B253/(Inputs_Banks!$I12+g_del_buf))</f>
        <v>514.889356045814</v>
      </c>
      <c r="Z253" s="35" t="n">
        <f aca="false">MIN(g_del_cap*Inputs_Banks!$BB12,Y253)</f>
        <v>2.2875</v>
      </c>
      <c r="AA253" s="35" t="n">
        <f aca="false">MIN(Inputs_Banks!$BB12,V253+Z253)</f>
        <v>9.15</v>
      </c>
      <c r="AB253" s="35" t="n">
        <f aca="false">$AA253*Holdings!Q12</f>
        <v>0</v>
      </c>
      <c r="AC253" s="35" t="n">
        <f aca="false">$AA253*Holdings!R12</f>
        <v>0</v>
      </c>
      <c r="AD253" s="35" t="n">
        <f aca="false">$AA253*Holdings!S12</f>
        <v>0</v>
      </c>
      <c r="AE253" s="35" t="n">
        <f aca="false">$AA253*Holdings!T12</f>
        <v>2.37</v>
      </c>
      <c r="AF253" s="35" t="n">
        <f aca="false">$AA253*Holdings!U12</f>
        <v>2.02</v>
      </c>
      <c r="AG253" s="35" t="n">
        <f aca="false">$AA253*Holdings!V12</f>
        <v>0</v>
      </c>
      <c r="AH253" s="35" t="n">
        <f aca="false">$AA253*Holdings!W12</f>
        <v>0.02</v>
      </c>
      <c r="AI253" s="35" t="n">
        <f aca="false">$AA253*Holdings!X12</f>
        <v>0.06</v>
      </c>
      <c r="AJ253" s="35" t="n">
        <f aca="false">$AA253*Holdings!Y12</f>
        <v>4.68</v>
      </c>
      <c r="AK253" s="35" t="n">
        <f aca="false">$AA253*Holdings!Z12</f>
        <v>0</v>
      </c>
      <c r="AL253" s="35" t="n">
        <f aca="false">$AA253*Holdings!AA12</f>
        <v>0</v>
      </c>
      <c r="AM253" s="35" t="n">
        <f aca="false">$AA253*Holdings!AB12</f>
        <v>0</v>
      </c>
      <c r="AN253" s="35" t="n">
        <f aca="false">$AA253*Holdings!AC12</f>
        <v>0</v>
      </c>
      <c r="AO253" s="43" t="n">
        <f aca="false">MIN(1,$CD$257+0.5*G253)</f>
        <v>1</v>
      </c>
      <c r="AP253" s="35" t="n">
        <f aca="false">p_liq_on*Inputs_Banks!$AP12*AO253*p_mb_psi</f>
        <v>0</v>
      </c>
      <c r="AQ253" s="44" t="n">
        <f aca="false">MAX(F253,E253,W253*(1-p_cb_on))</f>
        <v>1</v>
      </c>
      <c r="AR253" s="35" t="n">
        <f aca="false">p_ib_on*p_lgd_ib*g_s_in*g_u_ib*SUMPRODUCT(Network!I$6:I$29,$AQ$247:$AQ$270)</f>
        <v>0.553400080853143</v>
      </c>
      <c r="AS253" s="35" t="n">
        <f aca="false">p_sw_M1*(SUMPRODUCT(BDC_EAD!I$106:I$127,$BF$247:$BF$268)+SUMPRODUCT(BDC_EAD!I$131:I$152,$BG$247:$BG$268)+(Inputs_Banks!$Y12+p_ccf_bl*Inputs_Banks!$Z12)*$CD$270+Modules!$E12)</f>
        <v>37.3288498355516</v>
      </c>
      <c r="AT253" s="35" t="n">
        <f aca="false">p_sw_M3*(Inputs_Banks!$U12+p_ccf_abf*Inputs_Banks!$V12)*$CD$271</f>
        <v>0</v>
      </c>
      <c r="AU253" s="35" t="n">
        <f aca="false">p_sw_M10*Inputs_Banks!$AC12*$CD$272</f>
        <v>0</v>
      </c>
      <c r="AV253" s="35" t="n">
        <f aca="false">p_sw_M8*(Modules!$M12+Modules!$N12*IF(p_liq_on&gt;0,X253,p_htm_forced))</f>
        <v>2.868215</v>
      </c>
      <c r="AW253" s="35" t="n">
        <f aca="false">SUMPRODUCT(Holdings!$C12:$O12,Holdings!$C$32:$O$32,$AB$272:$AN$272)+Inputs_Banks!$P12*$AL$272</f>
        <v>0.917839985949254</v>
      </c>
      <c r="AX253" s="35" t="n">
        <f aca="false">Modules!$T12+AS253+AT253+AU253+AV253+AW253+AR253</f>
        <v>47.1519017034361</v>
      </c>
      <c r="AY253" s="35" t="n">
        <f aca="false">Modules!$U12-(1-p_tax)*AX253</f>
        <v>1.94809829656393</v>
      </c>
      <c r="AZ253" s="39" t="n">
        <f aca="false">AY253/Modules!$V12</f>
        <v>0.00360182651565631</v>
      </c>
      <c r="BA253" s="48" t="s">
        <v>657</v>
      </c>
      <c r="BB253" s="43" t="n">
        <f aca="false">INDEX($BJ$247:$BJ$280,BDC_EAD!$B12)</f>
        <v>0.378165749019815</v>
      </c>
      <c r="BC253" s="43" t="n">
        <f aca="false">INDEX($BK$247:$BK$280,BDC_EAD!$B12)</f>
        <v>0.0643143988911463</v>
      </c>
      <c r="BD253" s="22" t="n">
        <f aca="false">INDEX(BDC!$Q$6:$Q$39,BDC_EAD!$B12)</f>
        <v>0.295054794520548</v>
      </c>
      <c r="BE253" s="43" t="n">
        <f aca="false">BB253*(1-$AK$272)-BC253-p_c_liq</f>
        <v>0.0936767630697516</v>
      </c>
      <c r="BF253" s="43" t="n">
        <f aca="false">p_phi*MAX(0,p_a_spv-BE253)/p_a_spv+(1-p_phi)*MAX(0,p_a_spv-BB253)/p_a_spv</f>
        <v>0.784893485343194</v>
      </c>
      <c r="BG253" s="43" t="n">
        <f aca="false">IF(BD253&gt;0,p_phi*MAX(0,BD253-BE253)/BD253+(1-p_phi)*MAX(0,BD253-BB253)/BD253,0)</f>
        <v>0.546008497921283</v>
      </c>
      <c r="BI253" s="12" t="str">
        <f aca="false">BDC!$A$12</f>
        <v>GS PCC</v>
      </c>
      <c r="BJ253" s="43" t="n">
        <f aca="false">1-((1-BDC!$D$12)*$CD$263+BDC!$D$12*$CD$264)-p_gap-$CD$253*(1-BDC!$M$12)</f>
        <v>0.398087744963144</v>
      </c>
      <c r="BK253" s="43" t="n">
        <f aca="false">(1-BDC!$D$12)*$CD$265+BDC!$D$12*$CD$266</f>
        <v>0.060066722462923</v>
      </c>
      <c r="BL253" s="45" t="n">
        <f aca="false">BJ253/BDC!$K$12</f>
        <v>0.812762479299751</v>
      </c>
      <c r="BM253" s="35" t="n">
        <f aca="false">IF(BL253&lt;1.5,BDC!$C$12,0)</f>
        <v>18.19</v>
      </c>
      <c r="BN253" s="43" t="n">
        <f aca="false">MAX(0,1-BJ253*(1-CE_mig_hc)-p_bb_cush)*BDC!$Q$12</f>
        <v>0.171189689900712</v>
      </c>
      <c r="BO253" s="43" t="n">
        <f aca="false">MAX(0,BDC!$K$12-BJ253/1.5)</f>
        <v>0.224404088391918</v>
      </c>
      <c r="BP253" s="43" t="n">
        <f aca="false">MIN(MIN(1,BDC!$H$12*$CD$256),$CD$255)</f>
        <v>0.0609</v>
      </c>
      <c r="BQ253" s="43" t="n">
        <f aca="false">BDC!$I$12*BDC!$J$12*BP253*(1-0.3)</f>
        <v>0.02175</v>
      </c>
      <c r="BR253" s="45" t="n">
        <f aca="false">BDC!$C$12*($CD$254*MAX(BN253,BO253)+BQ253)</f>
        <v>4.47754286784899</v>
      </c>
      <c r="CC253" s="10" t="s">
        <v>979</v>
      </c>
      <c r="CD253" s="43" t="n">
        <f aca="false">p_w_mkt+(1-p_w_mkt)*$CD$250</f>
        <v>1</v>
      </c>
    </row>
    <row r="254" customFormat="false" ht="15" hidden="false" customHeight="true" outlineLevel="0" collapsed="false">
      <c r="A254" s="10" t="s">
        <v>510</v>
      </c>
      <c r="B254" s="35" t="n">
        <f aca="false">AY214</f>
        <v>27.938944824402</v>
      </c>
      <c r="C254" s="39" t="n">
        <f aca="false">AZ214</f>
        <v>0.0509039617393305</v>
      </c>
      <c r="D254" s="44" t="n">
        <f aca="false">IF(C254&lt;Inputs_Banks!$I13,1,0)</f>
        <v>1</v>
      </c>
      <c r="E254" s="44" t="n">
        <f aca="false">IF(C254&lt;0.045,1,0)</f>
        <v>0</v>
      </c>
      <c r="F254" s="44" t="n">
        <f aca="false">IF(B254&lt;0,1,0)</f>
        <v>0</v>
      </c>
      <c r="G254" s="44" t="n">
        <f aca="false">MIN(6,MIN(3,INT(MAX(0,Inputs_Banks!$BA13-C254)/p_notch_step))+D254+2*E254)</f>
        <v>3</v>
      </c>
      <c r="H254" s="39" t="n">
        <f aca="false">C254-Inputs_Banks!$I13</f>
        <v>-0.0200960382606695</v>
      </c>
      <c r="I254" s="44" t="n">
        <f aca="false">RANK(H254,$H$247:$H$270,1)</f>
        <v>21</v>
      </c>
      <c r="J254" s="44" t="n">
        <f aca="false">MAX(IF(I254&lt;=g_n_weak,1,0),E254)</f>
        <v>0</v>
      </c>
      <c r="K254" s="44" t="n">
        <f aca="false">IF(I254&gt;12,1,0)*(1-E254)</f>
        <v>1</v>
      </c>
      <c r="L254" s="35" t="n">
        <f aca="false">INDEX(Inputs_Banks!$AR13:$AX13,1,G254+1)</f>
        <v>0.225</v>
      </c>
      <c r="M254" s="35" t="n">
        <f aca="false">Inputs_Banks!$AI13*MIN(1,p_u_base+$CD$250*p_u_pan_all+J254*($CD$250*p_u_pan_weak+p_u_mda*D254)+p_u_notch*G254+p_u_fail*E254)</f>
        <v>76.383</v>
      </c>
      <c r="N254" s="35" t="n">
        <f aca="false">Inputs_Banks!$AK13*MIN(1,p_w_base+p_w_pan*$CD$250+p_w_notch*G254+0.5*D254+1*E254)</f>
        <v>37.337</v>
      </c>
      <c r="O254" s="35" t="n">
        <f aca="false">Inputs_Banks!$AO13*MIN(1,p_cp_base+p_cp_pan*$CD$250+p_cp_notch*G254)</f>
        <v>0</v>
      </c>
      <c r="P254" s="35" t="n">
        <f aca="false">Inputs_Banks!$AN13*(p_dh+p_dh_pan*$CD$250+MIN(1,0.5*$CD$257+0.25*G254))</f>
        <v>1.197105</v>
      </c>
      <c r="Q254" s="35" t="n">
        <f aca="false">Modules!$Y13</f>
        <v>12.7415604</v>
      </c>
      <c r="R254" s="35" t="n">
        <f aca="false">Inputs_Banks!$AJ13*K254</f>
        <v>532.066</v>
      </c>
      <c r="S254" s="35" t="n">
        <f aca="false">p_liq_on*$CD$258*SUM($M$247:$M$270)*R254/MAX(0.000000001,SUM($R$247:$R$270))</f>
        <v>110.18065138705</v>
      </c>
      <c r="T254" s="35" t="n">
        <f aca="false">p_liq_on*(L254+M254+N254+O254+P254+Q254)</f>
        <v>127.8836654</v>
      </c>
      <c r="U254" s="35" t="n">
        <f aca="false">g_usable*Inputs_Banks!$AG13+p_cb_on*Inputs_Banks!$AQ13+S254</f>
        <v>299.11655138705</v>
      </c>
      <c r="V254" s="35" t="n">
        <f aca="false">MAX(0,T254-U254)</f>
        <v>0</v>
      </c>
      <c r="W254" s="44" t="n">
        <f aca="false">IF(V254&gt;0.9*Inputs_Banks!$BB13,1,0)</f>
        <v>0</v>
      </c>
      <c r="X254" s="43" t="n">
        <f aca="false">MAX(p_htm_forced,(1-p_cb_on)*MIN(1,T254/Inputs_Banks!$AG13)*g_theta_sell)</f>
        <v>0.25</v>
      </c>
      <c r="Y254" s="35" t="n">
        <f aca="false">MAX(0,Modules!$V13-B254/(Inputs_Banks!$I13+g_del_buf))</f>
        <v>181.238304942079</v>
      </c>
      <c r="Z254" s="35" t="n">
        <f aca="false">MIN(g_del_cap*Inputs_Banks!$BB13,Y254)</f>
        <v>3.2525</v>
      </c>
      <c r="AA254" s="35" t="n">
        <f aca="false">MIN(Inputs_Banks!$BB13,V254+Z254)</f>
        <v>3.2525</v>
      </c>
      <c r="AB254" s="35" t="n">
        <f aca="false">$AA254*Holdings!Q13</f>
        <v>0</v>
      </c>
      <c r="AC254" s="35" t="n">
        <f aca="false">$AA254*Holdings!R13</f>
        <v>0</v>
      </c>
      <c r="AD254" s="35" t="n">
        <f aca="false">$AA254*Holdings!S13</f>
        <v>0</v>
      </c>
      <c r="AE254" s="35" t="n">
        <f aca="false">$AA254*Holdings!T13</f>
        <v>1.845</v>
      </c>
      <c r="AF254" s="35" t="n">
        <f aca="false">$AA254*Holdings!U13</f>
        <v>0</v>
      </c>
      <c r="AG254" s="35" t="n">
        <f aca="false">$AA254*Holdings!V13</f>
        <v>0</v>
      </c>
      <c r="AH254" s="35" t="n">
        <f aca="false">$AA254*Holdings!W13</f>
        <v>0.0225</v>
      </c>
      <c r="AI254" s="35" t="n">
        <f aca="false">$AA254*Holdings!X13</f>
        <v>1.095</v>
      </c>
      <c r="AJ254" s="35" t="n">
        <f aca="false">$AA254*Holdings!Y13</f>
        <v>0.29</v>
      </c>
      <c r="AK254" s="35" t="n">
        <f aca="false">$AA254*Holdings!Z13</f>
        <v>0</v>
      </c>
      <c r="AL254" s="35" t="n">
        <f aca="false">$AA254*Holdings!AA13</f>
        <v>0</v>
      </c>
      <c r="AM254" s="35" t="n">
        <f aca="false">$AA254*Holdings!AB13</f>
        <v>0</v>
      </c>
      <c r="AN254" s="35" t="n">
        <f aca="false">$AA254*Holdings!AC13</f>
        <v>0</v>
      </c>
      <c r="AO254" s="43" t="n">
        <f aca="false">MIN(1,$CD$257+0.5*G254)</f>
        <v>1</v>
      </c>
      <c r="AP254" s="35" t="n">
        <f aca="false">p_liq_on*Inputs_Banks!$AP13*AO254*p_mb_psi</f>
        <v>0.636</v>
      </c>
      <c r="AQ254" s="44" t="n">
        <f aca="false">MAX(F254,E254,W254*(1-p_cb_on))</f>
        <v>0</v>
      </c>
      <c r="AR254" s="35" t="n">
        <f aca="false">p_ib_on*p_lgd_ib*g_s_in*g_u_ib*SUMPRODUCT(Network!J$6:J$29,$AQ$247:$AQ$270)</f>
        <v>0.644762362033408</v>
      </c>
      <c r="AS254" s="35" t="n">
        <f aca="false">p_sw_M1*(SUMPRODUCT(BDC_EAD!J$106:J$127,$BF$247:$BF$268)+SUMPRODUCT(BDC_EAD!J$131:J$152,$BG$247:$BG$268)+(Inputs_Banks!$Y13+p_ccf_bl*Inputs_Banks!$Z13)*$CD$270+Modules!$E13)</f>
        <v>14.5195684657137</v>
      </c>
      <c r="AT254" s="35" t="n">
        <f aca="false">p_sw_M3*(Inputs_Banks!$U13+p_ccf_abf*Inputs_Banks!$V13)*$CD$271</f>
        <v>0</v>
      </c>
      <c r="AU254" s="35" t="n">
        <f aca="false">p_sw_M10*Inputs_Banks!$AC13*$CD$272</f>
        <v>0</v>
      </c>
      <c r="AV254" s="35" t="n">
        <f aca="false">p_sw_M8*(Modules!$M13+Modules!$N13*IF(p_liq_on&gt;0,X254,p_htm_forced))</f>
        <v>5.14480625</v>
      </c>
      <c r="AW254" s="35" t="n">
        <f aca="false">SUMPRODUCT(Holdings!$C13:$O13,Holdings!$C$32:$O$32,$AB$272:$AN$272)+Inputs_Banks!$P13*$AL$272</f>
        <v>1.48151506912185</v>
      </c>
      <c r="AX254" s="35" t="n">
        <f aca="false">Modules!$T13+AS254+AT254+AU254+AV254+AW254+AR254</f>
        <v>27.061055175598</v>
      </c>
      <c r="AY254" s="35" t="n">
        <f aca="false">Modules!$U13-(1-p_tax)*AX254</f>
        <v>27.938944824402</v>
      </c>
      <c r="AZ254" s="39" t="n">
        <f aca="false">AY254/Modules!$V13</f>
        <v>0.0509039617393305</v>
      </c>
      <c r="BA254" s="48" t="s">
        <v>641</v>
      </c>
      <c r="BB254" s="43" t="n">
        <f aca="false">INDEX($BJ$247:$BJ$280,BDC_EAD!$B13)</f>
        <v>0.329896338848212</v>
      </c>
      <c r="BC254" s="43" t="n">
        <f aca="false">INDEX($BK$247:$BK$280,BDC_EAD!$B13)</f>
        <v>0.0624513829138554</v>
      </c>
      <c r="BD254" s="22" t="n">
        <f aca="false">INDEX(BDC!$Q$6:$Q$39,BDC_EAD!$B13)</f>
        <v>0.167256637168142</v>
      </c>
      <c r="BE254" s="43" t="n">
        <f aca="false">BB254*(1-$AK$272)-BC254-p_c_liq</f>
        <v>0.068991603452661</v>
      </c>
      <c r="BF254" s="43" t="n">
        <f aca="false">p_phi*MAX(0,p_a_spv-BE254)/p_a_spv+(1-p_phi)*MAX(0,p_a_spv-BB254)/p_a_spv</f>
        <v>0.826896356383184</v>
      </c>
      <c r="BG254" s="43" t="n">
        <f aca="false">IF(BD254&gt;0,p_phi*MAX(0,BD254-BE254)/BD254+(1-p_phi)*MAX(0,BD254-BB254)/BD254,0)</f>
        <v>0.470008415231717</v>
      </c>
      <c r="BI254" s="12" t="str">
        <f aca="false">BDC!$A$13</f>
        <v>OBDC</v>
      </c>
      <c r="BJ254" s="43" t="n">
        <f aca="false">1-((1-BDC!$D$13)*$CD$263+BDC!$D$13*$CD$264)-p_gap-$CD$253*(1-BDC!$M$13)</f>
        <v>0.393709594067855</v>
      </c>
      <c r="BK254" s="43" t="n">
        <f aca="false">(1-BDC!$D$13)*$CD$265+BDC!$D$13*$CD$266</f>
        <v>0.0647242624061503</v>
      </c>
      <c r="BL254" s="45" t="n">
        <f aca="false">BJ254/BDC!$K$13</f>
        <v>0.745236017342725</v>
      </c>
      <c r="BM254" s="35" t="n">
        <f aca="false">IF(BL254&lt;1.5,BDC!$C$13,0)</f>
        <v>14.96</v>
      </c>
      <c r="BN254" s="43" t="n">
        <f aca="false">MAX(0,1-BJ254*(1-CE_mig_hc)-p_bb_cush)*BDC!$Q$13</f>
        <v>0.111074092527053</v>
      </c>
      <c r="BO254" s="43" t="n">
        <f aca="false">MAX(0,BDC!$K$13-BJ254/1.5)</f>
        <v>0.26582882408055</v>
      </c>
      <c r="BP254" s="43" t="n">
        <f aca="false">MIN(MIN(1,BDC!$H$13*$CD$256),$CD$255)</f>
        <v>0</v>
      </c>
      <c r="BQ254" s="43" t="n">
        <f aca="false">BDC!$I$13*BDC!$J$13*BP254*(1-0.3)</f>
        <v>0</v>
      </c>
      <c r="BR254" s="45" t="n">
        <f aca="false">BDC!$C$13*($CD$254*MAX(BN254,BO254)+BQ254)</f>
        <v>3.97679920824502</v>
      </c>
      <c r="CC254" s="10" t="s">
        <v>980</v>
      </c>
      <c r="CD254" s="43" t="n">
        <f aca="false">p_theta_lev+(1-p_theta_lev)*$CD$250</f>
        <v>1</v>
      </c>
    </row>
    <row r="255" customFormat="false" ht="15" hidden="false" customHeight="true" outlineLevel="0" collapsed="false">
      <c r="A255" s="10" t="s">
        <v>512</v>
      </c>
      <c r="B255" s="35" t="n">
        <f aca="false">AY215</f>
        <v>7.3352278932168</v>
      </c>
      <c r="C255" s="39" t="n">
        <f aca="false">AZ215</f>
        <v>0.0157292211183521</v>
      </c>
      <c r="D255" s="44" t="n">
        <f aca="false">IF(C255&lt;Inputs_Banks!$I14,1,0)</f>
        <v>1</v>
      </c>
      <c r="E255" s="44" t="n">
        <f aca="false">IF(C255&lt;0.045,1,0)</f>
        <v>1</v>
      </c>
      <c r="F255" s="44" t="n">
        <f aca="false">IF(B255&lt;0,1,0)</f>
        <v>0</v>
      </c>
      <c r="G255" s="44" t="n">
        <f aca="false">MIN(6,MIN(3,INT(MAX(0,Inputs_Banks!$BA14-C255)/p_notch_step))+D255+2*E255)</f>
        <v>6</v>
      </c>
      <c r="H255" s="39" t="n">
        <f aca="false">C255-Inputs_Banks!$I14</f>
        <v>-0.0542707788816479</v>
      </c>
      <c r="I255" s="44" t="n">
        <f aca="false">RANK(H255,$H$247:$H$270,1)</f>
        <v>15</v>
      </c>
      <c r="J255" s="44" t="n">
        <f aca="false">MAX(IF(I255&lt;=g_n_weak,1,0),E255)</f>
        <v>1</v>
      </c>
      <c r="K255" s="44" t="n">
        <f aca="false">IF(I255&gt;12,1,0)*(1-E255)</f>
        <v>0</v>
      </c>
      <c r="L255" s="35" t="n">
        <f aca="false">INDEX(Inputs_Banks!$AR14:$AX14,1,G255+1)</f>
        <v>0.5568</v>
      </c>
      <c r="M255" s="35" t="n">
        <f aca="false">Inputs_Banks!$AI14*MIN(1,p_u_base+$CD$250*p_u_pan_all+J255*($CD$250*p_u_pan_weak+p_u_mda*D255)+p_u_notch*G255+p_u_fail*E255)</f>
        <v>177.002</v>
      </c>
      <c r="N255" s="35" t="n">
        <f aca="false">Inputs_Banks!$AK14*MIN(1,p_w_base+p_w_pan*$CD$250+p_w_notch*G255+0.5*D255+1*E255)</f>
        <v>3.414</v>
      </c>
      <c r="O255" s="35" t="n">
        <f aca="false">Inputs_Banks!$AO14*MIN(1,p_cp_base+p_cp_pan*$CD$250+p_cp_notch*G255)</f>
        <v>5.98</v>
      </c>
      <c r="P255" s="35" t="n">
        <f aca="false">Inputs_Banks!$AN14*(p_dh+p_dh_pan*$CD$250+MIN(1,0.5*$CD$257+0.25*G255))</f>
        <v>0.8013915</v>
      </c>
      <c r="Q255" s="35" t="n">
        <f aca="false">Modules!$Y14</f>
        <v>19.9439417</v>
      </c>
      <c r="R255" s="35" t="n">
        <f aca="false">Inputs_Banks!$AJ14*K255</f>
        <v>0</v>
      </c>
      <c r="S255" s="35" t="n">
        <f aca="false">p_liq_on*$CD$258*SUM($M$247:$M$270)*R255/MAX(0.000000001,SUM($R$247:$R$270))</f>
        <v>0</v>
      </c>
      <c r="T255" s="35" t="n">
        <f aca="false">p_liq_on*(L255+M255+N255+O255+P255+Q255)</f>
        <v>207.6981332</v>
      </c>
      <c r="U255" s="35" t="n">
        <f aca="false">g_usable*Inputs_Banks!$AG14+p_cb_on*Inputs_Banks!$AQ14+S255</f>
        <v>133.1275</v>
      </c>
      <c r="V255" s="35" t="n">
        <f aca="false">MAX(0,T255-U255)</f>
        <v>74.5706332</v>
      </c>
      <c r="W255" s="44" t="n">
        <f aca="false">IF(V255&gt;0.9*Inputs_Banks!$BB14,1,0)</f>
        <v>1</v>
      </c>
      <c r="X255" s="43" t="n">
        <f aca="false">MAX(p_htm_forced,(1-p_cb_on)*MIN(1,T255/Inputs_Banks!$AG14)*g_theta_sell)</f>
        <v>0.25</v>
      </c>
      <c r="Y255" s="35" t="n">
        <f aca="false">MAX(0,Modules!$V14-B255/(Inputs_Banks!$I14+g_del_buf))</f>
        <v>368.540961423776</v>
      </c>
      <c r="Z255" s="35" t="n">
        <f aca="false">MIN(g_del_cap*Inputs_Banks!$BB14,Y255)</f>
        <v>1.1025</v>
      </c>
      <c r="AA255" s="35" t="n">
        <f aca="false">MIN(Inputs_Banks!$BB14,V255+Z255)</f>
        <v>4.41</v>
      </c>
      <c r="AB255" s="35" t="n">
        <f aca="false">$AA255*Holdings!Q14</f>
        <v>0</v>
      </c>
      <c r="AC255" s="35" t="n">
        <f aca="false">$AA255*Holdings!R14</f>
        <v>0</v>
      </c>
      <c r="AD255" s="35" t="n">
        <f aca="false">$AA255*Holdings!S14</f>
        <v>0</v>
      </c>
      <c r="AE255" s="35" t="n">
        <f aca="false">$AA255*Holdings!T14</f>
        <v>0.34</v>
      </c>
      <c r="AF255" s="35" t="n">
        <f aca="false">$AA255*Holdings!U14</f>
        <v>0</v>
      </c>
      <c r="AG255" s="35" t="n">
        <f aca="false">$AA255*Holdings!V14</f>
        <v>0</v>
      </c>
      <c r="AH255" s="35" t="n">
        <f aca="false">$AA255*Holdings!W14</f>
        <v>0.17</v>
      </c>
      <c r="AI255" s="35" t="n">
        <f aca="false">$AA255*Holdings!X14</f>
        <v>0</v>
      </c>
      <c r="AJ255" s="35" t="n">
        <f aca="false">$AA255*Holdings!Y14</f>
        <v>1.28</v>
      </c>
      <c r="AK255" s="35" t="n">
        <f aca="false">$AA255*Holdings!Z14</f>
        <v>0</v>
      </c>
      <c r="AL255" s="35" t="n">
        <f aca="false">$AA255*Holdings!AA14</f>
        <v>0</v>
      </c>
      <c r="AM255" s="35" t="n">
        <f aca="false">$AA255*Holdings!AB14</f>
        <v>0</v>
      </c>
      <c r="AN255" s="35" t="n">
        <f aca="false">$AA255*Holdings!AC14</f>
        <v>2.62</v>
      </c>
      <c r="AO255" s="43" t="n">
        <f aca="false">MIN(1,$CD$257+0.5*G255)</f>
        <v>1</v>
      </c>
      <c r="AP255" s="35" t="n">
        <f aca="false">p_liq_on*Inputs_Banks!$AP14*AO255*p_mb_psi</f>
        <v>0.03</v>
      </c>
      <c r="AQ255" s="44" t="n">
        <f aca="false">MAX(F255,E255,W255*(1-p_cb_on))</f>
        <v>1</v>
      </c>
      <c r="AR255" s="35" t="n">
        <f aca="false">p_ib_on*p_lgd_ib*g_s_in*g_u_ib*SUMPRODUCT(Network!K$6:K$29,$AQ$247:$AQ$270)</f>
        <v>0.4977941331784</v>
      </c>
      <c r="AS255" s="35" t="n">
        <f aca="false">p_sw_M1*(SUMPRODUCT(BDC_EAD!K$106:K$127,$BF$247:$BF$268)+SUMPRODUCT(BDC_EAD!K$131:K$152,$BG$247:$BG$268)+(Inputs_Banks!$Y14+p_ccf_bl*Inputs_Banks!$Z14)*$CD$270+Modules!$E14)</f>
        <v>29.6250912216605</v>
      </c>
      <c r="AT255" s="35" t="n">
        <f aca="false">p_sw_M3*(Inputs_Banks!$U14+p_ccf_abf*Inputs_Banks!$V14)*$CD$271</f>
        <v>0</v>
      </c>
      <c r="AU255" s="35" t="n">
        <f aca="false">p_sw_M10*Inputs_Banks!$AC14*$CD$272</f>
        <v>0</v>
      </c>
      <c r="AV255" s="35" t="n">
        <f aca="false">p_sw_M8*(Modules!$M14+Modules!$N14*IF(p_liq_on&gt;0,X255,p_htm_forced))</f>
        <v>4.33808375</v>
      </c>
      <c r="AW255" s="35" t="n">
        <f aca="false">SUMPRODUCT(Holdings!$C14:$O14,Holdings!$C$32:$O$32,$AB$272:$AN$272)+Inputs_Banks!$P14*$AL$272</f>
        <v>0.41912800194433</v>
      </c>
      <c r="AX255" s="35" t="n">
        <f aca="false">Modules!$T14+AS255+AT255+AU255+AV255+AW255+AR255</f>
        <v>38.9647721067832</v>
      </c>
      <c r="AY255" s="35" t="n">
        <f aca="false">Modules!$U14-(1-p_tax)*AX255</f>
        <v>7.3352278932168</v>
      </c>
      <c r="AZ255" s="39" t="n">
        <f aca="false">AY255/Modules!$V14</f>
        <v>0.0157292211183521</v>
      </c>
      <c r="BA255" s="48" t="s">
        <v>644</v>
      </c>
      <c r="BB255" s="43" t="n">
        <f aca="false">INDEX($BJ$247:$BJ$280,BDC_EAD!$B14)</f>
        <v>0.440432081141748</v>
      </c>
      <c r="BC255" s="43" t="n">
        <f aca="false">INDEX($BK$247:$BK$280,BDC_EAD!$B14)</f>
        <v>0.0593587763915524</v>
      </c>
      <c r="BD255" s="22" t="n">
        <f aca="false">INDEX(BDC!$Q$6:$Q$39,BDC_EAD!$B14)</f>
        <v>0.198013452914798</v>
      </c>
      <c r="BE255" s="43" t="n">
        <f aca="false">BB255*(1-$AK$272)-BC255-p_c_liq</f>
        <v>0.132878868236409</v>
      </c>
      <c r="BF255" s="43" t="n">
        <f aca="false">p_phi*MAX(0,p_a_spv-BE255)/p_a_spv+(1-p_phi)*MAX(0,p_a_spv-BB255)/p_a_spv</f>
        <v>0.722300698832176</v>
      </c>
      <c r="BG255" s="43" t="n">
        <f aca="false">IF(BD255&gt;0,p_phi*MAX(0,BD255-BE255)/BD255+(1-p_phi)*MAX(0,BD255-BB255)/BD255,0)</f>
        <v>0.26315215949056</v>
      </c>
      <c r="BI255" s="12" t="str">
        <f aca="false">BDC!$A$14</f>
        <v>OTF</v>
      </c>
      <c r="BJ255" s="43" t="n">
        <f aca="false">1-((1-BDC!$D$14)*$CD$263+BDC!$D$14*$CD$264)-p_gap-$CD$253*(1-BDC!$M$14)</f>
        <v>0.261914595446638</v>
      </c>
      <c r="BK255" s="43" t="n">
        <f aca="false">(1-BDC!$D$14)*$CD$265+BDC!$D$14*$CD$266</f>
        <v>0.0568250746624368</v>
      </c>
      <c r="BL255" s="45" t="n">
        <f aca="false">BJ255/BDC!$K$14</f>
        <v>0.537614169600993</v>
      </c>
      <c r="BM255" s="35" t="n">
        <f aca="false">IF(BL255&lt;1.5,BDC!$C$14,0)</f>
        <v>14.68</v>
      </c>
      <c r="BN255" s="43" t="n">
        <f aca="false">MAX(0,1-BJ255*(1-CE_mig_hc)-p_bb_cush)*BDC!$Q$14</f>
        <v>0.230311529202363</v>
      </c>
      <c r="BO255" s="43" t="n">
        <f aca="false">MAX(0,BDC!$K$14-BJ255/1.5)</f>
        <v>0.312569756881729</v>
      </c>
      <c r="BP255" s="43" t="n">
        <f aca="false">MIN(MIN(1,BDC!$H$14*$CD$256),$CD$255)</f>
        <v>0</v>
      </c>
      <c r="BQ255" s="43" t="n">
        <f aca="false">BDC!$I$14*BDC!$J$14*BP255*(1-0.3)</f>
        <v>0</v>
      </c>
      <c r="BR255" s="45" t="n">
        <f aca="false">BDC!$C$14*($CD$254*MAX(BN255,BO255)+BQ255)</f>
        <v>4.58852403102378</v>
      </c>
      <c r="CC255" s="10" t="s">
        <v>981</v>
      </c>
      <c r="CD255" s="43" t="n">
        <f aca="false">p_red_rate+p_red_pan*$CD$250</f>
        <v>0.25</v>
      </c>
    </row>
    <row r="256" customFormat="false" ht="15" hidden="false" customHeight="true" outlineLevel="0" collapsed="false">
      <c r="A256" s="10" t="s">
        <v>514</v>
      </c>
      <c r="B256" s="35" t="n">
        <f aca="false">AY216</f>
        <v>-17.14502991394</v>
      </c>
      <c r="C256" s="39" t="n">
        <f aca="false">AZ216</f>
        <v>-0.112909158592408</v>
      </c>
      <c r="D256" s="44" t="n">
        <f aca="false">IF(C256&lt;Inputs_Banks!$I15,1,0)</f>
        <v>1</v>
      </c>
      <c r="E256" s="44" t="n">
        <f aca="false">IF(C256&lt;0.045,1,0)</f>
        <v>1</v>
      </c>
      <c r="F256" s="44" t="n">
        <f aca="false">IF(B256&lt;0,1,0)</f>
        <v>1</v>
      </c>
      <c r="G256" s="44" t="n">
        <f aca="false">MIN(6,MIN(3,INT(MAX(0,Inputs_Banks!$BA15-C256)/p_notch_step))+D256+2*E256)</f>
        <v>6</v>
      </c>
      <c r="H256" s="39" t="n">
        <f aca="false">C256-Inputs_Banks!$I15</f>
        <v>-0.192909158592408</v>
      </c>
      <c r="I256" s="44" t="n">
        <f aca="false">RANK(H256,$H$247:$H$270,1)</f>
        <v>1</v>
      </c>
      <c r="J256" s="44" t="n">
        <f aca="false">MAX(IF(I256&lt;=g_n_weak,1,0),E256)</f>
        <v>1</v>
      </c>
      <c r="K256" s="44" t="n">
        <f aca="false">IF(I256&gt;12,1,0)*(1-E256)</f>
        <v>0</v>
      </c>
      <c r="L256" s="35" t="n">
        <f aca="false">INDEX(Inputs_Banks!$AR15:$AX15,1,G256+1)</f>
        <v>1.65</v>
      </c>
      <c r="M256" s="35" t="n">
        <f aca="false">Inputs_Banks!$AI15*MIN(1,p_u_base+$CD$250*p_u_pan_all+J256*($CD$250*p_u_pan_weak+p_u_mda*D256)+p_u_notch*G256+p_u_fail*E256)</f>
        <v>232.74682</v>
      </c>
      <c r="N256" s="35" t="n">
        <f aca="false">Inputs_Banks!$AK15*MIN(1,p_w_base+p_w_pan*$CD$250+p_w_notch*G256+0.5*D256+1*E256)</f>
        <v>4.372</v>
      </c>
      <c r="O256" s="35" t="n">
        <f aca="false">Inputs_Banks!$AO15*MIN(1,p_cp_base+p_cp_pan*$CD$250+p_cp_notch*G256)</f>
        <v>0</v>
      </c>
      <c r="P256" s="35" t="n">
        <f aca="false">Inputs_Banks!$AN15*(p_dh+p_dh_pan*$CD$250+MIN(1,0.5*$CD$257+0.25*G256))</f>
        <v>0.076848062953995</v>
      </c>
      <c r="Q256" s="35" t="n">
        <f aca="false">Modules!$Y15</f>
        <v>9.3479398</v>
      </c>
      <c r="R256" s="35" t="n">
        <f aca="false">Inputs_Banks!$AJ15*K256</f>
        <v>0</v>
      </c>
      <c r="S256" s="35" t="n">
        <f aca="false">p_liq_on*$CD$258*SUM($M$247:$M$270)*R256/MAX(0.000000001,SUM($R$247:$R$270))</f>
        <v>0</v>
      </c>
      <c r="T256" s="35" t="n">
        <f aca="false">p_liq_on*(L256+M256+N256+O256+P256+Q256)</f>
        <v>248.193607862954</v>
      </c>
      <c r="U256" s="35" t="n">
        <f aca="false">g_usable*Inputs_Banks!$AG15+p_cb_on*Inputs_Banks!$AQ15+S256</f>
        <v>131.22555</v>
      </c>
      <c r="V256" s="35" t="n">
        <f aca="false">MAX(0,T256-U256)</f>
        <v>116.968057862954</v>
      </c>
      <c r="W256" s="44" t="n">
        <f aca="false">IF(V256&gt;0.9*Inputs_Banks!$BB15,1,0)</f>
        <v>1</v>
      </c>
      <c r="X256" s="43" t="n">
        <f aca="false">MAX(p_htm_forced,(1-p_cb_on)*MIN(1,T256/Inputs_Banks!$AG15)*g_theta_sell)</f>
        <v>0.25</v>
      </c>
      <c r="Y256" s="35" t="n">
        <f aca="false">MAX(0,Modules!$V15-B256/(Inputs_Banks!$I15+g_del_buf))</f>
        <v>353.554234281647</v>
      </c>
      <c r="Z256" s="35" t="n">
        <f aca="false">MIN(g_del_cap*Inputs_Banks!$BB15,Y256)</f>
        <v>4.0175</v>
      </c>
      <c r="AA256" s="35" t="n">
        <f aca="false">MIN(Inputs_Banks!$BB15,V256+Z256)</f>
        <v>16.07</v>
      </c>
      <c r="AB256" s="35" t="n">
        <f aca="false">$AA256*Holdings!Q15</f>
        <v>0</v>
      </c>
      <c r="AC256" s="35" t="n">
        <f aca="false">$AA256*Holdings!R15</f>
        <v>0</v>
      </c>
      <c r="AD256" s="35" t="n">
        <f aca="false">$AA256*Holdings!S15</f>
        <v>0</v>
      </c>
      <c r="AE256" s="35" t="n">
        <f aca="false">$AA256*Holdings!T15</f>
        <v>0.03</v>
      </c>
      <c r="AF256" s="35" t="n">
        <f aca="false">$AA256*Holdings!U15</f>
        <v>0.12</v>
      </c>
      <c r="AG256" s="35" t="n">
        <f aca="false">$AA256*Holdings!V15</f>
        <v>0</v>
      </c>
      <c r="AH256" s="35" t="n">
        <f aca="false">$AA256*Holdings!W15</f>
        <v>0</v>
      </c>
      <c r="AI256" s="35" t="n">
        <f aca="false">$AA256*Holdings!X15</f>
        <v>4.01</v>
      </c>
      <c r="AJ256" s="35" t="n">
        <f aca="false">$AA256*Holdings!Y15</f>
        <v>11.79</v>
      </c>
      <c r="AK256" s="35" t="n">
        <f aca="false">$AA256*Holdings!Z15</f>
        <v>0</v>
      </c>
      <c r="AL256" s="35" t="n">
        <f aca="false">$AA256*Holdings!AA15</f>
        <v>0</v>
      </c>
      <c r="AM256" s="35" t="n">
        <f aca="false">$AA256*Holdings!AB15</f>
        <v>0</v>
      </c>
      <c r="AN256" s="35" t="n">
        <f aca="false">$AA256*Holdings!AC15</f>
        <v>0.12</v>
      </c>
      <c r="AO256" s="43" t="n">
        <f aca="false">MIN(1,$CD$257+0.5*G256)</f>
        <v>1</v>
      </c>
      <c r="AP256" s="35" t="n">
        <f aca="false">p_liq_on*Inputs_Banks!$AP15*AO256*p_mb_psi</f>
        <v>0</v>
      </c>
      <c r="AQ256" s="44" t="n">
        <f aca="false">MAX(F256,E256,W256*(1-p_cb_on))</f>
        <v>1</v>
      </c>
      <c r="AR256" s="35" t="n">
        <f aca="false">p_ib_on*p_lgd_ib*g_s_in*g_u_ib*SUMPRODUCT(Network!L$6:L$29,$AQ$247:$AQ$270)</f>
        <v>2.98883625010824</v>
      </c>
      <c r="AS256" s="35" t="n">
        <f aca="false">p_sw_M1*(SUMPRODUCT(BDC_EAD!L$106:L$127,$BF$247:$BF$268)+SUMPRODUCT(BDC_EAD!L$131:L$152,$BG$247:$BG$268)+(Inputs_Banks!$Y15+p_ccf_bl*Inputs_Banks!$Z15)*$CD$270+Modules!$E15)</f>
        <v>21.1544650700422</v>
      </c>
      <c r="AT256" s="35" t="n">
        <f aca="false">p_sw_M3*(Inputs_Banks!$U15+p_ccf_abf*Inputs_Banks!$V15)*$CD$271</f>
        <v>0</v>
      </c>
      <c r="AU256" s="35" t="n">
        <f aca="false">p_sw_M10*Inputs_Banks!$AC15*$CD$272</f>
        <v>0</v>
      </c>
      <c r="AV256" s="35" t="n">
        <f aca="false">p_sw_M8*(Modules!$M15+Modules!$N15*IF(p_liq_on&gt;0,X256,p_htm_forced))</f>
        <v>3.383275</v>
      </c>
      <c r="AW256" s="35" t="n">
        <f aca="false">SUMPRODUCT(Holdings!$C15:$O15,Holdings!$C$32:$O$32,$AB$272:$AN$272)+Inputs_Banks!$P15*$AL$272</f>
        <v>2.55458359378958</v>
      </c>
      <c r="AX256" s="35" t="n">
        <f aca="false">Modules!$T15+AS256+AT256+AU256+AV256+AW256+AR256</f>
        <v>32.54502991394</v>
      </c>
      <c r="AY256" s="35" t="n">
        <f aca="false">Modules!$U15-(1-p_tax)*AX256</f>
        <v>-17.14502991394</v>
      </c>
      <c r="AZ256" s="39" t="n">
        <f aca="false">AY256/Modules!$V15</f>
        <v>-0.112909158592408</v>
      </c>
      <c r="BA256" s="48" t="s">
        <v>654</v>
      </c>
      <c r="BB256" s="43" t="n">
        <f aca="false">INDEX($BJ$247:$BJ$280,BDC_EAD!$B15)</f>
        <v>0.402673902876419</v>
      </c>
      <c r="BC256" s="43" t="n">
        <f aca="false">INDEX($BK$247:$BK$280,BDC_EAD!$B15)</f>
        <v>0.0617434368424848</v>
      </c>
      <c r="BD256" s="22" t="n">
        <f aca="false">INDEX(BDC!$Q$6:$Q$39,BDC_EAD!$B15)</f>
        <v>0.211491525423729</v>
      </c>
      <c r="BE256" s="43" t="n">
        <f aca="false">BB256*(1-$AK$272)-BC256-p_c_liq</f>
        <v>0.109727209739546</v>
      </c>
      <c r="BF256" s="43" t="n">
        <f aca="false">p_phi*MAX(0,p_a_spv-BE256)/p_a_spv+(1-p_phi)*MAX(0,p_a_spv-BB256)/p_a_spv</f>
        <v>0.759547788047257</v>
      </c>
      <c r="BG256" s="43" t="n">
        <f aca="false">IF(BD256&gt;0,p_phi*MAX(0,BD256-BE256)/BD256+(1-p_phi)*MAX(0,BD256-BB256)/BD256,0)</f>
        <v>0.384939549630826</v>
      </c>
      <c r="BI256" s="12" t="str">
        <f aca="false">BDC!$A$15</f>
        <v>BXSL</v>
      </c>
      <c r="BJ256" s="43" t="n">
        <f aca="false">1-((1-BDC!$D$15)*$CD$263+BDC!$D$15*$CD$264)-p_gap-$CD$253*(1-BDC!$M$15)</f>
        <v>0.48930871061707</v>
      </c>
      <c r="BK256" s="43" t="n">
        <f aca="false">(1-BDC!$D$15)*$CD$265+BDC!$D$15*$CD$266</f>
        <v>0.0620042590793056</v>
      </c>
      <c r="BL256" s="45" t="n">
        <f aca="false">BJ256/BDC!$K$15</f>
        <v>0.874591159921849</v>
      </c>
      <c r="BM256" s="35" t="n">
        <f aca="false">IF(BL256&lt;1.5,BDC!$C$15,0)</f>
        <v>13.36</v>
      </c>
      <c r="BN256" s="43" t="n">
        <f aca="false">MAX(0,1-BJ256*(1-CE_mig_hc)-p_bb_cush)*BDC!$Q$15</f>
        <v>0.0982736463037332</v>
      </c>
      <c r="BO256" s="43" t="n">
        <f aca="false">MAX(0,BDC!$K$15-BJ256/1.5)</f>
        <v>0.23326555856072</v>
      </c>
      <c r="BP256" s="43" t="n">
        <f aca="false">MIN(MIN(1,BDC!$H$15*$CD$256),$CD$255)</f>
        <v>0</v>
      </c>
      <c r="BQ256" s="43" t="n">
        <f aca="false">BDC!$I$15*BDC!$J$15*BP256*(1-0.3)</f>
        <v>0</v>
      </c>
      <c r="BR256" s="45" t="n">
        <f aca="false">BDC!$C$15*($CD$254*MAX(BN256,BO256)+BQ256)</f>
        <v>3.11642786237122</v>
      </c>
      <c r="CC256" s="10" t="s">
        <v>982</v>
      </c>
      <c r="CD256" s="45" t="n">
        <f aca="false">1+p_req_pan*$CD$250</f>
        <v>3</v>
      </c>
    </row>
    <row r="257" customFormat="false" ht="15" hidden="false" customHeight="true" outlineLevel="0" collapsed="false">
      <c r="A257" s="10" t="s">
        <v>516</v>
      </c>
      <c r="B257" s="35" t="n">
        <f aca="false">AY217</f>
        <v>6.93301753118636</v>
      </c>
      <c r="C257" s="39" t="n">
        <f aca="false">AZ217</f>
        <v>0.0334695551461126</v>
      </c>
      <c r="D257" s="44" t="n">
        <f aca="false">IF(C257&lt;Inputs_Banks!$I16,1,0)</f>
        <v>1</v>
      </c>
      <c r="E257" s="44" t="n">
        <f aca="false">IF(C257&lt;0.045,1,0)</f>
        <v>1</v>
      </c>
      <c r="F257" s="44" t="n">
        <f aca="false">IF(B257&lt;0,1,0)</f>
        <v>0</v>
      </c>
      <c r="G257" s="44" t="n">
        <f aca="false">MIN(6,MIN(3,INT(MAX(0,Inputs_Banks!$BA16-C257)/p_notch_step))+D257+2*E257)</f>
        <v>6</v>
      </c>
      <c r="H257" s="39" t="n">
        <f aca="false">C257-Inputs_Banks!$I16</f>
        <v>-0.0515304448538874</v>
      </c>
      <c r="I257" s="44" t="n">
        <f aca="false">RANK(H257,$H$247:$H$270,1)</f>
        <v>16</v>
      </c>
      <c r="J257" s="44" t="n">
        <f aca="false">MAX(IF(I257&lt;=g_n_weak,1,0),E257)</f>
        <v>1</v>
      </c>
      <c r="K257" s="44" t="n">
        <f aca="false">IF(I257&gt;12,1,0)*(1-E257)</f>
        <v>0</v>
      </c>
      <c r="L257" s="35" t="n">
        <f aca="false">INDEX(Inputs_Banks!$AR16:$AX16,1,G257+1)</f>
        <v>0.099</v>
      </c>
      <c r="M257" s="35" t="n">
        <f aca="false">Inputs_Banks!$AI16*MIN(1,p_u_base+$CD$250*p_u_pan_all+J257*($CD$250*p_u_pan_weak+p_u_mda*D257)+p_u_notch*G257+p_u_fail*E257)</f>
        <v>238.80042</v>
      </c>
      <c r="N257" s="35" t="n">
        <f aca="false">Inputs_Banks!$AK16*MIN(1,p_w_base+p_w_pan*$CD$250+p_w_notch*G257+0.5*D257+1*E257)</f>
        <v>5.217</v>
      </c>
      <c r="O257" s="35" t="n">
        <f aca="false">Inputs_Banks!$AO16*MIN(1,p_cp_base+p_cp_pan*$CD$250+p_cp_notch*G257)</f>
        <v>0</v>
      </c>
      <c r="P257" s="35" t="n">
        <f aca="false">Inputs_Banks!$AN16*(p_dh+p_dh_pan*$CD$250+MIN(1,0.5*$CD$257+0.25*G257))</f>
        <v>5.66399469476295</v>
      </c>
      <c r="Q257" s="35" t="n">
        <f aca="false">Modules!$Y16</f>
        <v>2.4536497</v>
      </c>
      <c r="R257" s="35" t="n">
        <f aca="false">Inputs_Banks!$AJ16*K257</f>
        <v>0</v>
      </c>
      <c r="S257" s="35" t="n">
        <f aca="false">p_liq_on*$CD$258*SUM($M$247:$M$270)*R257/MAX(0.000000001,SUM($R$247:$R$270))</f>
        <v>0</v>
      </c>
      <c r="T257" s="35" t="n">
        <f aca="false">p_liq_on*(L257+M257+N257+O257+P257+Q257)</f>
        <v>252.234064394763</v>
      </c>
      <c r="U257" s="35" t="n">
        <f aca="false">g_usable*Inputs_Banks!$AG16+p_cb_on*Inputs_Banks!$AQ16+S257</f>
        <v>166.7</v>
      </c>
      <c r="V257" s="35" t="n">
        <f aca="false">MAX(0,T257-U257)</f>
        <v>85.534064394763</v>
      </c>
      <c r="W257" s="44" t="n">
        <f aca="false">IF(V257&gt;0.9*Inputs_Banks!$BB16,1,0)</f>
        <v>1</v>
      </c>
      <c r="X257" s="43" t="n">
        <f aca="false">MAX(p_htm_forced,(1-p_cb_on)*MIN(1,T257/Inputs_Banks!$AG16)*g_theta_sell)</f>
        <v>0.25</v>
      </c>
      <c r="Y257" s="35" t="n">
        <f aca="false">MAX(0,Modules!$V16-B257/(Inputs_Banks!$I16+g_del_buf))</f>
        <v>130.110471875707</v>
      </c>
      <c r="Z257" s="35" t="n">
        <f aca="false">MIN(g_del_cap*Inputs_Banks!$BB16,Y257)</f>
        <v>6.73</v>
      </c>
      <c r="AA257" s="35" t="n">
        <f aca="false">MIN(Inputs_Banks!$BB16,V257+Z257)</f>
        <v>26.92</v>
      </c>
      <c r="AB257" s="35" t="n">
        <f aca="false">$AA257*Holdings!Q16</f>
        <v>0</v>
      </c>
      <c r="AC257" s="35" t="n">
        <f aca="false">$AA257*Holdings!R16</f>
        <v>0</v>
      </c>
      <c r="AD257" s="35" t="n">
        <f aca="false">$AA257*Holdings!S16</f>
        <v>0</v>
      </c>
      <c r="AE257" s="35" t="n">
        <f aca="false">$AA257*Holdings!T16</f>
        <v>0.01</v>
      </c>
      <c r="AF257" s="35" t="n">
        <f aca="false">$AA257*Holdings!U16</f>
        <v>8.57</v>
      </c>
      <c r="AG257" s="35" t="n">
        <f aca="false">$AA257*Holdings!V16</f>
        <v>0</v>
      </c>
      <c r="AH257" s="35" t="n">
        <f aca="false">$AA257*Holdings!W16</f>
        <v>0</v>
      </c>
      <c r="AI257" s="35" t="n">
        <f aca="false">$AA257*Holdings!X16</f>
        <v>8.85</v>
      </c>
      <c r="AJ257" s="35" t="n">
        <f aca="false">$AA257*Holdings!Y16</f>
        <v>3.8</v>
      </c>
      <c r="AK257" s="35" t="n">
        <f aca="false">$AA257*Holdings!Z16</f>
        <v>0</v>
      </c>
      <c r="AL257" s="35" t="n">
        <f aca="false">$AA257*Holdings!AA16</f>
        <v>0</v>
      </c>
      <c r="AM257" s="35" t="n">
        <f aca="false">$AA257*Holdings!AB16</f>
        <v>0</v>
      </c>
      <c r="AN257" s="35" t="n">
        <f aca="false">$AA257*Holdings!AC16</f>
        <v>5.69</v>
      </c>
      <c r="AO257" s="43" t="n">
        <f aca="false">MIN(1,$CD$257+0.5*G257)</f>
        <v>1</v>
      </c>
      <c r="AP257" s="35" t="n">
        <f aca="false">p_liq_on*Inputs_Banks!$AP16*AO257*p_mb_psi</f>
        <v>0.42</v>
      </c>
      <c r="AQ257" s="44" t="n">
        <f aca="false">MAX(F257,E257,W257*(1-p_cb_on))</f>
        <v>1</v>
      </c>
      <c r="AR257" s="35" t="n">
        <f aca="false">p_ib_on*p_lgd_ib*g_s_in*g_u_ib*SUMPRODUCT(Network!M$6:M$29,$AQ$247:$AQ$270)</f>
        <v>2.72751307306586</v>
      </c>
      <c r="AS257" s="35" t="n">
        <f aca="false">p_sw_M1*(SUMPRODUCT(BDC_EAD!M$106:M$127,$BF$247:$BF$268)+SUMPRODUCT(BDC_EAD!M$131:M$152,$BG$247:$BG$268)+(Inputs_Banks!$Y16+p_ccf_bl*Inputs_Banks!$Z16)*$CD$270+Modules!$E16)</f>
        <v>0.407121874997196</v>
      </c>
      <c r="AT257" s="35" t="n">
        <f aca="false">p_sw_M3*(Inputs_Banks!$U16+p_ccf_abf*Inputs_Banks!$V16)*$CD$271</f>
        <v>0</v>
      </c>
      <c r="AU257" s="35" t="n">
        <f aca="false">p_sw_M10*Inputs_Banks!$AC16*$CD$272</f>
        <v>0</v>
      </c>
      <c r="AV257" s="35" t="n">
        <f aca="false">p_sw_M8*(Modules!$M16+Modules!$N16*IF(p_liq_on&gt;0,X257,p_htm_forced))</f>
        <v>4.143335</v>
      </c>
      <c r="AW257" s="35" t="n">
        <f aca="false">SUMPRODUCT(Holdings!$C16:$O16,Holdings!$C$32:$O$32,$AB$272:$AN$272)+Inputs_Banks!$P16*$AL$272</f>
        <v>3.32048302075058</v>
      </c>
      <c r="AX257" s="35" t="n">
        <f aca="false">Modules!$T16+AS257+AT257+AU257+AV257+AW257+AR257</f>
        <v>14.0669824688136</v>
      </c>
      <c r="AY257" s="35" t="n">
        <f aca="false">Modules!$U16-(1-p_tax)*AX257</f>
        <v>6.93301753118636</v>
      </c>
      <c r="AZ257" s="39" t="n">
        <f aca="false">AY257/Modules!$V16</f>
        <v>0.0334695551461126</v>
      </c>
      <c r="BA257" s="48" t="s">
        <v>635</v>
      </c>
      <c r="BB257" s="43" t="n">
        <f aca="false">INDEX($BJ$247:$BJ$280,BDC_EAD!$B16)</f>
        <v>0.412682242137413</v>
      </c>
      <c r="BC257" s="43" t="n">
        <f aca="false">INDEX($BK$247:$BK$280,BDC_EAD!$B16)</f>
        <v>0.0624886432334012</v>
      </c>
      <c r="BD257" s="22" t="n">
        <f aca="false">INDEX(BDC!$Q$6:$Q$39,BDC_EAD!$B16)</f>
        <v>0.274</v>
      </c>
      <c r="BE257" s="43" t="n">
        <f aca="false">BB257*(1-$AK$272)-BC257-p_c_liq</f>
        <v>0.114486589942176</v>
      </c>
      <c r="BF257" s="43" t="n">
        <f aca="false">p_phi*MAX(0,p_a_spv-BE257)/p_a_spv+(1-p_phi)*MAX(0,p_a_spv-BB257)/p_a_spv</f>
        <v>0.751248970883967</v>
      </c>
      <c r="BG257" s="43" t="n">
        <f aca="false">IF(BD257&gt;0,p_phi*MAX(0,BD257-BE257)/BD257+(1-p_phi)*MAX(0,BD257-BB257)/BD257,0)</f>
        <v>0.465732584110435</v>
      </c>
      <c r="BI257" s="12" t="str">
        <f aca="false">BDC!$A$16</f>
        <v>FSK</v>
      </c>
      <c r="BJ257" s="43" t="n">
        <f aca="false">1-((1-BDC!$D$16)*$CD$263+BDC!$D$16*$CD$264)-p_gap-$CD$253*(1-BDC!$M$16)</f>
        <v>0.329896338848212</v>
      </c>
      <c r="BK257" s="43" t="n">
        <f aca="false">(1-BDC!$D$16)*$CD$265+BDC!$D$16*$CD$266</f>
        <v>0.0624513829138554</v>
      </c>
      <c r="BL257" s="45" t="n">
        <f aca="false">BJ257/BDC!$K$16</f>
        <v>0.591718829997586</v>
      </c>
      <c r="BM257" s="35" t="n">
        <f aca="false">IF(BL257&lt;1.5,BDC!$C$16,0)</f>
        <v>11.42</v>
      </c>
      <c r="BN257" s="43" t="n">
        <f aca="false">MAX(0,1-BJ257*(1-CE_mig_hc)-p_bb_cush)*BDC!$Q$16</f>
        <v>0.113991293243687</v>
      </c>
      <c r="BO257" s="43" t="n">
        <f aca="false">MAX(0,BDC!$K$16-BJ257/1.5)</f>
        <v>0.337591231328331</v>
      </c>
      <c r="BP257" s="43" t="n">
        <f aca="false">MIN(MIN(1,BDC!$H$16*$CD$256),$CD$255)</f>
        <v>0</v>
      </c>
      <c r="BQ257" s="43" t="n">
        <f aca="false">BDC!$I$16*BDC!$J$16*BP257*(1-0.3)</f>
        <v>0</v>
      </c>
      <c r="BR257" s="45" t="n">
        <f aca="false">BDC!$C$16*($CD$254*MAX(BN257,BO257)+BQ257)</f>
        <v>3.85529186176954</v>
      </c>
      <c r="CC257" s="10" t="s">
        <v>983</v>
      </c>
      <c r="CD257" s="43" t="n">
        <f aca="false">p_pull_base+p_pull_pan*$CD$250</f>
        <v>1.25</v>
      </c>
    </row>
    <row r="258" customFormat="false" ht="15" hidden="false" customHeight="true" outlineLevel="0" collapsed="false">
      <c r="A258" s="10" t="s">
        <v>518</v>
      </c>
      <c r="B258" s="35" t="n">
        <f aca="false">AY218</f>
        <v>11.8616115947604</v>
      </c>
      <c r="C258" s="39" t="n">
        <f aca="false">AZ218</f>
        <v>0.0594960655409115</v>
      </c>
      <c r="D258" s="44" t="n">
        <f aca="false">IF(C258&lt;Inputs_Banks!$I17,1,0)</f>
        <v>1</v>
      </c>
      <c r="E258" s="44" t="n">
        <f aca="false">IF(C258&lt;0.045,1,0)</f>
        <v>0</v>
      </c>
      <c r="F258" s="44" t="n">
        <f aca="false">IF(B258&lt;0,1,0)</f>
        <v>0</v>
      </c>
      <c r="G258" s="44" t="n">
        <f aca="false">MIN(6,MIN(3,INT(MAX(0,Inputs_Banks!$BA17-C258)/p_notch_step))+D258+2*E258)</f>
        <v>2</v>
      </c>
      <c r="H258" s="39" t="n">
        <f aca="false">C258-Inputs_Banks!$I17</f>
        <v>-0.0105039344590885</v>
      </c>
      <c r="I258" s="44" t="n">
        <f aca="false">RANK(H258,$H$247:$H$270,1)</f>
        <v>24</v>
      </c>
      <c r="J258" s="44" t="n">
        <f aca="false">MAX(IF(I258&lt;=g_n_weak,1,0),E258)</f>
        <v>0</v>
      </c>
      <c r="K258" s="44" t="n">
        <f aca="false">IF(I258&gt;12,1,0)*(1-E258)</f>
        <v>1</v>
      </c>
      <c r="L258" s="35" t="n">
        <f aca="false">INDEX(Inputs_Banks!$AR17:$AX17,1,G258+1)</f>
        <v>0.11828</v>
      </c>
      <c r="M258" s="35" t="n">
        <f aca="false">Inputs_Banks!$AI17*MIN(1,p_u_base+$CD$250*p_u_pan_all+J258*($CD$250*p_u_pan_weak+p_u_mda*D258)+p_u_notch*G258+p_u_fail*E258)</f>
        <v>14.9638</v>
      </c>
      <c r="N258" s="35" t="n">
        <f aca="false">Inputs_Banks!$AK17*MIN(1,p_w_base+p_w_pan*$CD$250+p_w_notch*G258+0.5*D258+1*E258)</f>
        <v>0</v>
      </c>
      <c r="O258" s="35" t="n">
        <f aca="false">Inputs_Banks!$AO17*MIN(1,p_cp_base+p_cp_pan*$CD$250+p_cp_notch*G258)</f>
        <v>0</v>
      </c>
      <c r="P258" s="35" t="n">
        <f aca="false">Inputs_Banks!$AN17*(p_dh+p_dh_pan*$CD$250+MIN(1,0.5*$CD$257+0.25*G258))</f>
        <v>0.020748</v>
      </c>
      <c r="Q258" s="35" t="n">
        <f aca="false">Modules!$Y17</f>
        <v>9.4376065</v>
      </c>
      <c r="R258" s="35" t="n">
        <f aca="false">Inputs_Banks!$AJ17*K258</f>
        <v>173.427</v>
      </c>
      <c r="S258" s="35" t="n">
        <f aca="false">p_liq_on*$CD$258*SUM($M$247:$M$270)*R258/MAX(0.000000001,SUM($R$247:$R$270))</f>
        <v>35.9134013977626</v>
      </c>
      <c r="T258" s="35" t="n">
        <f aca="false">p_liq_on*(L258+M258+N258+O258+P258+Q258)</f>
        <v>24.5404345</v>
      </c>
      <c r="U258" s="35" t="n">
        <f aca="false">g_usable*Inputs_Banks!$AG17+p_cb_on*Inputs_Banks!$AQ17+S258</f>
        <v>101.442401397763</v>
      </c>
      <c r="V258" s="35" t="n">
        <f aca="false">MAX(0,T258-U258)</f>
        <v>0</v>
      </c>
      <c r="W258" s="44" t="n">
        <f aca="false">IF(V258&gt;0.9*Inputs_Banks!$BB17,1,0)</f>
        <v>0</v>
      </c>
      <c r="X258" s="43" t="n">
        <f aca="false">MAX(p_htm_forced,(1-p_cb_on)*MIN(1,T258/Inputs_Banks!$AG17)*g_theta_sell)</f>
        <v>0.103738732245519</v>
      </c>
      <c r="Y258" s="35" t="n">
        <f aca="false">MAX(0,Modules!$V17-B258/(Inputs_Banks!$I17+g_del_buf))</f>
        <v>41.2131787365274</v>
      </c>
      <c r="Z258" s="35" t="n">
        <f aca="false">MIN(g_del_cap*Inputs_Banks!$BB17,Y258)</f>
        <v>0.04</v>
      </c>
      <c r="AA258" s="35" t="n">
        <f aca="false">MIN(Inputs_Banks!$BB17,V258+Z258)</f>
        <v>0.04</v>
      </c>
      <c r="AB258" s="35" t="n">
        <f aca="false">$AA258*Holdings!Q17</f>
        <v>0</v>
      </c>
      <c r="AC258" s="35" t="n">
        <f aca="false">$AA258*Holdings!R17</f>
        <v>0</v>
      </c>
      <c r="AD258" s="35" t="n">
        <f aca="false">$AA258*Holdings!S17</f>
        <v>0</v>
      </c>
      <c r="AE258" s="35" t="n">
        <f aca="false">$AA258*Holdings!T17</f>
        <v>0.0025</v>
      </c>
      <c r="AF258" s="35" t="n">
        <f aca="false">$AA258*Holdings!U17</f>
        <v>0.0325</v>
      </c>
      <c r="AG258" s="35" t="n">
        <f aca="false">$AA258*Holdings!V17</f>
        <v>0</v>
      </c>
      <c r="AH258" s="35" t="n">
        <f aca="false">$AA258*Holdings!W17</f>
        <v>0</v>
      </c>
      <c r="AI258" s="35" t="n">
        <f aca="false">$AA258*Holdings!X17</f>
        <v>0</v>
      </c>
      <c r="AJ258" s="35" t="n">
        <f aca="false">$AA258*Holdings!Y17</f>
        <v>0.005</v>
      </c>
      <c r="AK258" s="35" t="n">
        <f aca="false">$AA258*Holdings!Z17</f>
        <v>0</v>
      </c>
      <c r="AL258" s="35" t="n">
        <f aca="false">$AA258*Holdings!AA17</f>
        <v>0</v>
      </c>
      <c r="AM258" s="35" t="n">
        <f aca="false">$AA258*Holdings!AB17</f>
        <v>0</v>
      </c>
      <c r="AN258" s="35" t="n">
        <f aca="false">$AA258*Holdings!AC17</f>
        <v>0</v>
      </c>
      <c r="AO258" s="43" t="n">
        <f aca="false">MIN(1,$CD$257+0.5*G258)</f>
        <v>1</v>
      </c>
      <c r="AP258" s="35" t="n">
        <f aca="false">p_liq_on*Inputs_Banks!$AP17*AO258*p_mb_psi</f>
        <v>0</v>
      </c>
      <c r="AQ258" s="44" t="n">
        <f aca="false">MAX(F258,E258,W258*(1-p_cb_on))</f>
        <v>0</v>
      </c>
      <c r="AR258" s="35" t="n">
        <f aca="false">p_ib_on*p_lgd_ib*g_s_in*g_u_ib*SUMPRODUCT(Network!N$6:N$29,$AQ$247:$AQ$270)</f>
        <v>0.21536570652345</v>
      </c>
      <c r="AS258" s="35" t="n">
        <f aca="false">p_sw_M1*(SUMPRODUCT(BDC_EAD!N$106:N$127,$BF$247:$BF$268)+SUMPRODUCT(BDC_EAD!N$131:N$152,$BG$247:$BG$268)+(Inputs_Banks!$Y17+p_ccf_bl*Inputs_Banks!$Z17)*$CD$270+Modules!$E17)</f>
        <v>2.93860692950688</v>
      </c>
      <c r="AT258" s="35" t="n">
        <f aca="false">p_sw_M3*(Inputs_Banks!$U17+p_ccf_abf*Inputs_Banks!$V17)*$CD$271</f>
        <v>0</v>
      </c>
      <c r="AU258" s="35" t="n">
        <f aca="false">p_sw_M10*Inputs_Banks!$AC17*$CD$272</f>
        <v>0</v>
      </c>
      <c r="AV258" s="35" t="n">
        <f aca="false">p_sw_M8*(Modules!$M17+Modules!$N17*IF(p_liq_on&gt;0,X258,p_htm_forced))</f>
        <v>0.326326261781778</v>
      </c>
      <c r="AW258" s="35" t="n">
        <f aca="false">SUMPRODUCT(Holdings!$C17:$O17,Holdings!$C$32:$O$32,$AB$272:$AN$272)+Inputs_Banks!$P17*$AL$272</f>
        <v>0.0407895074274526</v>
      </c>
      <c r="AX258" s="35" t="n">
        <f aca="false">Modules!$T17+AS258+AT258+AU258+AV258+AW258+AR258</f>
        <v>8.02338840523956</v>
      </c>
      <c r="AY258" s="35" t="n">
        <f aca="false">Modules!$U17-(1-p_tax)*AX258</f>
        <v>11.8616115947604</v>
      </c>
      <c r="AZ258" s="39" t="n">
        <f aca="false">AY258/Modules!$V17</f>
        <v>0.0594960655409115</v>
      </c>
      <c r="BA258" s="48" t="s">
        <v>651</v>
      </c>
      <c r="BB258" s="43" t="n">
        <f aca="false">INDEX($BJ$247:$BJ$280,BDC_EAD!$B17)</f>
        <v>0.49422228775433</v>
      </c>
      <c r="BC258" s="43" t="n">
        <f aca="false">INDEX($BK$247:$BK$280,BDC_EAD!$B17)</f>
        <v>0.0568250746624368</v>
      </c>
      <c r="BD258" s="22" t="n">
        <f aca="false">INDEX(BDC!$Q$6:$Q$39,BDC_EAD!$B17)</f>
        <v>0.253694581280788</v>
      </c>
      <c r="BE258" s="43" t="n">
        <f aca="false">BB258*(1-$AK$272)-BC258-p_c_liq</f>
        <v>0.164997183602445</v>
      </c>
      <c r="BF258" s="43" t="n">
        <f aca="false">p_phi*MAX(0,p_a_spv-BE258)/p_a_spv+(1-p_phi)*MAX(0,p_a_spv-BB258)/p_a_spv</f>
        <v>0.670225422238826</v>
      </c>
      <c r="BG258" s="43" t="n">
        <f aca="false">IF(BD258&gt;0,p_phi*MAX(0,BD258-BE258)/BD258+(1-p_phi)*MAX(0,BD258-BB258)/BD258,0)</f>
        <v>0.279698201610932</v>
      </c>
      <c r="BI258" s="12" t="str">
        <f aca="false">BDC!$A$17</f>
        <v>GCRED</v>
      </c>
      <c r="BJ258" s="43" t="n">
        <f aca="false">1-((1-BDC!$D$17)*$CD$263+BDC!$D$17*$CD$264)-p_gap-$CD$253*(1-BDC!$M$17)</f>
        <v>0.405048197461641</v>
      </c>
      <c r="BK258" s="43" t="n">
        <f aca="false">(1-BDC!$D$17)*$CD$265+BDC!$D$17*$CD$266</f>
        <v>0.0612217923688434</v>
      </c>
      <c r="BL258" s="45" t="n">
        <f aca="false">BJ258/BDC!$K$17</f>
        <v>0.757264021341329</v>
      </c>
      <c r="BM258" s="35" t="n">
        <f aca="false">IF(BL258&lt;1.5,BDC!$C$17,0)</f>
        <v>9.62</v>
      </c>
      <c r="BN258" s="43" t="n">
        <f aca="false">MAX(0,1-BJ258*(1-CE_mig_hc)-p_bb_cush)*BDC!$Q$17</f>
        <v>0.180836754320013</v>
      </c>
      <c r="BO258" s="43" t="n">
        <f aca="false">MAX(0,BDC!$K$17-BJ258/1.5)</f>
        <v>0.264851589289138</v>
      </c>
      <c r="BP258" s="43" t="n">
        <f aca="false">MIN(MIN(1,BDC!$H$17*$CD$256),$CD$255)</f>
        <v>0.15</v>
      </c>
      <c r="BQ258" s="43" t="n">
        <f aca="false">BDC!$I$17*BDC!$J$17*BP258*(1-0.3)</f>
        <v>0.0488372093023256</v>
      </c>
      <c r="BR258" s="45" t="n">
        <f aca="false">BDC!$C$17*($CD$254*MAX(BN258,BO258)+BQ258)</f>
        <v>3.01768624244988</v>
      </c>
      <c r="CC258" s="10" t="s">
        <v>984</v>
      </c>
      <c r="CD258" s="43" t="n">
        <f aca="false">p_recyc*(1-p_rec_pan*$CD$250)</f>
        <v>0.225</v>
      </c>
    </row>
    <row r="259" customFormat="false" ht="15" hidden="false" customHeight="true" outlineLevel="0" collapsed="false">
      <c r="A259" s="10" t="s">
        <v>520</v>
      </c>
      <c r="B259" s="35" t="n">
        <f aca="false">AY219</f>
        <v>7.58803884672162</v>
      </c>
      <c r="C259" s="39" t="n">
        <f aca="false">AZ219</f>
        <v>0.0396275346594056</v>
      </c>
      <c r="D259" s="44" t="n">
        <f aca="false">IF(C259&lt;Inputs_Banks!$I18,1,0)</f>
        <v>1</v>
      </c>
      <c r="E259" s="44" t="n">
        <f aca="false">IF(C259&lt;0.045,1,0)</f>
        <v>1</v>
      </c>
      <c r="F259" s="44" t="n">
        <f aca="false">IF(B259&lt;0,1,0)</f>
        <v>0</v>
      </c>
      <c r="G259" s="44" t="n">
        <f aca="false">MIN(6,MIN(3,INT(MAX(0,Inputs_Banks!$BA18-C259)/p_notch_step))+D259+2*E259)</f>
        <v>5</v>
      </c>
      <c r="H259" s="39" t="n">
        <f aca="false">C259-Inputs_Banks!$I18</f>
        <v>-0.0503724653405944</v>
      </c>
      <c r="I259" s="44" t="n">
        <f aca="false">RANK(H259,$H$247:$H$270,1)</f>
        <v>17</v>
      </c>
      <c r="J259" s="44" t="n">
        <f aca="false">MAX(IF(I259&lt;=g_n_weak,1,0),E259)</f>
        <v>1</v>
      </c>
      <c r="K259" s="44" t="n">
        <f aca="false">IF(I259&gt;12,1,0)*(1-E259)</f>
        <v>0</v>
      </c>
      <c r="L259" s="35" t="n">
        <f aca="false">INDEX(Inputs_Banks!$AR18:$AX18,1,G259+1)</f>
        <v>0.2565</v>
      </c>
      <c r="M259" s="35" t="n">
        <f aca="false">Inputs_Banks!$AI18*MIN(1,p_u_base+$CD$250*p_u_pan_all+J259*($CD$250*p_u_pan_weak+p_u_mda*D259)+p_u_notch*G259+p_u_fail*E259)</f>
        <v>80.6553</v>
      </c>
      <c r="N259" s="35" t="n">
        <f aca="false">Inputs_Banks!$AK18*MIN(1,p_w_base+p_w_pan*$CD$250+p_w_notch*G259+0.5*D259+1*E259)</f>
        <v>1.159</v>
      </c>
      <c r="O259" s="35" t="n">
        <f aca="false">Inputs_Banks!$AO18*MIN(1,p_cp_base+p_cp_pan*$CD$250+p_cp_notch*G259)</f>
        <v>0</v>
      </c>
      <c r="P259" s="35" t="n">
        <f aca="false">Inputs_Banks!$AN18*(p_dh+p_dh_pan*$CD$250+MIN(1,0.5*$CD$257+0.25*G259))</f>
        <v>0</v>
      </c>
      <c r="Q259" s="35" t="n">
        <f aca="false">Modules!$Y18</f>
        <v>9.1258367</v>
      </c>
      <c r="R259" s="35" t="n">
        <f aca="false">Inputs_Banks!$AJ18*K259</f>
        <v>0</v>
      </c>
      <c r="S259" s="35" t="n">
        <f aca="false">p_liq_on*$CD$258*SUM($M$247:$M$270)*R259/MAX(0.000000001,SUM($R$247:$R$270))</f>
        <v>0</v>
      </c>
      <c r="T259" s="35" t="n">
        <f aca="false">p_liq_on*(L259+M259+N259+O259+P259+Q259)</f>
        <v>91.1966367</v>
      </c>
      <c r="U259" s="35" t="n">
        <f aca="false">g_usable*Inputs_Banks!$AG18+p_cb_on*Inputs_Banks!$AQ18+S259</f>
        <v>82.755</v>
      </c>
      <c r="V259" s="35" t="n">
        <f aca="false">MAX(0,T259-U259)</f>
        <v>8.44163670000003</v>
      </c>
      <c r="W259" s="44" t="n">
        <f aca="false">IF(V259&gt;0.9*Inputs_Banks!$BB18,1,0)</f>
        <v>1</v>
      </c>
      <c r="X259" s="43" t="n">
        <f aca="false">MAX(p_htm_forced,(1-p_cb_on)*MIN(1,T259/Inputs_Banks!$AG18)*g_theta_sell)</f>
        <v>0.25</v>
      </c>
      <c r="Y259" s="35" t="n">
        <f aca="false">MAX(0,Modules!$V18-B259/(Inputs_Banks!$I18+g_del_buf))</f>
        <v>111.609906876615</v>
      </c>
      <c r="Z259" s="35" t="n">
        <f aca="false">MIN(g_del_cap*Inputs_Banks!$BB18,Y259)</f>
        <v>0.1825</v>
      </c>
      <c r="AA259" s="35" t="n">
        <f aca="false">MIN(Inputs_Banks!$BB18,V259+Z259)</f>
        <v>0.73</v>
      </c>
      <c r="AB259" s="35" t="n">
        <f aca="false">$AA259*Holdings!Q18</f>
        <v>0</v>
      </c>
      <c r="AC259" s="35" t="n">
        <f aca="false">$AA259*Holdings!R18</f>
        <v>0</v>
      </c>
      <c r="AD259" s="35" t="n">
        <f aca="false">$AA259*Holdings!S18</f>
        <v>0</v>
      </c>
      <c r="AE259" s="35" t="n">
        <f aca="false">$AA259*Holdings!T18</f>
        <v>0</v>
      </c>
      <c r="AF259" s="35" t="n">
        <f aca="false">$AA259*Holdings!U18</f>
        <v>0</v>
      </c>
      <c r="AG259" s="35" t="n">
        <f aca="false">$AA259*Holdings!V18</f>
        <v>0</v>
      </c>
      <c r="AH259" s="35" t="n">
        <f aca="false">$AA259*Holdings!W18</f>
        <v>0.15</v>
      </c>
      <c r="AI259" s="35" t="n">
        <f aca="false">$AA259*Holdings!X18</f>
        <v>0.04</v>
      </c>
      <c r="AJ259" s="35" t="n">
        <f aca="false">$AA259*Holdings!Y18</f>
        <v>0.54</v>
      </c>
      <c r="AK259" s="35" t="n">
        <f aca="false">$AA259*Holdings!Z18</f>
        <v>0</v>
      </c>
      <c r="AL259" s="35" t="n">
        <f aca="false">$AA259*Holdings!AA18</f>
        <v>0</v>
      </c>
      <c r="AM259" s="35" t="n">
        <f aca="false">$AA259*Holdings!AB18</f>
        <v>0</v>
      </c>
      <c r="AN259" s="35" t="n">
        <f aca="false">$AA259*Holdings!AC18</f>
        <v>0</v>
      </c>
      <c r="AO259" s="43" t="n">
        <f aca="false">MIN(1,$CD$257+0.5*G259)</f>
        <v>1</v>
      </c>
      <c r="AP259" s="35" t="n">
        <f aca="false">p_liq_on*Inputs_Banks!$AP18*AO259*p_mb_psi</f>
        <v>0</v>
      </c>
      <c r="AQ259" s="44" t="n">
        <f aca="false">MAX(F259,E259,W259*(1-p_cb_on))</f>
        <v>1</v>
      </c>
      <c r="AR259" s="35" t="n">
        <f aca="false">p_ib_on*p_lgd_ib*g_s_in*g_u_ib*SUMPRODUCT(Network!O$6:O$29,$AQ$247:$AQ$270)</f>
        <v>0.211388228855768</v>
      </c>
      <c r="AS259" s="35" t="n">
        <f aca="false">p_sw_M1*(SUMPRODUCT(BDC_EAD!O$106:O$127,$BF$247:$BF$268)+SUMPRODUCT(BDC_EAD!O$131:O$152,$BG$247:$BG$268)+(Inputs_Banks!$Y18+p_ccf_bl*Inputs_Banks!$Z18)*$CD$270+Modules!$E18)</f>
        <v>7.14534260130844</v>
      </c>
      <c r="AT259" s="35" t="n">
        <f aca="false">p_sw_M3*(Inputs_Banks!$U18+p_ccf_abf*Inputs_Banks!$V18)*$CD$271</f>
        <v>0</v>
      </c>
      <c r="AU259" s="35" t="n">
        <f aca="false">p_sw_M10*Inputs_Banks!$AC18*$CD$272</f>
        <v>0</v>
      </c>
      <c r="AV259" s="35" t="n">
        <f aca="false">p_sw_M8*(Modules!$M18+Modules!$N18*IF(p_liq_on&gt;0,X259,p_htm_forced))</f>
        <v>0.93737</v>
      </c>
      <c r="AW259" s="35" t="n">
        <f aca="false">SUMPRODUCT(Holdings!$C18:$O18,Holdings!$C$32:$O$32,$AB$272:$AN$272)+Inputs_Banks!$P18*$AL$272</f>
        <v>0.18056032311418</v>
      </c>
      <c r="AX259" s="35" t="n">
        <f aca="false">Modules!$T18+AS259+AT259+AU259+AV259+AW259+AR259</f>
        <v>11.1119611532784</v>
      </c>
      <c r="AY259" s="35" t="n">
        <f aca="false">Modules!$U18-(1-p_tax)*AX259</f>
        <v>7.58803884672162</v>
      </c>
      <c r="AZ259" s="39" t="n">
        <f aca="false">AY259/Modules!$V18</f>
        <v>0.0396275346594056</v>
      </c>
      <c r="BA259" s="48" t="s">
        <v>648</v>
      </c>
      <c r="BB259" s="43" t="n">
        <f aca="false">INDEX($BJ$247:$BJ$280,BDC_EAD!$B18)</f>
        <v>0.556417298789294</v>
      </c>
      <c r="BC259" s="43" t="n">
        <f aca="false">INDEX($BK$247:$BK$280,BDC_EAD!$B18)</f>
        <v>0.0671461831766286</v>
      </c>
      <c r="BD259" s="22" t="n">
        <f aca="false">INDEX(BDC!$Q$6:$Q$39,BDC_EAD!$B18)</f>
        <v>0.103555555555556</v>
      </c>
      <c r="BE259" s="43" t="n">
        <f aca="false">BB259*(1-$AK$272)-BC259-p_c_liq</f>
        <v>0.188883331157483</v>
      </c>
      <c r="BF259" s="43" t="n">
        <f aca="false">p_phi*MAX(0,p_a_spv-BE259)/p_a_spv+(1-p_phi)*MAX(0,p_a_spv-BB259)/p_a_spv</f>
        <v>0.625156964737364</v>
      </c>
      <c r="BG259" s="43" t="n">
        <f aca="false">IF(BD259&gt;0,p_phi*MAX(0,BD259-BE259)/BD259+(1-p_phi)*MAX(0,BD259-BB259)/BD259,0)</f>
        <v>0</v>
      </c>
      <c r="BI259" s="12" t="str">
        <f aca="false">BDC!$A$18</f>
        <v>SSLP</v>
      </c>
      <c r="BJ259" s="43" t="n">
        <f aca="false">1-((1-BDC!$D$18)*$CD$263+BDC!$D$18*$CD$264)-p_gap-$CD$253*(1-BDC!$M$18)</f>
        <v>0.432216415278359</v>
      </c>
      <c r="BK259" s="43" t="n">
        <f aca="false">(1-BDC!$D$18)*$CD$265+BDC!$D$18*$CD$266</f>
        <v>0.0657302910338875</v>
      </c>
      <c r="BL259" s="45" t="n">
        <f aca="false">BJ259/BDC!$K$18</f>
        <v>0.90717950899084</v>
      </c>
      <c r="BM259" s="35" t="n">
        <f aca="false">IF(BL259&lt;1.5,BDC!$C$18,0)</f>
        <v>8.65</v>
      </c>
      <c r="BN259" s="43" t="n">
        <f aca="false">MAX(0,1-BJ259*(1-CE_mig_hc)-p_bb_cush)*BDC!$Q$18</f>
        <v>0.139067200512426</v>
      </c>
      <c r="BO259" s="43" t="n">
        <f aca="false">MAX(0,BDC!$K$18-BJ259/1.5)</f>
        <v>0.188295513723677</v>
      </c>
      <c r="BP259" s="43" t="n">
        <f aca="false">MIN(MIN(1,BDC!$H$18*$CD$256),$CD$255)</f>
        <v>0</v>
      </c>
      <c r="BQ259" s="43" t="n">
        <f aca="false">BDC!$I$18*BDC!$J$18*BP259*(1-0.3)</f>
        <v>0</v>
      </c>
      <c r="BR259" s="45" t="n">
        <f aca="false">BDC!$C$18*($CD$254*MAX(BN259,BO259)+BQ259)</f>
        <v>1.62875619370981</v>
      </c>
      <c r="CC259" s="10" t="s">
        <v>985</v>
      </c>
      <c r="CD259" s="45" t="n">
        <f aca="false">p_dealer_mult*(1+p_dm_pan*$CD$250)</f>
        <v>10</v>
      </c>
    </row>
    <row r="260" customFormat="false" ht="15" hidden="false" customHeight="true" outlineLevel="0" collapsed="false">
      <c r="A260" s="10" t="s">
        <v>522</v>
      </c>
      <c r="B260" s="35" t="n">
        <f aca="false">AY220</f>
        <v>-11.0481129610457</v>
      </c>
      <c r="C260" s="39" t="n">
        <f aca="false">AZ220</f>
        <v>-0.0211494340470956</v>
      </c>
      <c r="D260" s="44" t="n">
        <f aca="false">IF(C260&lt;Inputs_Banks!$I19,1,0)</f>
        <v>1</v>
      </c>
      <c r="E260" s="44" t="n">
        <f aca="false">IF(C260&lt;0.045,1,0)</f>
        <v>1</v>
      </c>
      <c r="F260" s="44" t="n">
        <f aca="false">IF(B260&lt;0,1,0)</f>
        <v>1</v>
      </c>
      <c r="G260" s="44" t="n">
        <f aca="false">MIN(6,MIN(3,INT(MAX(0,Inputs_Banks!$BA19-C260)/p_notch_step))+D260+2*E260)</f>
        <v>6</v>
      </c>
      <c r="H260" s="39" t="n">
        <f aca="false">C260-Inputs_Banks!$I19</f>
        <v>-0.143149434047096</v>
      </c>
      <c r="I260" s="44" t="n">
        <f aca="false">RANK(H260,$H$247:$H$270,1)</f>
        <v>2</v>
      </c>
      <c r="J260" s="44" t="n">
        <f aca="false">MAX(IF(I260&lt;=g_n_weak,1,0),E260)</f>
        <v>1</v>
      </c>
      <c r="K260" s="44" t="n">
        <f aca="false">IF(I260&gt;12,1,0)*(1-E260)</f>
        <v>0</v>
      </c>
      <c r="L260" s="35" t="n">
        <f aca="false">INDEX(Inputs_Banks!$AR19:$AX19,1,G260+1)</f>
        <v>14.916375</v>
      </c>
      <c r="M260" s="35" t="n">
        <f aca="false">Inputs_Banks!$AI19*MIN(1,p_u_base+$CD$250*p_u_pan_all+J260*($CD$250*p_u_pan_weak+p_u_mda*D260)+p_u_notch*G260+p_u_fail*E260)</f>
        <v>333.3485112849</v>
      </c>
      <c r="N260" s="35" t="n">
        <f aca="false">Inputs_Banks!$AK19*MIN(1,p_w_base+p_w_pan*$CD$250+p_w_notch*G260+0.5*D260+1*E260)</f>
        <v>103.81797</v>
      </c>
      <c r="O260" s="35" t="n">
        <f aca="false">Inputs_Banks!$AO19*MIN(1,p_cp_base+p_cp_pan*$CD$250+p_cp_notch*G260)</f>
        <v>30.26</v>
      </c>
      <c r="P260" s="35" t="n">
        <f aca="false">Inputs_Banks!$AN19*(p_dh+p_dh_pan*$CD$250+MIN(1,0.5*$CD$257+0.25*G260))</f>
        <v>159.617894592383</v>
      </c>
      <c r="Q260" s="35" t="n">
        <f aca="false">Modules!$Y19</f>
        <v>26.8418486</v>
      </c>
      <c r="R260" s="35" t="n">
        <f aca="false">Inputs_Banks!$AJ19*K260</f>
        <v>0</v>
      </c>
      <c r="S260" s="35" t="n">
        <f aca="false">p_liq_on*$CD$258*SUM($M$247:$M$270)*R260/MAX(0.000000001,SUM($R$247:$R$270))</f>
        <v>0</v>
      </c>
      <c r="T260" s="35" t="n">
        <f aca="false">p_liq_on*(L260+M260+N260+O260+P260+Q260)</f>
        <v>668.802599477283</v>
      </c>
      <c r="U260" s="35" t="n">
        <f aca="false">g_usable*Inputs_Banks!$AG19+p_cb_on*Inputs_Banks!$AQ19+S260</f>
        <v>591.841983</v>
      </c>
      <c r="V260" s="35" t="n">
        <f aca="false">MAX(0,T260-U260)</f>
        <v>76.9606164772833</v>
      </c>
      <c r="W260" s="44" t="n">
        <f aca="false">IF(V260&gt;0.9*Inputs_Banks!$BB19,1,0)</f>
        <v>0</v>
      </c>
      <c r="X260" s="43" t="n">
        <f aca="false">MAX(p_htm_forced,(1-p_cb_on)*MIN(1,T260/Inputs_Banks!$AG19)*g_theta_sell)</f>
        <v>0.25</v>
      </c>
      <c r="Y260" s="35" t="n">
        <f aca="false">MAX(0,Modules!$V19-B260/(Inputs_Banks!$I19+g_del_buf))</f>
        <v>609.376401041305</v>
      </c>
      <c r="Z260" s="35" t="n">
        <f aca="false">MIN(g_del_cap*Inputs_Banks!$BB19,Y260)</f>
        <v>55.795</v>
      </c>
      <c r="AA260" s="35" t="n">
        <f aca="false">MIN(Inputs_Banks!$BB19,V260+Z260)</f>
        <v>132.755616477283</v>
      </c>
      <c r="AB260" s="35" t="n">
        <f aca="false">$AA260*Holdings!Q19</f>
        <v>0</v>
      </c>
      <c r="AC260" s="35" t="n">
        <f aca="false">$AA260*Holdings!R19</f>
        <v>0</v>
      </c>
      <c r="AD260" s="35" t="n">
        <f aca="false">$AA260*Holdings!S19</f>
        <v>0</v>
      </c>
      <c r="AE260" s="35" t="n">
        <f aca="false">$AA260*Holdings!T19</f>
        <v>0</v>
      </c>
      <c r="AF260" s="35" t="n">
        <f aca="false">$AA260*Holdings!U19</f>
        <v>35.993558352184</v>
      </c>
      <c r="AG260" s="35" t="n">
        <f aca="false">$AA260*Holdings!V19</f>
        <v>0</v>
      </c>
      <c r="AH260" s="35" t="n">
        <f aca="false">$AA260*Holdings!W19</f>
        <v>9.66014522623479</v>
      </c>
      <c r="AI260" s="35" t="n">
        <f aca="false">$AA260*Holdings!X19</f>
        <v>0</v>
      </c>
      <c r="AJ260" s="35" t="n">
        <f aca="false">$AA260*Holdings!Y19</f>
        <v>21.2832509972094</v>
      </c>
      <c r="AK260" s="35" t="n">
        <f aca="false">$AA260*Holdings!Z19</f>
        <v>0</v>
      </c>
      <c r="AL260" s="35" t="n">
        <f aca="false">$AA260*Holdings!AA19</f>
        <v>65.6521076736167</v>
      </c>
      <c r="AM260" s="35" t="n">
        <f aca="false">$AA260*Holdings!AB19</f>
        <v>0</v>
      </c>
      <c r="AN260" s="35" t="n">
        <f aca="false">$AA260*Holdings!AC19</f>
        <v>0.166554228038531</v>
      </c>
      <c r="AO260" s="43" t="n">
        <f aca="false">MIN(1,$CD$257+0.5*G260)</f>
        <v>1</v>
      </c>
      <c r="AP260" s="35" t="n">
        <f aca="false">p_liq_on*Inputs_Banks!$AP19*AO260*p_mb_psi</f>
        <v>1.692</v>
      </c>
      <c r="AQ260" s="44" t="n">
        <f aca="false">MAX(F260,E260,W260*(1-p_cb_on))</f>
        <v>1</v>
      </c>
      <c r="AR260" s="35" t="n">
        <f aca="false">p_ib_on*p_lgd_ib*g_s_in*g_u_ib*SUMPRODUCT(Network!P$6:P$29,$AQ$247:$AQ$270)</f>
        <v>7.22507743441053</v>
      </c>
      <c r="AS260" s="35" t="n">
        <f aca="false">p_sw_M1*(SUMPRODUCT(BDC_EAD!P$106:P$127,$BF$247:$BF$268)+SUMPRODUCT(BDC_EAD!P$131:P$152,$BG$247:$BG$268)+(Inputs_Banks!$Y19+p_ccf_bl*Inputs_Banks!$Z19)*$CD$270+Modules!$E19)</f>
        <v>20.643374291426</v>
      </c>
      <c r="AT260" s="35" t="n">
        <f aca="false">p_sw_M3*(Inputs_Banks!$U19+p_ccf_abf*Inputs_Banks!$V19)*$CD$271</f>
        <v>14.3395683697332</v>
      </c>
      <c r="AU260" s="35" t="n">
        <f aca="false">p_sw_M10*Inputs_Banks!$AC19*$CD$272</f>
        <v>0</v>
      </c>
      <c r="AV260" s="35" t="n">
        <f aca="false">p_sw_M8*(Modules!$M19+Modules!$N19*IF(p_liq_on&gt;0,X260,p_htm_forced))</f>
        <v>2.742</v>
      </c>
      <c r="AW260" s="35" t="n">
        <f aca="false">SUMPRODUCT(Holdings!$C19:$O19,Holdings!$C$32:$O$32,$AB$272:$AN$272)+Inputs_Banks!$P19*$AL$272</f>
        <v>16.082128119204</v>
      </c>
      <c r="AX260" s="35" t="n">
        <f aca="false">Modules!$T19+AS260+AT260+AU260+AV260+AW260+AR260</f>
        <v>80.2600929610457</v>
      </c>
      <c r="AY260" s="35" t="n">
        <f aca="false">Modules!$U19-(1-p_tax)*AX260</f>
        <v>-11.0481129610457</v>
      </c>
      <c r="AZ260" s="39" t="n">
        <f aca="false">AY260/Modules!$V19</f>
        <v>-0.0211494340470956</v>
      </c>
      <c r="BA260" s="48" t="s">
        <v>652</v>
      </c>
      <c r="BB260" s="43" t="n">
        <f aca="false">INDEX($BJ$247:$BJ$280,BDC_EAD!$B19)</f>
        <v>0.363449670124075</v>
      </c>
      <c r="BC260" s="43" t="n">
        <f aca="false">INDEX($BK$247:$BK$280,BDC_EAD!$B19)</f>
        <v>0.0611472717297517</v>
      </c>
      <c r="BD260" s="22" t="n">
        <f aca="false">INDEX(BDC!$Q$6:$Q$39,BDC_EAD!$B19)</f>
        <v>0.238909090909091</v>
      </c>
      <c r="BE260" s="43" t="n">
        <f aca="false">BB260*(1-$AK$272)-BC260-p_c_liq</f>
        <v>0.0887500468384897</v>
      </c>
      <c r="BF260" s="43" t="n">
        <f aca="false">p_phi*MAX(0,p_a_spv-BE260)/p_a_spv+(1-p_phi)*MAX(0,p_a_spv-BB260)/p_a_spv</f>
        <v>0.794728612149133</v>
      </c>
      <c r="BG260" s="43" t="n">
        <f aca="false">IF(BD260&gt;0,p_phi*MAX(0,BD260-BE260)/BD260+(1-p_phi)*MAX(0,BD260-BB260)/BD260,0)</f>
        <v>0.502815672686945</v>
      </c>
      <c r="BI260" s="12" t="str">
        <f aca="false">BDC!$A$19</f>
        <v>GBDC</v>
      </c>
      <c r="BJ260" s="43" t="n">
        <f aca="false">1-((1-BDC!$D$19)*$CD$263+BDC!$D$19*$CD$264)-p_gap-$CD$253*(1-BDC!$M$19)</f>
        <v>0.440432081141748</v>
      </c>
      <c r="BK260" s="43" t="n">
        <f aca="false">(1-BDC!$D$19)*$CD$265+BDC!$D$19*$CD$266</f>
        <v>0.0593587763915524</v>
      </c>
      <c r="BL260" s="45" t="n">
        <f aca="false">BJ260/BDC!$K$19</f>
        <v>0.798506943858616</v>
      </c>
      <c r="BM260" s="35" t="n">
        <f aca="false">IF(BL260&lt;1.5,BDC!$C$19,0)</f>
        <v>8.2</v>
      </c>
      <c r="BN260" s="43" t="n">
        <f aca="false">MAX(0,1-BJ260*(1-CE_mig_hc)-p_bb_cush)*BDC!$Q$19</f>
        <v>0.115814435932283</v>
      </c>
      <c r="BO260" s="43" t="n">
        <f aca="false">MAX(0,BDC!$K$19-BJ260/1.5)</f>
        <v>0.257948119298626</v>
      </c>
      <c r="BP260" s="43" t="n">
        <f aca="false">MIN(MIN(1,BDC!$H$19*$CD$256),$CD$255)</f>
        <v>0</v>
      </c>
      <c r="BQ260" s="43" t="n">
        <f aca="false">BDC!$I$19*BDC!$J$19*BP260*(1-0.3)</f>
        <v>0</v>
      </c>
      <c r="BR260" s="45" t="n">
        <f aca="false">BDC!$C$19*($CD$254*MAX(BN260,BO260)+BQ260)</f>
        <v>2.11517457824873</v>
      </c>
      <c r="CC260" s="10" t="s">
        <v>871</v>
      </c>
      <c r="CD260" s="35" t="n">
        <f aca="false">MIN(1,p_ins_run+p_ins_pan*$CD$250)*(g_fabr+g_fabn_6m)</f>
        <v>47.3</v>
      </c>
    </row>
    <row r="261" customFormat="false" ht="15" hidden="false" customHeight="true" outlineLevel="0" collapsed="false">
      <c r="A261" s="10" t="s">
        <v>525</v>
      </c>
      <c r="B261" s="35" t="n">
        <f aca="false">AY221</f>
        <v>73.9341946596885</v>
      </c>
      <c r="C261" s="39" t="n">
        <f aca="false">AZ221</f>
        <v>0.0755269060545672</v>
      </c>
      <c r="D261" s="44" t="n">
        <f aca="false">IF(C261&lt;Inputs_Banks!$I20,1,0)</f>
        <v>1</v>
      </c>
      <c r="E261" s="44" t="n">
        <f aca="false">IF(C261&lt;0.045,1,0)</f>
        <v>0</v>
      </c>
      <c r="F261" s="44" t="n">
        <f aca="false">IF(B261&lt;0,1,0)</f>
        <v>0</v>
      </c>
      <c r="G261" s="44" t="n">
        <f aca="false">MIN(6,MIN(3,INT(MAX(0,Inputs_Banks!$BA20-C261)/p_notch_step))+D261+2*E261)</f>
        <v>3</v>
      </c>
      <c r="H261" s="39" t="n">
        <f aca="false">C261-Inputs_Banks!$I20</f>
        <v>-0.0364730939454328</v>
      </c>
      <c r="I261" s="44" t="n">
        <f aca="false">RANK(H261,$H$247:$H$270,1)</f>
        <v>18</v>
      </c>
      <c r="J261" s="44" t="n">
        <f aca="false">MAX(IF(I261&lt;=g_n_weak,1,0),E261)</f>
        <v>0</v>
      </c>
      <c r="K261" s="44" t="n">
        <f aca="false">IF(I261&gt;12,1,0)*(1-E261)</f>
        <v>1</v>
      </c>
      <c r="L261" s="35" t="n">
        <f aca="false">INDEX(Inputs_Banks!$AR20:$AX20,1,G261+1)</f>
        <v>0.18</v>
      </c>
      <c r="M261" s="35" t="n">
        <f aca="false">Inputs_Banks!$AI20*MIN(1,p_u_base+$CD$250*p_u_pan_all+J261*($CD$250*p_u_pan_weak+p_u_mda*D261)+p_u_notch*G261+p_u_fail*E261)</f>
        <v>256.5027</v>
      </c>
      <c r="N261" s="35" t="n">
        <f aca="false">Inputs_Banks!$AK20*MIN(1,p_w_base+p_w_pan*$CD$250+p_w_notch*G261+0.5*D261+1*E261)</f>
        <v>0</v>
      </c>
      <c r="O261" s="35" t="n">
        <f aca="false">Inputs_Banks!$AO20*MIN(1,p_cp_base+p_cp_pan*$CD$250+p_cp_notch*G261)</f>
        <v>0</v>
      </c>
      <c r="P261" s="35" t="n">
        <f aca="false">Inputs_Banks!$AN20*(p_dh+p_dh_pan*$CD$250+MIN(1,0.5*$CD$257+0.25*G261))</f>
        <v>143.147499934354</v>
      </c>
      <c r="Q261" s="35" t="n">
        <f aca="false">Modules!$Y20</f>
        <v>5.4922829</v>
      </c>
      <c r="R261" s="35" t="n">
        <f aca="false">Inputs_Banks!$AJ20*K261</f>
        <v>1919.104</v>
      </c>
      <c r="S261" s="35" t="n">
        <f aca="false">p_liq_on*$CD$258*SUM($M$247:$M$270)*R261/MAX(0.000000001,SUM($R$247:$R$270))</f>
        <v>397.409586027849</v>
      </c>
      <c r="T261" s="35" t="n">
        <f aca="false">p_liq_on*(L261+M261+N261+O261+P261+Q261)</f>
        <v>405.322482834355</v>
      </c>
      <c r="U261" s="35" t="n">
        <f aca="false">g_usable*Inputs_Banks!$AG20+p_cb_on*Inputs_Banks!$AQ20+S261</f>
        <v>1182.44548602785</v>
      </c>
      <c r="V261" s="35" t="n">
        <f aca="false">MAX(0,T261-U261)</f>
        <v>0</v>
      </c>
      <c r="W261" s="44" t="n">
        <f aca="false">IF(V261&gt;0.9*Inputs_Banks!$BB20,1,0)</f>
        <v>0</v>
      </c>
      <c r="X261" s="43" t="n">
        <f aca="false">MAX(p_htm_forced,(1-p_cb_on)*MIN(1,T261/Inputs_Banks!$AG20)*g_theta_sell)</f>
        <v>0.14198545923753</v>
      </c>
      <c r="Y261" s="35" t="n">
        <f aca="false">MAX(0,Modules!$V20-B261/(Inputs_Banks!$I20+g_del_buf))</f>
        <v>346.995806327449</v>
      </c>
      <c r="Z261" s="35" t="n">
        <f aca="false">MIN(g_del_cap*Inputs_Banks!$BB20,Y261)</f>
        <v>81.9675</v>
      </c>
      <c r="AA261" s="35" t="n">
        <f aca="false">MIN(Inputs_Banks!$BB20,V261+Z261)</f>
        <v>81.9675</v>
      </c>
      <c r="AB261" s="35" t="n">
        <f aca="false">$AA261*Holdings!Q20</f>
        <v>0</v>
      </c>
      <c r="AC261" s="35" t="n">
        <f aca="false">$AA261*Holdings!R20</f>
        <v>0</v>
      </c>
      <c r="AD261" s="35" t="n">
        <f aca="false">$AA261*Holdings!S20</f>
        <v>0</v>
      </c>
      <c r="AE261" s="35" t="n">
        <f aca="false">$AA261*Holdings!T20</f>
        <v>0</v>
      </c>
      <c r="AF261" s="35" t="n">
        <f aca="false">$AA261*Holdings!U20</f>
        <v>0</v>
      </c>
      <c r="AG261" s="35" t="n">
        <f aca="false">$AA261*Holdings!V20</f>
        <v>0</v>
      </c>
      <c r="AH261" s="35" t="n">
        <f aca="false">$AA261*Holdings!W20</f>
        <v>0</v>
      </c>
      <c r="AI261" s="35" t="n">
        <f aca="false">$AA261*Holdings!X20</f>
        <v>0.0525</v>
      </c>
      <c r="AJ261" s="35" t="n">
        <f aca="false">$AA261*Holdings!Y20</f>
        <v>0.02</v>
      </c>
      <c r="AK261" s="35" t="n">
        <f aca="false">$AA261*Holdings!Z20</f>
        <v>0</v>
      </c>
      <c r="AL261" s="35" t="n">
        <f aca="false">$AA261*Holdings!AA20</f>
        <v>44.0775</v>
      </c>
      <c r="AM261" s="35" t="n">
        <f aca="false">$AA261*Holdings!AB20</f>
        <v>0</v>
      </c>
      <c r="AN261" s="35" t="n">
        <f aca="false">$AA261*Holdings!AC20</f>
        <v>37.8175</v>
      </c>
      <c r="AO261" s="43" t="n">
        <f aca="false">MIN(1,$CD$257+0.5*G261)</f>
        <v>1</v>
      </c>
      <c r="AP261" s="35" t="n">
        <f aca="false">p_liq_on*Inputs_Banks!$AP20*AO261*p_mb_psi</f>
        <v>1.272</v>
      </c>
      <c r="AQ261" s="44" t="n">
        <f aca="false">MAX(F261,E261,W261*(1-p_cb_on))</f>
        <v>0</v>
      </c>
      <c r="AR261" s="35" t="n">
        <f aca="false">p_ib_on*p_lgd_ib*g_s_in*g_u_ib*SUMPRODUCT(Network!Q$6:Q$29,$AQ$247:$AQ$270)</f>
        <v>10.8845927122174</v>
      </c>
      <c r="AS261" s="35" t="n">
        <f aca="false">p_sw_M1*(SUMPRODUCT(BDC_EAD!Q$106:Q$127,$BF$247:$BF$268)+SUMPRODUCT(BDC_EAD!Q$131:Q$152,$BG$247:$BG$268)+(Inputs_Banks!$Y20+p_ccf_bl*Inputs_Banks!$Z20)*$CD$270+Modules!$E20)</f>
        <v>16.3815151661489</v>
      </c>
      <c r="AT261" s="35" t="n">
        <f aca="false">p_sw_M3*(Inputs_Banks!$U20+p_ccf_abf*Inputs_Banks!$V20)*$CD$271</f>
        <v>6.71968055027487</v>
      </c>
      <c r="AU261" s="35" t="n">
        <f aca="false">p_sw_M10*Inputs_Banks!$AC20*$CD$272</f>
        <v>0</v>
      </c>
      <c r="AV261" s="35" t="n">
        <f aca="false">p_sw_M8*(Modules!$M20+Modules!$N20*IF(p_liq_on&gt;0,X261,p_htm_forced))</f>
        <v>4.87915345185631</v>
      </c>
      <c r="AW261" s="35" t="n">
        <f aca="false">SUMPRODUCT(Holdings!$C20:$O20,Holdings!$C$32:$O$32,$AB$272:$AN$272)+Inputs_Banks!$P20*$AL$272</f>
        <v>6.49948178004504</v>
      </c>
      <c r="AX261" s="35" t="n">
        <f aca="false">Modules!$T20+AS261+AT261+AU261+AV261+AW261+AR261</f>
        <v>53.7658053403115</v>
      </c>
      <c r="AY261" s="35" t="n">
        <f aca="false">Modules!$U20-(1-p_tax)*AX261</f>
        <v>73.9341946596885</v>
      </c>
      <c r="AZ261" s="39" t="n">
        <f aca="false">AY261/Modules!$V20</f>
        <v>0.0755269060545672</v>
      </c>
      <c r="BA261" s="48" t="s">
        <v>647</v>
      </c>
      <c r="BB261" s="43" t="n">
        <f aca="false">INDEX($BJ$247:$BJ$280,BDC_EAD!$B20)</f>
        <v>0.401231175123755</v>
      </c>
      <c r="BC261" s="43" t="n">
        <f aca="false">INDEX($BK$247:$BK$280,BDC_EAD!$B20)</f>
        <v>0.0605883669365645</v>
      </c>
      <c r="BD261" s="22" t="n">
        <f aca="false">INDEX(BDC!$Q$6:$Q$39,BDC_EAD!$B20)</f>
        <v>0.244897959183673</v>
      </c>
      <c r="BE261" s="43" t="n">
        <f aca="false">BB261*(1-$AK$272)-BC261-p_c_liq</f>
        <v>0.110088779381501</v>
      </c>
      <c r="BF261" s="43" t="n">
        <f aca="false">p_phi*MAX(0,p_a_spv-BE261)/p_a_spv+(1-p_phi)*MAX(0,p_a_spv-BB261)/p_a_spv</f>
        <v>0.75954677352864</v>
      </c>
      <c r="BG261" s="43" t="n">
        <f aca="false">IF(BD261&gt;0,p_phi*MAX(0,BD261-BE261)/BD261+(1-p_phi)*MAX(0,BD261-BB261)/BD261,0)</f>
        <v>0.44037665402043</v>
      </c>
      <c r="BI261" s="12" t="str">
        <f aca="false">BDC!$A$20</f>
        <v>OSCF</v>
      </c>
      <c r="BJ261" s="43" t="n">
        <f aca="false">1-((1-BDC!$D$20)*$CD$263+BDC!$D$20*$CD$264)-p_gap-$CD$253*(1-BDC!$M$20)</f>
        <v>0.413355834314687</v>
      </c>
      <c r="BK261" s="43" t="n">
        <f aca="false">(1-BDC!$D$20)*$CD$265+BDC!$D$20*$CD$266</f>
        <v>0.0626004241920387</v>
      </c>
      <c r="BL261" s="45" t="n">
        <f aca="false">BJ261/BDC!$K$20</f>
        <v>1.09098834958467</v>
      </c>
      <c r="BM261" s="35" t="n">
        <f aca="false">IF(BL261&lt;1.5,BDC!$C$20,0)</f>
        <v>6.8</v>
      </c>
      <c r="BN261" s="43" t="n">
        <f aca="false">MAX(0,1-BJ261*(1-CE_mig_hc)-p_bb_cush)*BDC!$Q$20</f>
        <v>0.129350577017109</v>
      </c>
      <c r="BO261" s="43" t="n">
        <f aca="false">MAX(0,BDC!$K$20-BJ261/1.5)</f>
        <v>0.103311431367848</v>
      </c>
      <c r="BP261" s="43" t="n">
        <f aca="false">MIN(MIN(1,BDC!$H$20*$CD$256),$CD$255)</f>
        <v>0.114</v>
      </c>
      <c r="BQ261" s="43" t="n">
        <f aca="false">BDC!$I$20*BDC!$J$20*BP261*(1-0.3)</f>
        <v>0.0495652173913043</v>
      </c>
      <c r="BR261" s="45" t="n">
        <f aca="false">BDC!$C$20*($CD$254*MAX(BN261,BO261)+BQ261)</f>
        <v>1.21662740197721</v>
      </c>
      <c r="CC261" s="10" t="s">
        <v>986</v>
      </c>
      <c r="CD261" s="43" t="n">
        <f aca="false">SUMPRODUCT(CreditEngine!$B$6:$B$10,$BU$247:$BU$251)</f>
        <v>0.790768304625863</v>
      </c>
    </row>
    <row r="262" customFormat="false" ht="15" hidden="false" customHeight="true" outlineLevel="0" collapsed="false">
      <c r="A262" s="10" t="s">
        <v>527</v>
      </c>
      <c r="B262" s="35" t="n">
        <f aca="false">AY222</f>
        <v>-9.28772691434693</v>
      </c>
      <c r="C262" s="39" t="n">
        <f aca="false">AZ222</f>
        <v>-0.0205130863573704</v>
      </c>
      <c r="D262" s="44" t="n">
        <f aca="false">IF(C262&lt;Inputs_Banks!$I21,1,0)</f>
        <v>1</v>
      </c>
      <c r="E262" s="44" t="n">
        <f aca="false">IF(C262&lt;0.045,1,0)</f>
        <v>1</v>
      </c>
      <c r="F262" s="44" t="n">
        <f aca="false">IF(B262&lt;0,1,0)</f>
        <v>1</v>
      </c>
      <c r="G262" s="44" t="n">
        <f aca="false">MIN(6,MIN(3,INT(MAX(0,Inputs_Banks!$BA21-C262)/p_notch_step))+D262+2*E262)</f>
        <v>6</v>
      </c>
      <c r="H262" s="39" t="n">
        <f aca="false">C262-Inputs_Banks!$I21</f>
        <v>-0.13251308635737</v>
      </c>
      <c r="I262" s="44" t="n">
        <f aca="false">RANK(H262,$H$247:$H$270,1)</f>
        <v>3</v>
      </c>
      <c r="J262" s="44" t="n">
        <f aca="false">MAX(IF(I262&lt;=g_n_weak,1,0),E262)</f>
        <v>1</v>
      </c>
      <c r="K262" s="44" t="n">
        <f aca="false">IF(I262&gt;12,1,0)*(1-E262)</f>
        <v>0</v>
      </c>
      <c r="L262" s="35" t="n">
        <f aca="false">INDEX(Inputs_Banks!$AR21:$AX21,1,G262+1)</f>
        <v>0.9076515</v>
      </c>
      <c r="M262" s="35" t="n">
        <f aca="false">Inputs_Banks!$AI21*MIN(1,p_u_base+$CD$250*p_u_pan_all+J262*($CD$250*p_u_pan_weak+p_u_mda*D262)+p_u_notch*G262+p_u_fail*E262)</f>
        <v>279.352366202</v>
      </c>
      <c r="N262" s="35" t="n">
        <f aca="false">Inputs_Banks!$AK21*MIN(1,p_w_base+p_w_pan*$CD$250+p_w_notch*G262+0.5*D262+1*E262)</f>
        <v>28.371245</v>
      </c>
      <c r="O262" s="35" t="n">
        <f aca="false">Inputs_Banks!$AO21*MIN(1,p_cp_base+p_cp_pan*$CD$250+p_cp_notch*G262)</f>
        <v>5.15</v>
      </c>
      <c r="P262" s="35" t="n">
        <f aca="false">Inputs_Banks!$AN21*(p_dh+p_dh_pan*$CD$250+MIN(1,0.5*$CD$257+0.25*G262))</f>
        <v>44.8565902707607</v>
      </c>
      <c r="Q262" s="35" t="n">
        <f aca="false">Modules!$Y21</f>
        <v>9.2558384</v>
      </c>
      <c r="R262" s="35" t="n">
        <f aca="false">Inputs_Banks!$AJ21*K262</f>
        <v>0</v>
      </c>
      <c r="S262" s="35" t="n">
        <f aca="false">p_liq_on*$CD$258*SUM($M$247:$M$270)*R262/MAX(0.000000001,SUM($R$247:$R$270))</f>
        <v>0</v>
      </c>
      <c r="T262" s="35" t="n">
        <f aca="false">p_liq_on*(L262+M262+N262+O262+P262+Q262)</f>
        <v>367.893691372761</v>
      </c>
      <c r="U262" s="35" t="n">
        <f aca="false">g_usable*Inputs_Banks!$AG21+p_cb_on*Inputs_Banks!$AQ21+S262</f>
        <v>309.53302303</v>
      </c>
      <c r="V262" s="35" t="n">
        <f aca="false">MAX(0,T262-U262)</f>
        <v>58.3606683427607</v>
      </c>
      <c r="W262" s="44" t="n">
        <f aca="false">IF(V262&gt;0.9*Inputs_Banks!$BB21,1,0)</f>
        <v>0</v>
      </c>
      <c r="X262" s="43" t="n">
        <f aca="false">MAX(p_htm_forced,(1-p_cb_on)*MIN(1,T262/Inputs_Banks!$AG21)*g_theta_sell)</f>
        <v>0.25</v>
      </c>
      <c r="Y262" s="35" t="n">
        <f aca="false">MAX(0,Modules!$V21-B262/(Inputs_Banks!$I21+g_del_buf))</f>
        <v>532.153100519205</v>
      </c>
      <c r="Z262" s="35" t="n">
        <f aca="false">MIN(g_del_cap*Inputs_Banks!$BB21,Y262)</f>
        <v>21.8225</v>
      </c>
      <c r="AA262" s="35" t="n">
        <f aca="false">MIN(Inputs_Banks!$BB21,V262+Z262)</f>
        <v>80.1831683427607</v>
      </c>
      <c r="AB262" s="35" t="n">
        <f aca="false">$AA262*Holdings!Q21</f>
        <v>0</v>
      </c>
      <c r="AC262" s="35" t="n">
        <f aca="false">$AA262*Holdings!R21</f>
        <v>0</v>
      </c>
      <c r="AD262" s="35" t="n">
        <f aca="false">$AA262*Holdings!S21</f>
        <v>0</v>
      </c>
      <c r="AE262" s="35" t="n">
        <f aca="false">$AA262*Holdings!T21</f>
        <v>1.42380468474372</v>
      </c>
      <c r="AF262" s="35" t="n">
        <f aca="false">$AA262*Holdings!U21</f>
        <v>63.4006447361364</v>
      </c>
      <c r="AG262" s="35" t="n">
        <f aca="false">$AA262*Holdings!V21</f>
        <v>0</v>
      </c>
      <c r="AH262" s="35" t="n">
        <f aca="false">$AA262*Holdings!W21</f>
        <v>13.420507383294</v>
      </c>
      <c r="AI262" s="35" t="n">
        <f aca="false">$AA262*Holdings!X21</f>
        <v>0</v>
      </c>
      <c r="AJ262" s="35" t="n">
        <f aca="false">$AA262*Holdings!Y21</f>
        <v>0</v>
      </c>
      <c r="AK262" s="35" t="n">
        <f aca="false">$AA262*Holdings!Z21</f>
        <v>0</v>
      </c>
      <c r="AL262" s="35" t="n">
        <f aca="false">$AA262*Holdings!AA21</f>
        <v>1.93821153858661</v>
      </c>
      <c r="AM262" s="35" t="n">
        <f aca="false">$AA262*Holdings!AB21</f>
        <v>0</v>
      </c>
      <c r="AN262" s="35" t="n">
        <f aca="false">$AA262*Holdings!AC21</f>
        <v>0</v>
      </c>
      <c r="AO262" s="43" t="n">
        <f aca="false">MIN(1,$CD$257+0.5*G262)</f>
        <v>1</v>
      </c>
      <c r="AP262" s="35" t="n">
        <f aca="false">p_liq_on*Inputs_Banks!$AP21*AO262*p_mb_psi</f>
        <v>0</v>
      </c>
      <c r="AQ262" s="44" t="n">
        <f aca="false">MAX(F262,E262,W262*(1-p_cb_on))</f>
        <v>1</v>
      </c>
      <c r="AR262" s="35" t="n">
        <f aca="false">p_ib_on*p_lgd_ib*g_s_in*g_u_ib*SUMPRODUCT(Network!R$6:R$29,$AQ$247:$AQ$270)</f>
        <v>4.21649398828672</v>
      </c>
      <c r="AS262" s="35" t="n">
        <f aca="false">p_sw_M1*(SUMPRODUCT(BDC_EAD!R$106:R$127,$BF$247:$BF$268)+SUMPRODUCT(BDC_EAD!R$131:R$152,$BG$247:$BG$268)+(Inputs_Banks!$Y21+p_ccf_bl*Inputs_Banks!$Z21)*$CD$270+Modules!$E21)</f>
        <v>28.674151775399</v>
      </c>
      <c r="AT262" s="35" t="n">
        <f aca="false">p_sw_M3*(Inputs_Banks!$U21+p_ccf_abf*Inputs_Banks!$V21)*$CD$271</f>
        <v>10.6062570749984</v>
      </c>
      <c r="AU262" s="35" t="n">
        <f aca="false">p_sw_M10*Inputs_Banks!$AC21*$CD$272</f>
        <v>0</v>
      </c>
      <c r="AV262" s="35" t="n">
        <f aca="false">p_sw_M8*(Modules!$M21+Modules!$N21*IF(p_liq_on&gt;0,X262,p_htm_forced))</f>
        <v>2.171</v>
      </c>
      <c r="AW262" s="35" t="n">
        <f aca="false">SUMPRODUCT(Holdings!$C21:$O21,Holdings!$C$32:$O$32,$AB$272:$AN$272)+Inputs_Banks!$P21*$AL$272</f>
        <v>10.5166125128823</v>
      </c>
      <c r="AX262" s="35" t="n">
        <f aca="false">Modules!$T21+AS262+AT262+AU262+AV262+AW262+AR262</f>
        <v>67.6274552143469</v>
      </c>
      <c r="AY262" s="35" t="n">
        <f aca="false">Modules!$U21-(1-p_tax)*AX262</f>
        <v>-9.28772691434693</v>
      </c>
      <c r="AZ262" s="39" t="n">
        <f aca="false">AY262/Modules!$V21</f>
        <v>-0.0205130863573704</v>
      </c>
      <c r="BA262" s="48" t="s">
        <v>659</v>
      </c>
      <c r="BB262" s="43" t="n">
        <f aca="false">INDEX($BJ$247:$BJ$280,BDC_EAD!$B21)</f>
        <v>0.361123826355913</v>
      </c>
      <c r="BC262" s="43" t="n">
        <f aca="false">INDEX($BK$247:$BK$280,BDC_EAD!$B21)</f>
        <v>0.0628985067484052</v>
      </c>
      <c r="BD262" s="22" t="n">
        <f aca="false">INDEX(BDC!$Q$6:$Q$39,BDC_EAD!$B21)</f>
        <v>0.239316017316017</v>
      </c>
      <c r="BE262" s="43" t="n">
        <f aca="false">BB262*(1-$AK$272)-BC262-p_c_liq</f>
        <v>0.085719597747347</v>
      </c>
      <c r="BF262" s="43" t="n">
        <f aca="false">p_phi*MAX(0,p_a_spv-BE262)/p_a_spv+(1-p_phi)*MAX(0,p_a_spv-BB262)/p_a_spv</f>
        <v>0.798856509329914</v>
      </c>
      <c r="BG262" s="43" t="n">
        <f aca="false">IF(BD262&gt;0,p_phi*MAX(0,BD262-BE262)/BD262+(1-p_phi)*MAX(0,BD262-BB262)/BD262,0)</f>
        <v>0.513451364572379</v>
      </c>
      <c r="BI262" s="12" t="str">
        <f aca="false">BDC!$A$21</f>
        <v>PSEC</v>
      </c>
      <c r="BJ262" s="43" t="n">
        <f aca="false">1-((1-BDC!$D$21)*$CD$263+BDC!$D$21*$CD$264)-p_gap-$CD$253*(1-BDC!$M$21)</f>
        <v>0.113624404509291</v>
      </c>
      <c r="BK262" s="43" t="n">
        <f aca="false">(1-BDC!$D$21)*$CD$265+BDC!$D$21*$CD$266</f>
        <v>0.0681894721239115</v>
      </c>
      <c r="BL262" s="45" t="n">
        <f aca="false">BJ262/BDC!$K$21</f>
        <v>0.293980602143086</v>
      </c>
      <c r="BM262" s="35" t="n">
        <f aca="false">IF(BL262&lt;1.5,BDC!$C$21,0)</f>
        <v>6.34</v>
      </c>
      <c r="BN262" s="43" t="n">
        <f aca="false">MAX(0,1-BJ262*(1-CE_mig_hc)-p_bb_cush)*BDC!$Q$21</f>
        <v>0.168253607408428</v>
      </c>
      <c r="BO262" s="43" t="n">
        <f aca="false">MAX(0,BDC!$K$21-BJ262/1.5)</f>
        <v>0.310753464478469</v>
      </c>
      <c r="BP262" s="43" t="n">
        <f aca="false">MIN(MIN(1,BDC!$H$21*$CD$256),$CD$255)</f>
        <v>0</v>
      </c>
      <c r="BQ262" s="43" t="n">
        <f aca="false">BDC!$I$21*BDC!$J$21*BP262*(1-0.3)</f>
        <v>0</v>
      </c>
      <c r="BR262" s="45" t="n">
        <f aca="false">BDC!$C$21*($CD$254*MAX(BN262,BO262)+BQ262)</f>
        <v>1.97017696479349</v>
      </c>
      <c r="CC262" s="10" t="s">
        <v>987</v>
      </c>
      <c r="CD262" s="43" t="n">
        <f aca="false">SUMPRODUCT(CreditEngine!$B$6:$B$10,$BV$247:$BV$251)</f>
        <v>0.924318714457985</v>
      </c>
    </row>
    <row r="263" customFormat="false" ht="15" hidden="false" customHeight="true" outlineLevel="0" collapsed="false">
      <c r="A263" s="10" t="s">
        <v>530</v>
      </c>
      <c r="B263" s="35" t="n">
        <f aca="false">AY223</f>
        <v>36.664953036146</v>
      </c>
      <c r="C263" s="39" t="n">
        <f aca="false">AZ223</f>
        <v>0.0374031559348759</v>
      </c>
      <c r="D263" s="44" t="n">
        <f aca="false">IF(C263&lt;Inputs_Banks!$I22,1,0)</f>
        <v>1</v>
      </c>
      <c r="E263" s="44" t="n">
        <f aca="false">IF(C263&lt;0.045,1,0)</f>
        <v>1</v>
      </c>
      <c r="F263" s="44" t="n">
        <f aca="false">IF(B263&lt;0,1,0)</f>
        <v>0</v>
      </c>
      <c r="G263" s="44" t="n">
        <f aca="false">MIN(6,MIN(3,INT(MAX(0,Inputs_Banks!$BA22-C263)/p_notch_step))+D263+2*E263)</f>
        <v>6</v>
      </c>
      <c r="H263" s="39" t="n">
        <f aca="false">C263-Inputs_Banks!$I22</f>
        <v>-0.0668968440651241</v>
      </c>
      <c r="I263" s="44" t="n">
        <f aca="false">RANK(H263,$H$247:$H$270,1)</f>
        <v>10</v>
      </c>
      <c r="J263" s="44" t="n">
        <f aca="false">MAX(IF(I263&lt;=g_n_weak,1,0),E263)</f>
        <v>1</v>
      </c>
      <c r="K263" s="44" t="n">
        <f aca="false">IF(I263&gt;12,1,0)*(1-E263)</f>
        <v>0</v>
      </c>
      <c r="L263" s="35" t="n">
        <f aca="false">INDEX(Inputs_Banks!$AR22:$AX22,1,G263+1)</f>
        <v>2.945586</v>
      </c>
      <c r="M263" s="35" t="n">
        <f aca="false">Inputs_Banks!$AI22*MIN(1,p_u_base+$CD$250*p_u_pan_all+J263*($CD$250*p_u_pan_weak+p_u_mda*D263)+p_u_notch*G263+p_u_fail*E263)</f>
        <v>546.513203124</v>
      </c>
      <c r="N263" s="35" t="n">
        <f aca="false">Inputs_Banks!$AK22*MIN(1,p_w_base+p_w_pan*$CD$250+p_w_notch*G263+0.5*D263+1*E263)</f>
        <v>28.3758118</v>
      </c>
      <c r="O263" s="35" t="n">
        <f aca="false">Inputs_Banks!$AO22*MIN(1,p_cp_base+p_cp_pan*$CD$250+p_cp_notch*G263)</f>
        <v>6.01</v>
      </c>
      <c r="P263" s="35" t="n">
        <f aca="false">Inputs_Banks!$AN22*(p_dh+p_dh_pan*$CD$250+MIN(1,0.5*$CD$257+0.25*G263))</f>
        <v>327.022854105455</v>
      </c>
      <c r="Q263" s="35" t="n">
        <f aca="false">Modules!$Y22</f>
        <v>9.7948712</v>
      </c>
      <c r="R263" s="35" t="n">
        <f aca="false">Inputs_Banks!$AJ22*K263</f>
        <v>0</v>
      </c>
      <c r="S263" s="35" t="n">
        <f aca="false">p_liq_on*$CD$258*SUM($M$247:$M$270)*R263/MAX(0.000000001,SUM($R$247:$R$270))</f>
        <v>0</v>
      </c>
      <c r="T263" s="35" t="n">
        <f aca="false">p_liq_on*(L263+M263+N263+O263+P263+Q263)</f>
        <v>920.662326229455</v>
      </c>
      <c r="U263" s="35" t="n">
        <f aca="false">g_usable*Inputs_Banks!$AG22+p_cb_on*Inputs_Banks!$AQ22+S263</f>
        <v>714.7042</v>
      </c>
      <c r="V263" s="35" t="n">
        <f aca="false">MAX(0,T263-U263)</f>
        <v>205.958126229456</v>
      </c>
      <c r="W263" s="44" t="n">
        <f aca="false">IF(V263&gt;0.9*Inputs_Banks!$BB22,1,0)</f>
        <v>0</v>
      </c>
      <c r="X263" s="43" t="n">
        <f aca="false">MAX(p_htm_forced,(1-p_cb_on)*MIN(1,T263/Inputs_Banks!$AG22)*g_theta_sell)</f>
        <v>0.25</v>
      </c>
      <c r="Y263" s="35" t="n">
        <f aca="false">MAX(0,Modules!$V22-B263/(Inputs_Banks!$I22+g_del_buf))</f>
        <v>644.811167702233</v>
      </c>
      <c r="Z263" s="35" t="n">
        <f aca="false">MIN(g_del_cap*Inputs_Banks!$BB22,Y263)</f>
        <v>88.1275</v>
      </c>
      <c r="AA263" s="35" t="n">
        <f aca="false">MIN(Inputs_Banks!$BB22,V263+Z263)</f>
        <v>294.085626229456</v>
      </c>
      <c r="AB263" s="35" t="n">
        <f aca="false">$AA263*Holdings!Q22</f>
        <v>0</v>
      </c>
      <c r="AC263" s="35" t="n">
        <f aca="false">$AA263*Holdings!R22</f>
        <v>0</v>
      </c>
      <c r="AD263" s="35" t="n">
        <f aca="false">$AA263*Holdings!S22</f>
        <v>0</v>
      </c>
      <c r="AE263" s="35" t="n">
        <f aca="false">$AA263*Holdings!T22</f>
        <v>0</v>
      </c>
      <c r="AF263" s="35" t="n">
        <f aca="false">$AA263*Holdings!U22</f>
        <v>121.243267027678</v>
      </c>
      <c r="AG263" s="35" t="n">
        <f aca="false">$AA263*Holdings!V22</f>
        <v>0</v>
      </c>
      <c r="AH263" s="35" t="n">
        <f aca="false">$AA263*Holdings!W22</f>
        <v>11.2291637940724</v>
      </c>
      <c r="AI263" s="35" t="n">
        <f aca="false">$AA263*Holdings!X22</f>
        <v>0</v>
      </c>
      <c r="AJ263" s="35" t="n">
        <f aca="false">$AA263*Holdings!Y22</f>
        <v>0</v>
      </c>
      <c r="AK263" s="35" t="n">
        <f aca="false">$AA263*Holdings!Z22</f>
        <v>0</v>
      </c>
      <c r="AL263" s="35" t="n">
        <f aca="false">$AA263*Holdings!AA22</f>
        <v>161.613195407705</v>
      </c>
      <c r="AM263" s="35" t="n">
        <f aca="false">$AA263*Holdings!AB22</f>
        <v>0</v>
      </c>
      <c r="AN263" s="35" t="n">
        <f aca="false">$AA263*Holdings!AC22</f>
        <v>0</v>
      </c>
      <c r="AO263" s="43" t="n">
        <f aca="false">MIN(1,$CD$257+0.5*G263)</f>
        <v>1</v>
      </c>
      <c r="AP263" s="35" t="n">
        <f aca="false">p_liq_on*Inputs_Banks!$AP22*AO263*p_mb_psi</f>
        <v>11.592</v>
      </c>
      <c r="AQ263" s="44" t="n">
        <f aca="false">MAX(F263,E263,W263*(1-p_cb_on))</f>
        <v>1</v>
      </c>
      <c r="AR263" s="35" t="n">
        <f aca="false">p_ib_on*p_lgd_ib*g_s_in*g_u_ib*SUMPRODUCT(Network!S$6:S$29,$AQ$247:$AQ$270)</f>
        <v>12.8576723198117</v>
      </c>
      <c r="AS263" s="35" t="n">
        <f aca="false">p_sw_M1*(SUMPRODUCT(BDC_EAD!S$106:S$127,$BF$247:$BF$268)+SUMPRODUCT(BDC_EAD!S$131:S$152,$BG$247:$BG$268)+(Inputs_Banks!$Y22+p_ccf_bl*Inputs_Banks!$Z22)*$CD$270+Modules!$E22)</f>
        <v>23.7487346889017</v>
      </c>
      <c r="AT263" s="35" t="n">
        <f aca="false">p_sw_M3*(Inputs_Banks!$U22+p_ccf_abf*Inputs_Banks!$V22)*$CD$271</f>
        <v>3.81118170894942</v>
      </c>
      <c r="AU263" s="35" t="n">
        <f aca="false">p_sw_M10*Inputs_Banks!$AC22*$CD$272</f>
        <v>0</v>
      </c>
      <c r="AV263" s="35" t="n">
        <f aca="false">p_sw_M8*(Modules!$M22+Modules!$N22*IF(p_liq_on&gt;0,X263,p_htm_forced))</f>
        <v>4.40625</v>
      </c>
      <c r="AW263" s="35" t="n">
        <f aca="false">SUMPRODUCT(Holdings!$C22:$O22,Holdings!$C$32:$O$32,$AB$272:$AN$272)+Inputs_Banks!$P22*$AL$272</f>
        <v>16.3242704898486</v>
      </c>
      <c r="AX263" s="35" t="n">
        <f aca="false">Modules!$T22+AS263+AT263+AU263+AV263+AW263+AR263</f>
        <v>81.1584869638541</v>
      </c>
      <c r="AY263" s="35" t="n">
        <f aca="false">Modules!$U22-(1-p_tax)*AX263</f>
        <v>36.664953036146</v>
      </c>
      <c r="AZ263" s="39" t="n">
        <f aca="false">AY263/Modules!$V22</f>
        <v>0.0374031559348759</v>
      </c>
      <c r="BA263" s="48" t="s">
        <v>638</v>
      </c>
      <c r="BB263" s="43" t="n">
        <f aca="false">INDEX($BJ$247:$BJ$280,BDC_EAD!$B22)</f>
        <v>0.393709594067855</v>
      </c>
      <c r="BC263" s="43" t="n">
        <f aca="false">INDEX($BK$247:$BK$280,BDC_EAD!$B22)</f>
        <v>0.0647242624061503</v>
      </c>
      <c r="BD263" s="22" t="n">
        <f aca="false">INDEX(BDC!$Q$6:$Q$39,BDC_EAD!$B22)</f>
        <v>0.177509433962264</v>
      </c>
      <c r="BE263" s="43" t="n">
        <f aca="false">BB263*(1-$AK$272)-BC263-p_c_liq</f>
        <v>0.10181601433117</v>
      </c>
      <c r="BF263" s="43" t="n">
        <f aca="false">p_phi*MAX(0,p_a_spv-BE263)/p_a_spv+(1-p_phi)*MAX(0,p_a_spv-BB263)/p_a_spv</f>
        <v>0.771150385316419</v>
      </c>
      <c r="BG263" s="43" t="n">
        <f aca="false">IF(BD263&gt;0,p_phi*MAX(0,BD263-BE263)/BD263+(1-p_phi)*MAX(0,BD263-BB263)/BD263,0)</f>
        <v>0.341135309561905</v>
      </c>
      <c r="BI263" s="12" t="str">
        <f aca="false">BDC!$A$22</f>
        <v>NHPIF</v>
      </c>
      <c r="BJ263" s="43" t="n">
        <f aca="false">1-((1-BDC!$D$22)*$CD$263+BDC!$D$22*$CD$264)-p_gap-$CD$253*(1-BDC!$M$22)</f>
        <v>0.401231175123755</v>
      </c>
      <c r="BK263" s="43" t="n">
        <f aca="false">(1-BDC!$D$22)*$CD$265+BDC!$D$22*$CD$266</f>
        <v>0.0605883669365645</v>
      </c>
      <c r="BL263" s="45" t="n">
        <f aca="false">BJ263/BDC!$K$22</f>
        <v>0.819180315877667</v>
      </c>
      <c r="BM263" s="35" t="n">
        <f aca="false">IF(BL263&lt;1.5,BDC!$C$22,0)</f>
        <v>5.98</v>
      </c>
      <c r="BN263" s="43" t="n">
        <f aca="false">MAX(0,1-BJ263*(1-CE_mig_hc)-p_bb_cush)*BDC!$Q$22</f>
        <v>0.151630856363478</v>
      </c>
      <c r="BO263" s="43" t="n">
        <f aca="false">MAX(0,BDC!$K$22-BJ263/1.5)</f>
        <v>0.222308468284843</v>
      </c>
      <c r="BP263" s="43" t="n">
        <f aca="false">MIN(MIN(1,BDC!$H$22*$CD$256),$CD$255)</f>
        <v>0.25</v>
      </c>
      <c r="BQ263" s="43" t="n">
        <f aca="false">BDC!$I$22*BDC!$J$22*BP263*(1-0.3)</f>
        <v>0.0892857142857143</v>
      </c>
      <c r="BR263" s="45" t="n">
        <f aca="false">BDC!$C$22*($CD$254*MAX(BN263,BO263)+BQ263)</f>
        <v>1.86333321177194</v>
      </c>
      <c r="CC263" s="10" t="s">
        <v>988</v>
      </c>
      <c r="CD263" s="43" t="n">
        <f aca="false">$CD$261*p_lgd_gen-CE_PDb*g_lgd_gen_b</f>
        <v>0.332131634197048</v>
      </c>
    </row>
    <row r="264" customFormat="false" ht="15" hidden="false" customHeight="true" outlineLevel="0" collapsed="false">
      <c r="A264" s="10" t="s">
        <v>532</v>
      </c>
      <c r="B264" s="35" t="n">
        <f aca="false">AY224</f>
        <v>23.6598018358836</v>
      </c>
      <c r="C264" s="39" t="n">
        <f aca="false">AZ224</f>
        <v>0.0472616971280715</v>
      </c>
      <c r="D264" s="44" t="n">
        <f aca="false">IF(C264&lt;Inputs_Banks!$I23,1,0)</f>
        <v>1</v>
      </c>
      <c r="E264" s="44" t="n">
        <f aca="false">IF(C264&lt;0.045,1,0)</f>
        <v>0</v>
      </c>
      <c r="F264" s="44" t="n">
        <f aca="false">IF(B264&lt;0,1,0)</f>
        <v>0</v>
      </c>
      <c r="G264" s="44" t="n">
        <f aca="false">MIN(6,MIN(3,INT(MAX(0,Inputs_Banks!$BA23-C264)/p_notch_step))+D264+2*E264)</f>
        <v>4</v>
      </c>
      <c r="H264" s="39" t="n">
        <f aca="false">C264-Inputs_Banks!$I23</f>
        <v>-0.0553383028719285</v>
      </c>
      <c r="I264" s="44" t="n">
        <f aca="false">RANK(H264,$H$247:$H$270,1)</f>
        <v>13</v>
      </c>
      <c r="J264" s="44" t="n">
        <f aca="false">MAX(IF(I264&lt;=g_n_weak,1,0),E264)</f>
        <v>0</v>
      </c>
      <c r="K264" s="44" t="n">
        <f aca="false">IF(I264&gt;12,1,0)*(1-E264)</f>
        <v>1</v>
      </c>
      <c r="L264" s="35" t="n">
        <f aca="false">INDEX(Inputs_Banks!$AR23:$AX23,1,G264+1)</f>
        <v>1.2010684</v>
      </c>
      <c r="M264" s="35" t="n">
        <f aca="false">Inputs_Banks!$AI23*MIN(1,p_u_base+$CD$250*p_u_pan_all+J264*($CD$250*p_u_pan_weak+p_u_mda*D264)+p_u_notch*G264+p_u_fail*E264)</f>
        <v>85.2942480453</v>
      </c>
      <c r="N264" s="35" t="n">
        <f aca="false">Inputs_Banks!$AK23*MIN(1,p_w_base+p_w_pan*$CD$250+p_w_notch*G264+0.5*D264+1*E264)</f>
        <v>0</v>
      </c>
      <c r="O264" s="35" t="n">
        <f aca="false">Inputs_Banks!$AO23*MIN(1,p_cp_base+p_cp_pan*$CD$250+p_cp_notch*G264)</f>
        <v>3.8</v>
      </c>
      <c r="P264" s="35" t="n">
        <f aca="false">Inputs_Banks!$AN23*(p_dh+p_dh_pan*$CD$250+MIN(1,0.5*$CD$257+0.25*G264))</f>
        <v>128.300227265032</v>
      </c>
      <c r="Q264" s="35" t="n">
        <f aca="false">Modules!$Y23</f>
        <v>3.506521</v>
      </c>
      <c r="R264" s="35" t="n">
        <f aca="false">Inputs_Banks!$AJ23*K264</f>
        <v>611.4283014</v>
      </c>
      <c r="S264" s="35" t="n">
        <f aca="false">p_liq_on*$CD$258*SUM($M$247:$M$270)*R264/MAX(0.000000001,SUM($R$247:$R$270))</f>
        <v>126.615060020241</v>
      </c>
      <c r="T264" s="35" t="n">
        <f aca="false">p_liq_on*(L264+M264+N264+O264+P264+Q264)</f>
        <v>222.102064710332</v>
      </c>
      <c r="U264" s="35" t="n">
        <f aca="false">g_usable*Inputs_Banks!$AG23+p_cb_on*Inputs_Banks!$AQ23+S264</f>
        <v>563.372395020241</v>
      </c>
      <c r="V264" s="35" t="n">
        <f aca="false">MAX(0,T264-U264)</f>
        <v>0</v>
      </c>
      <c r="W264" s="44" t="n">
        <f aca="false">IF(V264&gt;0.9*Inputs_Banks!$BB23,1,0)</f>
        <v>0</v>
      </c>
      <c r="X264" s="43" t="n">
        <f aca="false">MAX(p_htm_forced,(1-p_cb_on)*MIN(1,T264/Inputs_Banks!$AG23)*g_theta_sell)</f>
        <v>0.184920413117464</v>
      </c>
      <c r="Y264" s="35" t="n">
        <f aca="false">MAX(0,Modules!$V23-B264/(Inputs_Banks!$I23+g_del_buf))</f>
        <v>280.725981837513</v>
      </c>
      <c r="Z264" s="35" t="n">
        <f aca="false">MIN(g_del_cap*Inputs_Banks!$BB23,Y264)</f>
        <v>40.9075</v>
      </c>
      <c r="AA264" s="35" t="n">
        <f aca="false">MIN(Inputs_Banks!$BB23,V264+Z264)</f>
        <v>40.9075</v>
      </c>
      <c r="AB264" s="35" t="n">
        <f aca="false">$AA264*Holdings!Q23</f>
        <v>0</v>
      </c>
      <c r="AC264" s="35" t="n">
        <f aca="false">$AA264*Holdings!R23</f>
        <v>0</v>
      </c>
      <c r="AD264" s="35" t="n">
        <f aca="false">$AA264*Holdings!S23</f>
        <v>0</v>
      </c>
      <c r="AE264" s="35" t="n">
        <f aca="false">$AA264*Holdings!T23</f>
        <v>0</v>
      </c>
      <c r="AF264" s="35" t="n">
        <f aca="false">$AA264*Holdings!U23</f>
        <v>6.4975</v>
      </c>
      <c r="AG264" s="35" t="n">
        <f aca="false">$AA264*Holdings!V23</f>
        <v>0</v>
      </c>
      <c r="AH264" s="35" t="n">
        <f aca="false">$AA264*Holdings!W23</f>
        <v>2.6375</v>
      </c>
      <c r="AI264" s="35" t="n">
        <f aca="false">$AA264*Holdings!X23</f>
        <v>0</v>
      </c>
      <c r="AJ264" s="35" t="n">
        <f aca="false">$AA264*Holdings!Y23</f>
        <v>0</v>
      </c>
      <c r="AK264" s="35" t="n">
        <f aca="false">$AA264*Holdings!Z23</f>
        <v>0</v>
      </c>
      <c r="AL264" s="35" t="n">
        <f aca="false">$AA264*Holdings!AA23</f>
        <v>31.7725</v>
      </c>
      <c r="AM264" s="35" t="n">
        <f aca="false">$AA264*Holdings!AB23</f>
        <v>0</v>
      </c>
      <c r="AN264" s="35" t="n">
        <f aca="false">$AA264*Holdings!AC23</f>
        <v>0</v>
      </c>
      <c r="AO264" s="43" t="n">
        <f aca="false">MIN(1,$CD$257+0.5*G264)</f>
        <v>1</v>
      </c>
      <c r="AP264" s="35" t="n">
        <f aca="false">p_liq_on*Inputs_Banks!$AP23*AO264*p_mb_psi</f>
        <v>5.856</v>
      </c>
      <c r="AQ264" s="44" t="n">
        <f aca="false">MAX(F264,E264,W264*(1-p_cb_on))</f>
        <v>0</v>
      </c>
      <c r="AR264" s="35" t="n">
        <f aca="false">p_ib_on*p_lgd_ib*g_s_in*g_u_ib*SUMPRODUCT(Network!T$6:T$29,$AQ$247:$AQ$270)</f>
        <v>9.57333551838029</v>
      </c>
      <c r="AS264" s="35" t="n">
        <f aca="false">p_sw_M1*(SUMPRODUCT(BDC_EAD!T$106:T$127,$BF$247:$BF$268)+SUMPRODUCT(BDC_EAD!T$131:T$152,$BG$247:$BG$268)+(Inputs_Banks!$Y23+p_ccf_bl*Inputs_Banks!$Z23)*$CD$270+Modules!$E23)</f>
        <v>11.9173703231754</v>
      </c>
      <c r="AT264" s="35" t="n">
        <f aca="false">p_sw_M3*(Inputs_Banks!$U23+p_ccf_abf*Inputs_Banks!$V23)*$CD$271</f>
        <v>0</v>
      </c>
      <c r="AU264" s="35" t="n">
        <f aca="false">p_sw_M10*Inputs_Banks!$AC23*$CD$272</f>
        <v>0</v>
      </c>
      <c r="AV264" s="35" t="n">
        <f aca="false">p_sw_M8*(Modules!$M23+Modules!$N23*IF(p_liq_on&gt;0,X264,p_htm_forced))</f>
        <v>1.51600832932119</v>
      </c>
      <c r="AW264" s="35" t="n">
        <f aca="false">SUMPRODUCT(Holdings!$C23:$O23,Holdings!$C$32:$O$32,$AB$272:$AN$272)+Inputs_Banks!$P23*$AL$272</f>
        <v>6.94276181715746</v>
      </c>
      <c r="AX264" s="35" t="n">
        <f aca="false">Modules!$T23+AS264+AT264+AU264+AV264+AW264+AR264</f>
        <v>37.4211481641164</v>
      </c>
      <c r="AY264" s="35" t="n">
        <f aca="false">Modules!$U23-(1-p_tax)*AX264</f>
        <v>23.6598018358836</v>
      </c>
      <c r="AZ264" s="39" t="n">
        <f aca="false">AY264/Modules!$V23</f>
        <v>0.0472616971280715</v>
      </c>
      <c r="BA264" s="48" t="s">
        <v>631</v>
      </c>
      <c r="BB264" s="43" t="n">
        <f aca="false">INDEX($BJ$247:$BJ$280,BDC_EAD!$B23)</f>
        <v>0.421663471167733</v>
      </c>
      <c r="BC264" s="43" t="n">
        <f aca="false">INDEX($BK$247:$BK$280,BDC_EAD!$B23)</f>
        <v>0.063979056015234</v>
      </c>
      <c r="BD264" s="22" t="n">
        <f aca="false">INDEX(BDC!$Q$6:$Q$39,BDC_EAD!$B23)</f>
        <v>0.276335078534031</v>
      </c>
      <c r="BE264" s="43" t="n">
        <f aca="false">BB264*(1-$AK$272)-BC264-p_c_liq</f>
        <v>0.117935853127019</v>
      </c>
      <c r="BF264" s="43" t="n">
        <f aca="false">p_phi*MAX(0,p_a_spv-BE264)/p_a_spv+(1-p_phi)*MAX(0,p_a_spv-BB264)/p_a_spv</f>
        <v>0.74474089037834</v>
      </c>
      <c r="BG264" s="43" t="n">
        <f aca="false">IF(BD264&gt;0,p_phi*MAX(0,BD264-BE264)/BD264+(1-p_phi)*MAX(0,BD264-BB264)/BD264,0)</f>
        <v>0.458571459685326</v>
      </c>
      <c r="BI264" s="12" t="str">
        <f aca="false">BDC!$A$23</f>
        <v>MAIN</v>
      </c>
      <c r="BJ264" s="43" t="n">
        <f aca="false">1-((1-BDC!$D$23)*$CD$263+BDC!$D$23*$CD$264)-p_gap-$CD$253*(1-BDC!$M$23)</f>
        <v>0.556417298789294</v>
      </c>
      <c r="BK264" s="43" t="n">
        <f aca="false">(1-BDC!$D$23)*$CD$265+BDC!$D$23*$CD$266</f>
        <v>0.0671461831766286</v>
      </c>
      <c r="BL264" s="45" t="n">
        <f aca="false">BJ264/BDC!$K$23</f>
        <v>1.25193892227591</v>
      </c>
      <c r="BM264" s="35" t="n">
        <f aca="false">IF(BL264&lt;1.5,BDC!$C$23,0)</f>
        <v>5.75</v>
      </c>
      <c r="BN264" s="43" t="n">
        <f aca="false">MAX(0,1-BJ264*(1-CE_mig_hc)-p_bb_cush)*BDC!$Q$23</f>
        <v>0.050065278117532</v>
      </c>
      <c r="BO264" s="43" t="n">
        <f aca="false">MAX(0,BDC!$K$23-BJ264/1.5)</f>
        <v>0.0734995785849151</v>
      </c>
      <c r="BP264" s="43" t="n">
        <f aca="false">MIN(MIN(1,BDC!$H$23*$CD$256),$CD$255)</f>
        <v>0</v>
      </c>
      <c r="BQ264" s="43" t="n">
        <f aca="false">BDC!$I$23*BDC!$J$23*BP264*(1-0.3)</f>
        <v>0</v>
      </c>
      <c r="BR264" s="45" t="n">
        <f aca="false">BDC!$C$23*($CD$254*MAX(BN264,BO264)+BQ264)</f>
        <v>0.422622576863262</v>
      </c>
      <c r="CC264" s="10" t="s">
        <v>989</v>
      </c>
      <c r="CD264" s="43" t="n">
        <f aca="false">$CD$262*p_lgd_sw-CE_PDb*g_lgd_sw_b</f>
        <v>0.556662359955042</v>
      </c>
    </row>
    <row r="265" customFormat="false" ht="15" hidden="false" customHeight="true" outlineLevel="0" collapsed="false">
      <c r="A265" s="10" t="s">
        <v>534</v>
      </c>
      <c r="B265" s="35" t="n">
        <f aca="false">AY225</f>
        <v>43.1850972513385</v>
      </c>
      <c r="C265" s="39" t="n">
        <f aca="false">AZ225</f>
        <v>0.0793534454428393</v>
      </c>
      <c r="D265" s="44" t="n">
        <f aca="false">IF(C265&lt;Inputs_Banks!$I24,1,0)</f>
        <v>1</v>
      </c>
      <c r="E265" s="44" t="n">
        <f aca="false">IF(C265&lt;0.045,1,0)</f>
        <v>0</v>
      </c>
      <c r="F265" s="44" t="n">
        <f aca="false">IF(B265&lt;0,1,0)</f>
        <v>0</v>
      </c>
      <c r="G265" s="44" t="n">
        <f aca="false">MIN(6,MIN(3,INT(MAX(0,Inputs_Banks!$BA24-C265)/p_notch_step))+D265+2*E265)</f>
        <v>3</v>
      </c>
      <c r="H265" s="39" t="n">
        <f aca="false">C265-Inputs_Banks!$I24</f>
        <v>-0.0289465545571607</v>
      </c>
      <c r="I265" s="44" t="n">
        <f aca="false">RANK(H265,$H$247:$H$270,1)</f>
        <v>20</v>
      </c>
      <c r="J265" s="44" t="n">
        <f aca="false">MAX(IF(I265&lt;=g_n_weak,1,0),E265)</f>
        <v>0</v>
      </c>
      <c r="K265" s="44" t="n">
        <f aca="false">IF(I265&gt;12,1,0)*(1-E265)</f>
        <v>1</v>
      </c>
      <c r="L265" s="35" t="n">
        <f aca="false">INDEX(Inputs_Banks!$AR24:$AX24,1,G265+1)</f>
        <v>1.0254</v>
      </c>
      <c r="M265" s="35" t="n">
        <f aca="false">Inputs_Banks!$AI24*MIN(1,p_u_base+$CD$250*p_u_pan_all+J265*($CD$250*p_u_pan_weak+p_u_mda*D265)+p_u_notch*G265+p_u_fail*E265)</f>
        <v>98.681085</v>
      </c>
      <c r="N265" s="35" t="n">
        <f aca="false">Inputs_Banks!$AK24*MIN(1,p_w_base+p_w_pan*$CD$250+p_w_notch*G265+0.5*D265+1*E265)</f>
        <v>44.031</v>
      </c>
      <c r="O265" s="35" t="n">
        <f aca="false">Inputs_Banks!$AO24*MIN(1,p_cp_base+p_cp_pan*$CD$250+p_cp_notch*G265)</f>
        <v>6.29</v>
      </c>
      <c r="P265" s="35" t="n">
        <f aca="false">Inputs_Banks!$AN24*(p_dh+p_dh_pan*$CD$250+MIN(1,0.5*$CD$257+0.25*G265))</f>
        <v>21.26696</v>
      </c>
      <c r="Q265" s="35" t="n">
        <f aca="false">Modules!$Y24</f>
        <v>0.730916</v>
      </c>
      <c r="R265" s="35" t="n">
        <f aca="false">Inputs_Banks!$AJ24*K265</f>
        <v>812.19</v>
      </c>
      <c r="S265" s="35" t="n">
        <f aca="false">p_liq_on*$CD$258*SUM($M$247:$M$270)*R265/MAX(0.000000001,SUM($R$247:$R$270))</f>
        <v>168.188952592438</v>
      </c>
      <c r="T265" s="35" t="n">
        <f aca="false">p_liq_on*(L265+M265+N265+O265+P265+Q265)</f>
        <v>172.025361</v>
      </c>
      <c r="U265" s="35" t="n">
        <f aca="false">g_usable*Inputs_Banks!$AG24+p_cb_on*Inputs_Banks!$AQ24+S265</f>
        <v>544.168952592438</v>
      </c>
      <c r="V265" s="35" t="n">
        <f aca="false">MAX(0,T265-U265)</f>
        <v>0</v>
      </c>
      <c r="W265" s="44" t="n">
        <f aca="false">IF(V265&gt;0.9*Inputs_Banks!$BB24,1,0)</f>
        <v>0</v>
      </c>
      <c r="X265" s="43" t="n">
        <f aca="false">MAX(p_htm_forced,(1-p_cb_on)*MIN(1,T265/Inputs_Banks!$AG24)*g_theta_sell)</f>
        <v>0.125823113662961</v>
      </c>
      <c r="Y265" s="35" t="n">
        <f aca="false">MAX(0,Modules!$V24-B265/(Inputs_Banks!$I24+g_del_buf))</f>
        <v>163.05491922914</v>
      </c>
      <c r="Z265" s="35" t="n">
        <f aca="false">MIN(g_del_cap*Inputs_Banks!$BB24,Y265)</f>
        <v>63.9425</v>
      </c>
      <c r="AA265" s="35" t="n">
        <f aca="false">MIN(Inputs_Banks!$BB24,V265+Z265)</f>
        <v>63.9425</v>
      </c>
      <c r="AB265" s="35" t="n">
        <f aca="false">$AA265*Holdings!Q24</f>
        <v>0</v>
      </c>
      <c r="AC265" s="35" t="n">
        <f aca="false">$AA265*Holdings!R24</f>
        <v>0</v>
      </c>
      <c r="AD265" s="35" t="n">
        <f aca="false">$AA265*Holdings!S24</f>
        <v>0</v>
      </c>
      <c r="AE265" s="35" t="n">
        <f aca="false">$AA265*Holdings!T24</f>
        <v>0</v>
      </c>
      <c r="AF265" s="35" t="n">
        <f aca="false">$AA265*Holdings!U24</f>
        <v>10.3475</v>
      </c>
      <c r="AG265" s="35" t="n">
        <f aca="false">$AA265*Holdings!V24</f>
        <v>0</v>
      </c>
      <c r="AH265" s="35" t="n">
        <f aca="false">$AA265*Holdings!W24</f>
        <v>0.915</v>
      </c>
      <c r="AI265" s="35" t="n">
        <f aca="false">$AA265*Holdings!X24</f>
        <v>0</v>
      </c>
      <c r="AJ265" s="35" t="n">
        <f aca="false">$AA265*Holdings!Y24</f>
        <v>0.535</v>
      </c>
      <c r="AK265" s="35" t="n">
        <f aca="false">$AA265*Holdings!Z24</f>
        <v>0</v>
      </c>
      <c r="AL265" s="35" t="n">
        <f aca="false">$AA265*Holdings!AA24</f>
        <v>32.3075</v>
      </c>
      <c r="AM265" s="35" t="n">
        <f aca="false">$AA265*Holdings!AB24</f>
        <v>0</v>
      </c>
      <c r="AN265" s="35" t="n">
        <f aca="false">$AA265*Holdings!AC24</f>
        <v>19.8375</v>
      </c>
      <c r="AO265" s="43" t="n">
        <f aca="false">MIN(1,$CD$257+0.5*G265)</f>
        <v>1</v>
      </c>
      <c r="AP265" s="35" t="n">
        <f aca="false">p_liq_on*Inputs_Banks!$AP24*AO265*p_mb_psi</f>
        <v>0.18</v>
      </c>
      <c r="AQ265" s="44" t="n">
        <f aca="false">MAX(F265,E265,W265*(1-p_cb_on))</f>
        <v>0</v>
      </c>
      <c r="AR265" s="35" t="n">
        <f aca="false">p_ib_on*p_lgd_ib*g_s_in*g_u_ib*SUMPRODUCT(Network!U$6:U$29,$AQ$247:$AQ$270)</f>
        <v>10.91666863851</v>
      </c>
      <c r="AS265" s="35" t="n">
        <f aca="false">p_sw_M1*(SUMPRODUCT(BDC_EAD!U$106:U$127,$BF$247:$BF$268)+SUMPRODUCT(BDC_EAD!U$131:U$152,$BG$247:$BG$268)+(Inputs_Banks!$Y24+p_ccf_bl*Inputs_Banks!$Z24)*$CD$270+Modules!$E24)</f>
        <v>0.0607767881736133</v>
      </c>
      <c r="AT265" s="35" t="n">
        <f aca="false">p_sw_M3*(Inputs_Banks!$U24+p_ccf_abf*Inputs_Banks!$V24)*$CD$271</f>
        <v>0</v>
      </c>
      <c r="AU265" s="35" t="n">
        <f aca="false">p_sw_M10*Inputs_Banks!$AC24*$CD$272</f>
        <v>0</v>
      </c>
      <c r="AV265" s="35" t="n">
        <f aca="false">p_sw_M8*(Modules!$M24+Modules!$N24*IF(p_liq_on&gt;0,X265,p_htm_forced))</f>
        <v>0.542714787401624</v>
      </c>
      <c r="AW265" s="35" t="n">
        <f aca="false">SUMPRODUCT(Holdings!$C24:$O24,Holdings!$C$32:$O$32,$AB$272:$AN$272)+Inputs_Banks!$P24*$AL$272</f>
        <v>7.60623973690638</v>
      </c>
      <c r="AX265" s="35" t="n">
        <f aca="false">Modules!$T24+AS265+AT265+AU265+AV265+AW265+AR265</f>
        <v>29.2789027486616</v>
      </c>
      <c r="AY265" s="35" t="n">
        <f aca="false">Modules!$U24-(1-p_tax)*AX265</f>
        <v>43.1850972513385</v>
      </c>
      <c r="AZ265" s="39" t="n">
        <f aca="false">AY265/Modules!$V24</f>
        <v>0.0793534454428393</v>
      </c>
      <c r="BA265" s="48" t="s">
        <v>655</v>
      </c>
      <c r="BB265" s="43" t="n">
        <f aca="false">INDEX($BJ$247:$BJ$280,BDC_EAD!$B24)</f>
        <v>0.392098725301358</v>
      </c>
      <c r="BC265" s="43" t="n">
        <f aca="false">INDEX($BK$247:$BK$280,BDC_EAD!$B24)</f>
        <v>0.0620042590793056</v>
      </c>
      <c r="BD265" s="22" t="n">
        <f aca="false">INDEX(BDC!$Q$6:$Q$39,BDC_EAD!$B24)</f>
        <v>0.254901960784314</v>
      </c>
      <c r="BE265" s="43" t="n">
        <f aca="false">BB265*(1-$AK$272)-BC265-p_c_liq</f>
        <v>0.103650039836441</v>
      </c>
      <c r="BF265" s="43" t="n">
        <f aca="false">p_phi*MAX(0,p_a_spv-BE265)/p_a_spv+(1-p_phi)*MAX(0,p_a_spv-BB265)/p_a_spv</f>
        <v>0.769514604386537</v>
      </c>
      <c r="BG265" s="43" t="n">
        <f aca="false">IF(BD265&gt;0,p_phi*MAX(0,BD265-BE265)/BD265+(1-p_phi)*MAX(0,BD265-BB265)/BD265,0)</f>
        <v>0.474698336513323</v>
      </c>
      <c r="BI265" s="12" t="str">
        <f aca="false">BDC!$A$24</f>
        <v>OTIC</v>
      </c>
      <c r="BJ265" s="43" t="n">
        <f aca="false">1-((1-BDC!$D$24)*$CD$263+BDC!$D$24*$CD$264)-p_gap-$CD$253*(1-BDC!$M$24)</f>
        <v>0.384840432143422</v>
      </c>
      <c r="BK265" s="43" t="n">
        <f aca="false">(1-BDC!$D$24)*$CD$265+BDC!$D$24*$CD$266</f>
        <v>0.0578683636097197</v>
      </c>
      <c r="BL265" s="45" t="n">
        <f aca="false">BJ265/BDC!$K$24</f>
        <v>0.832329306728796</v>
      </c>
      <c r="BM265" s="35" t="n">
        <f aca="false">IF(BL265&lt;1.5,BDC!$C$24,0)</f>
        <v>5.06</v>
      </c>
      <c r="BN265" s="43" t="n">
        <f aca="false">MAX(0,1-BJ265*(1-CE_mig_hc)-p_bb_cush)*BDC!$Q$24</f>
        <v>0.270936849243253</v>
      </c>
      <c r="BO265" s="43" t="n">
        <f aca="false">MAX(0,BDC!$K$24-BJ265/1.5)</f>
        <v>0.205805303302235</v>
      </c>
      <c r="BP265" s="43" t="n">
        <f aca="false">MIN(MIN(1,BDC!$H$24*$CD$256),$CD$255)</f>
        <v>0.25</v>
      </c>
      <c r="BQ265" s="43" t="n">
        <f aca="false">BDC!$I$24*BDC!$J$24*BP265*(1-0.3)</f>
        <v>0.0940860215053764</v>
      </c>
      <c r="BR265" s="45" t="n">
        <f aca="false">BDC!$C$24*($CD$254*MAX(BN265,BO265)+BQ265)</f>
        <v>1.84701572598807</v>
      </c>
      <c r="CC265" s="10" t="s">
        <v>990</v>
      </c>
      <c r="CD265" s="43" t="n">
        <f aca="false">(1-$CD$261)*$CD$252/10000*g_dur_s</f>
        <v>0.0690464594734653</v>
      </c>
    </row>
    <row r="266" customFormat="false" ht="15" hidden="false" customHeight="true" outlineLevel="0" collapsed="false">
      <c r="A266" s="10" t="s">
        <v>535</v>
      </c>
      <c r="B266" s="35" t="n">
        <f aca="false">AY226</f>
        <v>2.33549298402798</v>
      </c>
      <c r="C266" s="39" t="n">
        <f aca="false">AZ226</f>
        <v>0.00281267876952754</v>
      </c>
      <c r="D266" s="44" t="n">
        <f aca="false">IF(C266&lt;Inputs_Banks!$I25,1,0)</f>
        <v>1</v>
      </c>
      <c r="E266" s="44" t="n">
        <f aca="false">IF(C266&lt;0.045,1,0)</f>
        <v>1</v>
      </c>
      <c r="F266" s="44" t="n">
        <f aca="false">IF(B266&lt;0,1,0)</f>
        <v>0</v>
      </c>
      <c r="G266" s="44" t="n">
        <f aca="false">MIN(6,MIN(3,INT(MAX(0,Inputs_Banks!$BA25-C266)/p_notch_step))+D266+2*E266)</f>
        <v>6</v>
      </c>
      <c r="H266" s="39" t="n">
        <f aca="false">C266-Inputs_Banks!$I25</f>
        <v>-0.0840873212304725</v>
      </c>
      <c r="I266" s="44" t="n">
        <f aca="false">RANK(H266,$H$247:$H$270,1)</f>
        <v>6</v>
      </c>
      <c r="J266" s="44" t="n">
        <f aca="false">MAX(IF(I266&lt;=g_n_weak,1,0),E266)</f>
        <v>1</v>
      </c>
      <c r="K266" s="44" t="n">
        <f aca="false">IF(I266&gt;12,1,0)*(1-E266)</f>
        <v>0</v>
      </c>
      <c r="L266" s="35" t="n">
        <f aca="false">INDEX(Inputs_Banks!$AR25:$AX25,1,G266+1)</f>
        <v>0.817907877744296</v>
      </c>
      <c r="M266" s="35" t="n">
        <f aca="false">Inputs_Banks!$AI25*MIN(1,p_u_base+$CD$250*p_u_pan_all+J266*($CD$250*p_u_pan_weak+p_u_mda*D266)+p_u_notch*G266+p_u_fail*E266)</f>
        <v>715.108384601193</v>
      </c>
      <c r="N266" s="35" t="n">
        <f aca="false">Inputs_Banks!$AK25*MIN(1,p_w_base+p_w_pan*$CD$250+p_w_notch*G266+0.5*D266+1*E266)</f>
        <v>111.414716192116</v>
      </c>
      <c r="O266" s="35" t="n">
        <f aca="false">Inputs_Banks!$AO25*MIN(1,p_cp_base+p_cp_pan*$CD$250+p_cp_notch*G266)</f>
        <v>32.9</v>
      </c>
      <c r="P266" s="35" t="n">
        <f aca="false">Inputs_Banks!$AN25*(p_dh+p_dh_pan*$CD$250+MIN(1,0.5*$CD$257+0.25*G266))</f>
        <v>76.0290509481086</v>
      </c>
      <c r="Q266" s="35" t="n">
        <f aca="false">Modules!$Y25</f>
        <v>21.0243399144764</v>
      </c>
      <c r="R266" s="35" t="n">
        <f aca="false">Inputs_Banks!$AJ25*K266</f>
        <v>0</v>
      </c>
      <c r="S266" s="35" t="n">
        <f aca="false">p_liq_on*$CD$258*SUM($M$247:$M$270)*R266/MAX(0.000000001,SUM($R$247:$R$270))</f>
        <v>0</v>
      </c>
      <c r="T266" s="35" t="n">
        <f aca="false">p_liq_on*(L266+M266+N266+O266+P266+Q266)</f>
        <v>957.294399533638</v>
      </c>
      <c r="U266" s="35" t="n">
        <f aca="false">g_usable*Inputs_Banks!$AG25+p_cb_on*Inputs_Banks!$AQ25+S266</f>
        <v>834.979565832359</v>
      </c>
      <c r="V266" s="35" t="n">
        <f aca="false">MAX(0,T266-U266)</f>
        <v>122.314833701279</v>
      </c>
      <c r="W266" s="44" t="n">
        <f aca="false">IF(V266&gt;0.9*Inputs_Banks!$BB25,1,0)</f>
        <v>0</v>
      </c>
      <c r="X266" s="43" t="n">
        <f aca="false">MAX(p_htm_forced,(1-p_cb_on)*MIN(1,T266/Inputs_Banks!$AG25)*g_theta_sell)</f>
        <v>0.25</v>
      </c>
      <c r="Y266" s="35" t="n">
        <f aca="false">MAX(0,Modules!$V25-B266/(Inputs_Banks!$I25+g_del_buf))</f>
        <v>804.93131006303</v>
      </c>
      <c r="Z266" s="35" t="n">
        <f aca="false">MIN(g_del_cap*Inputs_Banks!$BB25,Y266)</f>
        <v>34.975</v>
      </c>
      <c r="AA266" s="35" t="n">
        <f aca="false">MIN(Inputs_Banks!$BB25,V266+Z266)</f>
        <v>139.9</v>
      </c>
      <c r="AB266" s="35" t="n">
        <f aca="false">$AA266*Holdings!Q25</f>
        <v>0</v>
      </c>
      <c r="AC266" s="35" t="n">
        <f aca="false">$AA266*Holdings!R25</f>
        <v>0</v>
      </c>
      <c r="AD266" s="35" t="n">
        <f aca="false">$AA266*Holdings!S25</f>
        <v>0</v>
      </c>
      <c r="AE266" s="35" t="n">
        <f aca="false">$AA266*Holdings!T25</f>
        <v>0</v>
      </c>
      <c r="AF266" s="35" t="n">
        <f aca="false">$AA266*Holdings!U25</f>
        <v>24.89</v>
      </c>
      <c r="AG266" s="35" t="n">
        <f aca="false">$AA266*Holdings!V25</f>
        <v>0</v>
      </c>
      <c r="AH266" s="35" t="n">
        <f aca="false">$AA266*Holdings!W25</f>
        <v>0</v>
      </c>
      <c r="AI266" s="35" t="n">
        <f aca="false">$AA266*Holdings!X25</f>
        <v>42.43</v>
      </c>
      <c r="AJ266" s="35" t="n">
        <f aca="false">$AA266*Holdings!Y25</f>
        <v>0</v>
      </c>
      <c r="AK266" s="35" t="n">
        <f aca="false">$AA266*Holdings!Z25</f>
        <v>0</v>
      </c>
      <c r="AL266" s="35" t="n">
        <f aca="false">$AA266*Holdings!AA25</f>
        <v>33.46</v>
      </c>
      <c r="AM266" s="35" t="n">
        <f aca="false">$AA266*Holdings!AB25</f>
        <v>0</v>
      </c>
      <c r="AN266" s="35" t="n">
        <f aca="false">$AA266*Holdings!AC25</f>
        <v>39.12</v>
      </c>
      <c r="AO266" s="43" t="n">
        <f aca="false">MIN(1,$CD$257+0.5*G266)</f>
        <v>1</v>
      </c>
      <c r="AP266" s="35" t="n">
        <f aca="false">p_liq_on*Inputs_Banks!$AP25*AO266*p_mb_psi</f>
        <v>1.674</v>
      </c>
      <c r="AQ266" s="44" t="n">
        <f aca="false">MAX(F266,E266,W266*(1-p_cb_on))</f>
        <v>1</v>
      </c>
      <c r="AR266" s="35" t="n">
        <f aca="false">p_ib_on*p_lgd_ib*g_s_in*g_u_ib*SUMPRODUCT(Network!V$6:V$29,$AQ$247:$AQ$270)</f>
        <v>9.81310841621088</v>
      </c>
      <c r="AS266" s="35" t="n">
        <f aca="false">p_sw_M1*(SUMPRODUCT(BDC_EAD!V$106:V$127,$BF$247:$BF$268)+SUMPRODUCT(BDC_EAD!V$131:V$152,$BG$247:$BG$268)+(Inputs_Banks!$Y25+p_ccf_bl*Inputs_Banks!$Z25)*$CD$270+Modules!$E25)</f>
        <v>28.8226410800686</v>
      </c>
      <c r="AT266" s="35" t="n">
        <f aca="false">p_sw_M3*(Inputs_Banks!$U25+p_ccf_abf*Inputs_Banks!$V25)*$CD$271</f>
        <v>0</v>
      </c>
      <c r="AU266" s="35" t="n">
        <f aca="false">p_sw_M10*Inputs_Banks!$AC25*$CD$272</f>
        <v>0</v>
      </c>
      <c r="AV266" s="35" t="n">
        <f aca="false">p_sw_M8*(Modules!$M25+Modules!$N25*IF(p_liq_on&gt;0,X266,p_htm_forced))</f>
        <v>7.68041297429432</v>
      </c>
      <c r="AW266" s="35" t="n">
        <f aca="false">SUMPRODUCT(Holdings!$C25:$O25,Holdings!$C$32:$O$32,$AB$272:$AN$272)+Inputs_Banks!$P25*$AL$272</f>
        <v>22.2442070071431</v>
      </c>
      <c r="AX266" s="35" t="n">
        <f aca="false">Modules!$T25+AS266+AT266+AU266+AV266+AW266+AR266</f>
        <v>97.3022906701138</v>
      </c>
      <c r="AY266" s="35" t="n">
        <f aca="false">Modules!$U25-(1-p_tax)*AX266</f>
        <v>2.33549298402798</v>
      </c>
      <c r="AZ266" s="39" t="n">
        <f aca="false">AY266/Modules!$V25</f>
        <v>0.00281267876952754</v>
      </c>
      <c r="BA266" s="48" t="s">
        <v>645</v>
      </c>
      <c r="BB266" s="43" t="n">
        <f aca="false">INDEX($BJ$247:$BJ$280,BDC_EAD!$B25)</f>
        <v>0.413355834314687</v>
      </c>
      <c r="BC266" s="43" t="n">
        <f aca="false">INDEX($BK$247:$BK$280,BDC_EAD!$B25)</f>
        <v>0.0626004241920387</v>
      </c>
      <c r="BD266" s="22" t="n">
        <f aca="false">INDEX(BDC!$Q$6:$Q$39,BDC_EAD!$B25)</f>
        <v>0.212552795031056</v>
      </c>
      <c r="BE266" s="43" t="n">
        <f aca="false">BB266*(1-$AK$272)-BC266-p_c_liq</f>
        <v>0.114745284681039</v>
      </c>
      <c r="BF266" s="43" t="n">
        <f aca="false">p_phi*MAX(0,p_a_spv-BE266)/p_a_spv+(1-p_phi)*MAX(0,p_a_spv-BB266)/p_a_spv</f>
        <v>0.750760864846045</v>
      </c>
      <c r="BG266" s="43" t="n">
        <f aca="false">IF(BD266&gt;0,p_phi*MAX(0,BD266-BE266)/BD266+(1-p_phi)*MAX(0,BD266-BB266)/BD266,0)</f>
        <v>0.368125049913274</v>
      </c>
      <c r="BI266" s="12" t="str">
        <f aca="false">BDC!$A$25</f>
        <v>ASCF</v>
      </c>
      <c r="BJ266" s="43" t="n">
        <f aca="false">1-((1-BDC!$D$25)*$CD$263+BDC!$D$25*$CD$264)-p_gap-$CD$253*(1-BDC!$M$25)</f>
        <v>0.410212404154075</v>
      </c>
      <c r="BK266" s="43" t="n">
        <f aca="false">(1-BDC!$D$25)*$CD$265+BDC!$D$25*$CD$266</f>
        <v>0.0620787797183972</v>
      </c>
      <c r="BL266" s="45" t="n">
        <f aca="false">BJ266/BDC!$K$25</f>
        <v>0.760821296593456</v>
      </c>
      <c r="BM266" s="35" t="n">
        <f aca="false">IF(BL266&lt;1.5,BDC!$C$25,0)</f>
        <v>4.62</v>
      </c>
      <c r="BN266" s="43" t="n">
        <f aca="false">MAX(0,1-BJ266*(1-CE_mig_hc)-p_bb_cush)*BDC!$Q$25</f>
        <v>0.164799096707034</v>
      </c>
      <c r="BO266" s="43" t="n">
        <f aca="false">MAX(0,BDC!$K$25-BJ266/1.5)</f>
        <v>0.265695570809726</v>
      </c>
      <c r="BP266" s="43" t="n">
        <f aca="false">MIN(MIN(1,BDC!$H$25*$CD$256),$CD$255)</f>
        <v>0.25</v>
      </c>
      <c r="BQ266" s="43" t="n">
        <f aca="false">BDC!$I$25*BDC!$J$25*BP266*(1-0.3)</f>
        <v>0.0806451612903226</v>
      </c>
      <c r="BR266" s="45" t="n">
        <f aca="false">BDC!$C$25*($CD$254*MAX(BN266,BO266)+BQ266)</f>
        <v>1.60009418230222</v>
      </c>
      <c r="CC266" s="10" t="s">
        <v>991</v>
      </c>
      <c r="CD266" s="43" t="n">
        <f aca="false">(1-$CD$262)*($CD$252+p_ds_sw)/10000*g_dur_s</f>
        <v>0.0317861399276465</v>
      </c>
    </row>
    <row r="267" customFormat="false" ht="15" hidden="false" customHeight="true" outlineLevel="0" collapsed="false">
      <c r="A267" s="10" t="s">
        <v>537</v>
      </c>
      <c r="B267" s="35" t="n">
        <f aca="false">AY227</f>
        <v>31.4382369652748</v>
      </c>
      <c r="C267" s="39" t="n">
        <f aca="false">AZ227</f>
        <v>0.0463485337720714</v>
      </c>
      <c r="D267" s="44" t="n">
        <f aca="false">IF(C267&lt;Inputs_Banks!$I26,1,0)</f>
        <v>1</v>
      </c>
      <c r="E267" s="44" t="n">
        <f aca="false">IF(C267&lt;0.045,1,0)</f>
        <v>0</v>
      </c>
      <c r="F267" s="44" t="n">
        <f aca="false">IF(B267&lt;0,1,0)</f>
        <v>0</v>
      </c>
      <c r="G267" s="44" t="n">
        <f aca="false">MIN(6,MIN(3,INT(MAX(0,Inputs_Banks!$BA26-C267)/p_notch_step))+D267+2*E267)</f>
        <v>4</v>
      </c>
      <c r="H267" s="39" t="n">
        <f aca="false">C267-Inputs_Banks!$I26</f>
        <v>-0.0353514662279286</v>
      </c>
      <c r="I267" s="44" t="n">
        <f aca="false">RANK(H267,$H$247:$H$270,1)</f>
        <v>19</v>
      </c>
      <c r="J267" s="44" t="n">
        <f aca="false">MAX(IF(I267&lt;=g_n_weak,1,0),E267)</f>
        <v>0</v>
      </c>
      <c r="K267" s="44" t="n">
        <f aca="false">IF(I267&gt;12,1,0)*(1-E267)</f>
        <v>1</v>
      </c>
      <c r="L267" s="35" t="n">
        <f aca="false">INDEX(Inputs_Banks!$AR26:$AX26,1,G267+1)</f>
        <v>2.38995739499416</v>
      </c>
      <c r="M267" s="35" t="n">
        <f aca="false">Inputs_Banks!$AI26*MIN(1,p_u_base+$CD$250*p_u_pan_all+J267*($CD$250*p_u_pan_weak+p_u_mda*D267)+p_u_notch*G267+p_u_fail*E267)</f>
        <v>179.605346842138</v>
      </c>
      <c r="N267" s="35" t="n">
        <f aca="false">Inputs_Banks!$AK26*MIN(1,p_w_base+p_w_pan*$CD$250+p_w_notch*G267+0.5*D267+1*E267)</f>
        <v>142.213430908308</v>
      </c>
      <c r="O267" s="35" t="n">
        <f aca="false">Inputs_Banks!$AO26*MIN(1,p_cp_base+p_cp_pan*$CD$250+p_cp_notch*G267)</f>
        <v>24.02</v>
      </c>
      <c r="P267" s="35" t="n">
        <f aca="false">Inputs_Banks!$AN26*(p_dh+p_dh_pan*$CD$250+MIN(1,0.5*$CD$257+0.25*G267))</f>
        <v>30.3571427289411</v>
      </c>
      <c r="Q267" s="35" t="n">
        <f aca="false">Modules!$Y26</f>
        <v>5.08130839142734</v>
      </c>
      <c r="R267" s="35" t="n">
        <f aca="false">Inputs_Banks!$AJ26*K267</f>
        <v>1241.80817292909</v>
      </c>
      <c r="S267" s="35" t="n">
        <f aca="false">p_liq_on*$CD$258*SUM($M$247:$M$270)*R267/MAX(0.000000001,SUM($R$247:$R$270))</f>
        <v>257.154626289013</v>
      </c>
      <c r="T267" s="35" t="n">
        <f aca="false">p_liq_on*(L267+M267+N267+O267+P267+Q267)</f>
        <v>383.667186265808</v>
      </c>
      <c r="U267" s="35" t="n">
        <f aca="false">g_usable*Inputs_Banks!$AG26+p_cb_on*Inputs_Banks!$AQ26+S267</f>
        <v>914.392909912406</v>
      </c>
      <c r="V267" s="35" t="n">
        <f aca="false">MAX(0,T267-U267)</f>
        <v>0</v>
      </c>
      <c r="W267" s="44" t="n">
        <f aca="false">IF(V267&gt;0.9*Inputs_Banks!$BB26,1,0)</f>
        <v>0</v>
      </c>
      <c r="X267" s="43" t="n">
        <f aca="false">MAX(p_htm_forced,(1-p_cb_on)*MIN(1,T267/Inputs_Banks!$AG26)*g_theta_sell)</f>
        <v>0.160533065179075</v>
      </c>
      <c r="Y267" s="35" t="n">
        <f aca="false">MAX(0,Modules!$V26-B267/(Inputs_Banks!$I26+g_del_buf))</f>
        <v>315.691149022337</v>
      </c>
      <c r="Z267" s="35" t="n">
        <f aca="false">MIN(g_del_cap*Inputs_Banks!$BB26,Y267)</f>
        <v>9.4025</v>
      </c>
      <c r="AA267" s="35" t="n">
        <f aca="false">MIN(Inputs_Banks!$BB26,V267+Z267)</f>
        <v>9.4025</v>
      </c>
      <c r="AB267" s="35" t="n">
        <f aca="false">$AA267*Holdings!Q26</f>
        <v>0</v>
      </c>
      <c r="AC267" s="35" t="n">
        <f aca="false">$AA267*Holdings!R26</f>
        <v>0</v>
      </c>
      <c r="AD267" s="35" t="n">
        <f aca="false">$AA267*Holdings!S26</f>
        <v>0</v>
      </c>
      <c r="AE267" s="35" t="n">
        <f aca="false">$AA267*Holdings!T26</f>
        <v>0</v>
      </c>
      <c r="AF267" s="35" t="n">
        <f aca="false">$AA267*Holdings!U26</f>
        <v>0.78</v>
      </c>
      <c r="AG267" s="35" t="n">
        <f aca="false">$AA267*Holdings!V26</f>
        <v>0</v>
      </c>
      <c r="AH267" s="35" t="n">
        <f aca="false">$AA267*Holdings!W26</f>
        <v>0</v>
      </c>
      <c r="AI267" s="35" t="n">
        <f aca="false">$AA267*Holdings!X26</f>
        <v>0</v>
      </c>
      <c r="AJ267" s="35" t="n">
        <f aca="false">$AA267*Holdings!Y26</f>
        <v>0</v>
      </c>
      <c r="AK267" s="35" t="n">
        <f aca="false">$AA267*Holdings!Z26</f>
        <v>0</v>
      </c>
      <c r="AL267" s="35" t="n">
        <f aca="false">$AA267*Holdings!AA26</f>
        <v>0.6375</v>
      </c>
      <c r="AM267" s="35" t="n">
        <f aca="false">$AA267*Holdings!AB26</f>
        <v>0</v>
      </c>
      <c r="AN267" s="35" t="n">
        <f aca="false">$AA267*Holdings!AC26</f>
        <v>7.985</v>
      </c>
      <c r="AO267" s="43" t="n">
        <f aca="false">MIN(1,$CD$257+0.5*G267)</f>
        <v>1</v>
      </c>
      <c r="AP267" s="35" t="n">
        <f aca="false">p_liq_on*Inputs_Banks!$AP26*AO267*p_mb_psi</f>
        <v>0.468</v>
      </c>
      <c r="AQ267" s="44" t="n">
        <f aca="false">MAX(F267,E267,W267*(1-p_cb_on))</f>
        <v>0</v>
      </c>
      <c r="AR267" s="35" t="n">
        <f aca="false">p_ib_on*p_lgd_ib*g_s_in*g_u_ib*SUMPRODUCT(Network!W$6:W$29,$AQ$247:$AQ$270)</f>
        <v>12.0727499706953</v>
      </c>
      <c r="AS267" s="35" t="n">
        <f aca="false">p_sw_M1*(SUMPRODUCT(BDC_EAD!W$106:W$127,$BF$247:$BF$268)+SUMPRODUCT(BDC_EAD!W$131:W$152,$BG$247:$BG$268)+(Inputs_Banks!$Y26+p_ccf_bl*Inputs_Banks!$Z26)*$CD$270+Modules!$E26)</f>
        <v>7.70107823629907</v>
      </c>
      <c r="AT267" s="35" t="n">
        <f aca="false">p_sw_M3*(Inputs_Banks!$U26+p_ccf_abf*Inputs_Banks!$V26)*$CD$271</f>
        <v>0</v>
      </c>
      <c r="AU267" s="35" t="n">
        <f aca="false">p_sw_M10*Inputs_Banks!$AC26*$CD$272</f>
        <v>0</v>
      </c>
      <c r="AV267" s="35" t="n">
        <f aca="false">p_sw_M8*(Modules!$M26+Modules!$N26*IF(p_liq_on&gt;0,X267,p_htm_forced))</f>
        <v>2.24642856226028</v>
      </c>
      <c r="AW267" s="35" t="n">
        <f aca="false">SUMPRODUCT(Holdings!$C26:$O26,Holdings!$C$32:$O$32,$AB$272:$AN$272)+Inputs_Banks!$P26*$AL$272</f>
        <v>9.8988542345359</v>
      </c>
      <c r="AX267" s="35" t="n">
        <f aca="false">Modules!$T26+AS267+AT267+AU267+AV267+AW267+AR267</f>
        <v>47.8996942812661</v>
      </c>
      <c r="AY267" s="35" t="n">
        <f aca="false">Modules!$U26-(1-p_tax)*AX267</f>
        <v>31.4382369652748</v>
      </c>
      <c r="AZ267" s="39" t="n">
        <f aca="false">AY267/Modules!$V26</f>
        <v>0.0463485337720714</v>
      </c>
      <c r="BA267" s="48" t="s">
        <v>639</v>
      </c>
      <c r="BB267" s="43" t="n">
        <f aca="false">INDEX($BJ$247:$BJ$280,BDC_EAD!$B26)</f>
        <v>0.261914595446638</v>
      </c>
      <c r="BC267" s="43" t="n">
        <f aca="false">INDEX($BK$247:$BK$280,BDC_EAD!$B26)</f>
        <v>0.0568250746624368</v>
      </c>
      <c r="BD267" s="22" t="n">
        <f aca="false">INDEX(BDC!$Q$6:$Q$39,BDC_EAD!$B26)</f>
        <v>0.310820512820513</v>
      </c>
      <c r="BE267" s="43" t="n">
        <f aca="false">BB267*(1-$AK$272)-BC267-p_c_liq</f>
        <v>0.0372279528332139</v>
      </c>
      <c r="BF267" s="43" t="n">
        <f aca="false">p_phi*MAX(0,p_a_spv-BE267)/p_a_spv+(1-p_phi)*MAX(0,p_a_spv-BB267)/p_a_spv</f>
        <v>0.882621026634431</v>
      </c>
      <c r="BG267" s="43" t="n">
        <f aca="false">IF(BD267&gt;0,p_phi*MAX(0,BD267-BE267)/BD267+(1-p_phi)*MAX(0,BD267-BB267)/BD267,0)</f>
        <v>0.735650389962049</v>
      </c>
      <c r="BI267" s="12" t="str">
        <f aca="false">BDC!$A$26</f>
        <v>HTGC</v>
      </c>
      <c r="BJ267" s="43" t="n">
        <f aca="false">1-((1-BDC!$D$26)*$CD$263+BDC!$D$26*$CD$264)-p_gap-$CD$253*(1-BDC!$M$26)</f>
        <v>0.49422228775433</v>
      </c>
      <c r="BK267" s="43" t="n">
        <f aca="false">(1-BDC!$D$26)*$CD$265+BDC!$D$26*$CD$266</f>
        <v>0.0568250746624368</v>
      </c>
      <c r="BL267" s="45" t="n">
        <f aca="false">BJ267/BDC!$K$26</f>
        <v>0.974049751593485</v>
      </c>
      <c r="BM267" s="35" t="n">
        <f aca="false">IF(BL267&lt;1.5,BDC!$C$26,0)</f>
        <v>4.58</v>
      </c>
      <c r="BN267" s="43" t="n">
        <f aca="false">MAX(0,1-BJ267*(1-CE_mig_hc)-p_bb_cush)*BDC!$Q$26</f>
        <v>0.136448855252561</v>
      </c>
      <c r="BO267" s="43" t="n">
        <f aca="false">MAX(0,BDC!$K$26-BJ267/1.5)</f>
        <v>0.177907637392023</v>
      </c>
      <c r="BP267" s="43" t="n">
        <f aca="false">MIN(MIN(1,BDC!$H$26*$CD$256),$CD$255)</f>
        <v>0</v>
      </c>
      <c r="BQ267" s="43" t="n">
        <f aca="false">BDC!$I$26*BDC!$J$26*BP267*(1-0.3)</f>
        <v>0</v>
      </c>
      <c r="BR267" s="45" t="n">
        <f aca="false">BDC!$C$26*($CD$254*MAX(BN267,BO267)+BQ267)</f>
        <v>0.814816979255466</v>
      </c>
      <c r="CC267" s="10" t="s">
        <v>992</v>
      </c>
      <c r="CD267" s="43" t="n">
        <f aca="false">1-((1-CE_sw_sys)*$CD$263+CE_sw_sys*$CD$264)-p_gap-$CD$253*(1-CE_mk_sys)</f>
        <v>0.408146622487016</v>
      </c>
    </row>
    <row r="268" customFormat="false" ht="15" hidden="false" customHeight="true" outlineLevel="0" collapsed="false">
      <c r="A268" s="10" t="s">
        <v>538</v>
      </c>
      <c r="B268" s="35" t="n">
        <f aca="false">AY228</f>
        <v>37.3401194889872</v>
      </c>
      <c r="C268" s="39" t="n">
        <f aca="false">AZ228</f>
        <v>0.0683840792474054</v>
      </c>
      <c r="D268" s="44" t="n">
        <f aca="false">IF(C268&lt;Inputs_Banks!$I27,1,0)</f>
        <v>1</v>
      </c>
      <c r="E268" s="44" t="n">
        <f aca="false">IF(C268&lt;0.045,1,0)</f>
        <v>0</v>
      </c>
      <c r="F268" s="44" t="n">
        <f aca="false">IF(B268&lt;0,1,0)</f>
        <v>0</v>
      </c>
      <c r="G268" s="44" t="n">
        <f aca="false">MIN(6,MIN(3,INT(MAX(0,Inputs_Banks!$BA27-C268)/p_notch_step))+D268+2*E268)</f>
        <v>3</v>
      </c>
      <c r="H268" s="39" t="n">
        <f aca="false">C268-Inputs_Banks!$I27</f>
        <v>-0.0129159207525946</v>
      </c>
      <c r="I268" s="44" t="n">
        <f aca="false">RANK(H268,$H$247:$H$270,1)</f>
        <v>22</v>
      </c>
      <c r="J268" s="44" t="n">
        <f aca="false">MAX(IF(I268&lt;=g_n_weak,1,0),E268)</f>
        <v>0</v>
      </c>
      <c r="K268" s="44" t="n">
        <f aca="false">IF(I268&gt;12,1,0)*(1-E268)</f>
        <v>1</v>
      </c>
      <c r="L268" s="35" t="n">
        <f aca="false">INDEX(Inputs_Banks!$AR27:$AX27,1,G268+1)</f>
        <v>1.75265973802349</v>
      </c>
      <c r="M268" s="35" t="n">
        <f aca="false">Inputs_Banks!$AI27*MIN(1,p_u_base+$CD$250*p_u_pan_all+J268*($CD$250*p_u_pan_weak+p_u_mda*D268)+p_u_notch*G268+p_u_fail*E268)</f>
        <v>150.345736670561</v>
      </c>
      <c r="N268" s="35" t="n">
        <f aca="false">Inputs_Banks!$AK27*MIN(1,p_w_base+p_w_pan*$CD$250+p_w_notch*G268+0.5*D268+1*E268)</f>
        <v>37.6025029210996</v>
      </c>
      <c r="O268" s="35" t="n">
        <f aca="false">Inputs_Banks!$AO27*MIN(1,p_cp_base+p_cp_pan*$CD$250+p_cp_notch*G268)</f>
        <v>15.5</v>
      </c>
      <c r="P268" s="35" t="n">
        <f aca="false">Inputs_Banks!$AN27*(p_dh+p_dh_pan*$CD$250+MIN(1,0.5*$CD$257+0.25*G268))</f>
        <v>71.2624542599161</v>
      </c>
      <c r="Q268" s="35" t="n">
        <f aca="false">Modules!$Y27</f>
        <v>8.4308773</v>
      </c>
      <c r="R268" s="35" t="n">
        <f aca="false">Inputs_Banks!$AJ27*K268</f>
        <v>1101.02948773138</v>
      </c>
      <c r="S268" s="35" t="n">
        <f aca="false">p_liq_on*$CD$258*SUM($M$247:$M$270)*R268/MAX(0.000000001,SUM($R$247:$R$270))</f>
        <v>228.002063944311</v>
      </c>
      <c r="T268" s="35" t="n">
        <f aca="false">p_liq_on*(L268+M268+N268+O268+P268+Q268)</f>
        <v>284.894230889601</v>
      </c>
      <c r="U268" s="35" t="n">
        <f aca="false">g_usable*Inputs_Banks!$AG27+p_cb_on*Inputs_Banks!$AQ27+S268</f>
        <v>781.793806764555</v>
      </c>
      <c r="V268" s="35" t="n">
        <f aca="false">MAX(0,T268-U268)</f>
        <v>0</v>
      </c>
      <c r="W268" s="44" t="n">
        <f aca="false">IF(V268&gt;0.9*Inputs_Banks!$BB27,1,0)</f>
        <v>0</v>
      </c>
      <c r="X268" s="43" t="n">
        <f aca="false">MAX(p_htm_forced,(1-p_cb_on)*MIN(1,T268/Inputs_Banks!$AG27)*g_theta_sell)</f>
        <v>0.141471797856095</v>
      </c>
      <c r="Y268" s="35" t="n">
        <f aca="false">MAX(0,Modules!$V27-B268/(Inputs_Banks!$I27+g_del_buf))</f>
        <v>113.357180852337</v>
      </c>
      <c r="Z268" s="35" t="n">
        <f aca="false">MIN(g_del_cap*Inputs_Banks!$BB27,Y268)</f>
        <v>12.31</v>
      </c>
      <c r="AA268" s="35" t="n">
        <f aca="false">MIN(Inputs_Banks!$BB27,V268+Z268)</f>
        <v>12.31</v>
      </c>
      <c r="AB268" s="35" t="n">
        <f aca="false">$AA268*Holdings!Q27</f>
        <v>0</v>
      </c>
      <c r="AC268" s="35" t="n">
        <f aca="false">$AA268*Holdings!R27</f>
        <v>0</v>
      </c>
      <c r="AD268" s="35" t="n">
        <f aca="false">$AA268*Holdings!S27</f>
        <v>0</v>
      </c>
      <c r="AE268" s="35" t="n">
        <f aca="false">$AA268*Holdings!T27</f>
        <v>0</v>
      </c>
      <c r="AF268" s="35" t="n">
        <f aca="false">$AA268*Holdings!U27</f>
        <v>0</v>
      </c>
      <c r="AG268" s="35" t="n">
        <f aca="false">$AA268*Holdings!V27</f>
        <v>0</v>
      </c>
      <c r="AH268" s="35" t="n">
        <f aca="false">$AA268*Holdings!W27</f>
        <v>0</v>
      </c>
      <c r="AI268" s="35" t="n">
        <f aca="false">$AA268*Holdings!X27</f>
        <v>0</v>
      </c>
      <c r="AJ268" s="35" t="n">
        <f aca="false">$AA268*Holdings!Y27</f>
        <v>0</v>
      </c>
      <c r="AK268" s="35" t="n">
        <f aca="false">$AA268*Holdings!Z27</f>
        <v>0</v>
      </c>
      <c r="AL268" s="35" t="n">
        <f aca="false">$AA268*Holdings!AA27</f>
        <v>0</v>
      </c>
      <c r="AM268" s="35" t="n">
        <f aca="false">$AA268*Holdings!AB27</f>
        <v>0</v>
      </c>
      <c r="AN268" s="35" t="n">
        <f aca="false">$AA268*Holdings!AC27</f>
        <v>12.31</v>
      </c>
      <c r="AO268" s="43" t="n">
        <f aca="false">MIN(1,$CD$257+0.5*G268)</f>
        <v>1</v>
      </c>
      <c r="AP268" s="35" t="n">
        <f aca="false">p_liq_on*Inputs_Banks!$AP27*AO268*p_mb_psi</f>
        <v>4.374</v>
      </c>
      <c r="AQ268" s="44" t="n">
        <f aca="false">MAX(F268,E268,W268*(1-p_cb_on))</f>
        <v>0</v>
      </c>
      <c r="AR268" s="35" t="n">
        <f aca="false">p_ib_on*p_lgd_ib*g_s_in*g_u_ib*SUMPRODUCT(Network!X$6:X$29,$AQ$247:$AQ$270)</f>
        <v>3.61209531474899</v>
      </c>
      <c r="AS268" s="35" t="n">
        <f aca="false">p_sw_M1*(SUMPRODUCT(BDC_EAD!X$106:X$127,$BF$247:$BF$268)+SUMPRODUCT(BDC_EAD!X$131:X$152,$BG$247:$BG$268)+(Inputs_Banks!$Y27+p_ccf_bl*Inputs_Banks!$Z27)*$CD$270+Modules!$E27)</f>
        <v>7.83931301052684</v>
      </c>
      <c r="AT268" s="35" t="n">
        <f aca="false">p_sw_M3*(Inputs_Banks!$U27+p_ccf_abf*Inputs_Banks!$V27)*$CD$271</f>
        <v>0</v>
      </c>
      <c r="AU268" s="35" t="n">
        <f aca="false">p_sw_M10*Inputs_Banks!$AC27*$CD$272</f>
        <v>0</v>
      </c>
      <c r="AV268" s="35" t="n">
        <f aca="false">p_sw_M8*(Modules!$M27+Modules!$N27*IF(p_liq_on&gt;0,X268,p_htm_forced))</f>
        <v>1.7060801035343</v>
      </c>
      <c r="AW268" s="35" t="n">
        <f aca="false">SUMPRODUCT(Holdings!$C27:$O27,Holdings!$C$32:$O$32,$AB$272:$AN$272)+Inputs_Banks!$P27*$AL$272</f>
        <v>7.97620246435341</v>
      </c>
      <c r="AX268" s="35" t="n">
        <f aca="false">Modules!$T27+AS268+AT268+AU268+AV268+AW268+AR268</f>
        <v>30.9828618774724</v>
      </c>
      <c r="AY268" s="35" t="n">
        <f aca="false">Modules!$U27-(1-p_tax)*AX268</f>
        <v>37.3401194889872</v>
      </c>
      <c r="AZ268" s="39" t="n">
        <f aca="false">AY268/Modules!$V27</f>
        <v>0.0683840792474054</v>
      </c>
      <c r="BA268" s="48" t="s">
        <v>653</v>
      </c>
      <c r="BB268" s="43" t="n">
        <f aca="false">INDEX($BJ$247:$BJ$280,BDC_EAD!$B27)</f>
        <v>0.525207527908933</v>
      </c>
      <c r="BC268" s="43" t="n">
        <f aca="false">INDEX($BK$247:$BK$280,BDC_EAD!$B27)</f>
        <v>0.0619669987597598</v>
      </c>
      <c r="BD268" s="22" t="n">
        <f aca="false">INDEX(BDC!$Q$6:$Q$39,BDC_EAD!$B27)</f>
        <v>0.118607929515418</v>
      </c>
      <c r="BE268" s="43" t="n">
        <f aca="false">BB268*(1-$AK$272)-BC268-p_c_liq</f>
        <v>0.176897141590153</v>
      </c>
      <c r="BF268" s="43" t="n">
        <f aca="false">p_phi*MAX(0,p_a_spv-BE268)/p_a_spv+(1-p_phi)*MAX(0,p_a_spv-BB268)/p_a_spv</f>
        <v>0.647772544494415</v>
      </c>
      <c r="BG268" s="43" t="n">
        <f aca="false">IF(BD268&gt;0,p_phi*MAX(0,BD268-BE268)/BD268+(1-p_phi)*MAX(0,BD268-BB268)/BD268,0)</f>
        <v>0</v>
      </c>
      <c r="BI268" s="12" t="str">
        <f aca="false">BDC!$A$27</f>
        <v>MSDL</v>
      </c>
      <c r="BJ268" s="43" t="n">
        <f aca="false">1-((1-BDC!$D$27)*$CD$263+BDC!$D$27*$CD$264)-p_gap-$CD$253*(1-BDC!$M$27)</f>
        <v>0.363449670124075</v>
      </c>
      <c r="BK268" s="43" t="n">
        <f aca="false">(1-BDC!$D$27)*$CD$265+BDC!$D$27*$CD$266</f>
        <v>0.0611472717297517</v>
      </c>
      <c r="BL268" s="45" t="n">
        <f aca="false">BJ268/BDC!$K$27</f>
        <v>0.666324395227472</v>
      </c>
      <c r="BM268" s="35" t="n">
        <f aca="false">IF(BL268&lt;1.5,BDC!$C$27,0)</f>
        <v>3.55</v>
      </c>
      <c r="BN268" s="43" t="n">
        <f aca="false">MAX(0,1-BJ268*(1-CE_mig_hc)-p_bb_cush)*BDC!$Q$27</f>
        <v>0.155815521691545</v>
      </c>
      <c r="BO268" s="43" t="n">
        <f aca="false">MAX(0,BDC!$K$27-BJ268/1.5)</f>
        <v>0.303154765371829</v>
      </c>
      <c r="BP268" s="43" t="n">
        <f aca="false">MIN(MIN(1,BDC!$H$27*$CD$256),$CD$255)</f>
        <v>0</v>
      </c>
      <c r="BQ268" s="43" t="n">
        <f aca="false">BDC!$I$27*BDC!$J$27*BP268*(1-0.3)</f>
        <v>0</v>
      </c>
      <c r="BR268" s="45" t="n">
        <f aca="false">BDC!$C$27*($CD$254*MAX(BN268,BO268)+BQ268)</f>
        <v>1.07619941706999</v>
      </c>
      <c r="CC268" s="10" t="s">
        <v>845</v>
      </c>
      <c r="CD268" s="43" t="n">
        <f aca="false">(1-CE_sw_sys)*$CD$265+CE_sw_sys*$CD$266</f>
        <v>0.0617359683514154</v>
      </c>
    </row>
    <row r="269" customFormat="false" ht="15" hidden="false" customHeight="true" outlineLevel="0" collapsed="false">
      <c r="A269" s="10" t="s">
        <v>540</v>
      </c>
      <c r="B269" s="35" t="n">
        <f aca="false">AY229</f>
        <v>33.2268270772335</v>
      </c>
      <c r="C269" s="39" t="n">
        <f aca="false">AZ229</f>
        <v>0.0561728885356686</v>
      </c>
      <c r="D269" s="44" t="n">
        <f aca="false">IF(C269&lt;Inputs_Banks!$I28,1,0)</f>
        <v>1</v>
      </c>
      <c r="E269" s="44" t="n">
        <f aca="false">IF(C269&lt;0.045,1,0)</f>
        <v>0</v>
      </c>
      <c r="F269" s="44" t="n">
        <f aca="false">IF(B269&lt;0,1,0)</f>
        <v>0</v>
      </c>
      <c r="G269" s="44" t="n">
        <f aca="false">MIN(6,MIN(3,INT(MAX(0,Inputs_Banks!$BA28-C269)/p_notch_step))+D269+2*E269)</f>
        <v>4</v>
      </c>
      <c r="H269" s="39" t="n">
        <f aca="false">C269-Inputs_Banks!$I28</f>
        <v>-0.0548271114643314</v>
      </c>
      <c r="I269" s="44" t="n">
        <f aca="false">RANK(H269,$H$247:$H$270,1)</f>
        <v>14</v>
      </c>
      <c r="J269" s="44" t="n">
        <f aca="false">MAX(IF(I269&lt;=g_n_weak,1,0),E269)</f>
        <v>0</v>
      </c>
      <c r="K269" s="44" t="n">
        <f aca="false">IF(I269&gt;12,1,0)*(1-E269)</f>
        <v>1</v>
      </c>
      <c r="L269" s="35" t="n">
        <f aca="false">INDEX(Inputs_Banks!$AR28:$AX28,1,G269+1)</f>
        <v>1.06969376979937</v>
      </c>
      <c r="M269" s="35" t="n">
        <f aca="false">Inputs_Banks!$AI28*MIN(1,p_u_base+$CD$250*p_u_pan_all+J269*($CD$250*p_u_pan_weak+p_u_mda*D269)+p_u_notch*G269+p_u_fail*E269)</f>
        <v>118.306518831397</v>
      </c>
      <c r="N269" s="35" t="n">
        <f aca="false">Inputs_Banks!$AK28*MIN(1,p_w_base+p_w_pan*$CD$250+p_w_notch*G269+0.5*D269+1*E269)</f>
        <v>111.12284406899</v>
      </c>
      <c r="O269" s="35" t="n">
        <f aca="false">Inputs_Banks!$AO28*MIN(1,p_cp_base+p_cp_pan*$CD$250+p_cp_notch*G269)</f>
        <v>38.53</v>
      </c>
      <c r="P269" s="35" t="n">
        <f aca="false">Inputs_Banks!$AN28*(p_dh+p_dh_pan*$CD$250+MIN(1,0.5*$CD$257+0.25*G269))</f>
        <v>88.8900335264263</v>
      </c>
      <c r="Q269" s="35" t="n">
        <f aca="false">Modules!$Y28</f>
        <v>3.6692462</v>
      </c>
      <c r="R269" s="35" t="n">
        <f aca="false">Inputs_Banks!$AJ28*K269</f>
        <v>1157.74234424498</v>
      </c>
      <c r="S269" s="35" t="n">
        <f aca="false">p_liq_on*$CD$258*SUM($M$247:$M$270)*R269/MAX(0.000000001,SUM($R$247:$R$270))</f>
        <v>239.746207476671</v>
      </c>
      <c r="T269" s="35" t="n">
        <f aca="false">p_liq_on*(L269+M269+N269+O269+P269+Q269)</f>
        <v>361.588336396613</v>
      </c>
      <c r="U269" s="35" t="n">
        <f aca="false">g_usable*Inputs_Banks!$AG28+p_cb_on*Inputs_Banks!$AQ28+S269</f>
        <v>751.261061401345</v>
      </c>
      <c r="V269" s="35" t="n">
        <f aca="false">MAX(0,T269-U269)</f>
        <v>0</v>
      </c>
      <c r="W269" s="44" t="n">
        <f aca="false">IF(V269&gt;0.9*Inputs_Banks!$BB28,1,0)</f>
        <v>0</v>
      </c>
      <c r="X269" s="43" t="n">
        <f aca="false">MAX(p_htm_forced,(1-p_cb_on)*MIN(1,T269/Inputs_Banks!$AG28)*g_theta_sell)</f>
        <v>0.25</v>
      </c>
      <c r="Y269" s="35" t="n">
        <f aca="false">MAX(0,Modules!$V28-B269/(Inputs_Banks!$I28+g_del_buf))</f>
        <v>305.071867220077</v>
      </c>
      <c r="Z269" s="35" t="n">
        <f aca="false">MIN(g_del_cap*Inputs_Banks!$BB28,Y269)</f>
        <v>33.855</v>
      </c>
      <c r="AA269" s="35" t="n">
        <f aca="false">MIN(Inputs_Banks!$BB28,V269+Z269)</f>
        <v>33.855</v>
      </c>
      <c r="AB269" s="35" t="n">
        <f aca="false">$AA269*Holdings!Q28</f>
        <v>0</v>
      </c>
      <c r="AC269" s="35" t="n">
        <f aca="false">$AA269*Holdings!R28</f>
        <v>0</v>
      </c>
      <c r="AD269" s="35" t="n">
        <f aca="false">$AA269*Holdings!S28</f>
        <v>0</v>
      </c>
      <c r="AE269" s="35" t="n">
        <f aca="false">$AA269*Holdings!T28</f>
        <v>0</v>
      </c>
      <c r="AF269" s="35" t="n">
        <f aca="false">$AA269*Holdings!U28</f>
        <v>13.575</v>
      </c>
      <c r="AG269" s="35" t="n">
        <f aca="false">$AA269*Holdings!V28</f>
        <v>0.3625</v>
      </c>
      <c r="AH269" s="35" t="n">
        <f aca="false">$AA269*Holdings!W28</f>
        <v>0</v>
      </c>
      <c r="AI269" s="35" t="n">
        <f aca="false">$AA269*Holdings!X28</f>
        <v>0</v>
      </c>
      <c r="AJ269" s="35" t="n">
        <f aca="false">$AA269*Holdings!Y28</f>
        <v>2.83</v>
      </c>
      <c r="AK269" s="35" t="n">
        <f aca="false">$AA269*Holdings!Z28</f>
        <v>0</v>
      </c>
      <c r="AL269" s="35" t="n">
        <f aca="false">$AA269*Holdings!AA28</f>
        <v>17.0875</v>
      </c>
      <c r="AM269" s="35" t="n">
        <f aca="false">$AA269*Holdings!AB28</f>
        <v>0</v>
      </c>
      <c r="AN269" s="35" t="n">
        <f aca="false">$AA269*Holdings!AC28</f>
        <v>0</v>
      </c>
      <c r="AO269" s="43" t="n">
        <f aca="false">MIN(1,$CD$257+0.5*G269)</f>
        <v>1</v>
      </c>
      <c r="AP269" s="35" t="n">
        <f aca="false">p_liq_on*Inputs_Banks!$AP28*AO269*p_mb_psi</f>
        <v>1.278</v>
      </c>
      <c r="AQ269" s="44" t="n">
        <f aca="false">MAX(F269,E269,W269*(1-p_cb_on))</f>
        <v>0</v>
      </c>
      <c r="AR269" s="35" t="n">
        <f aca="false">p_ib_on*p_lgd_ib*g_s_in*g_u_ib*SUMPRODUCT(Network!Y$6:Y$29,$AQ$247:$AQ$270)</f>
        <v>4.28546748591128</v>
      </c>
      <c r="AS269" s="35" t="n">
        <f aca="false">p_sw_M1*(SUMPRODUCT(BDC_EAD!Y$106:Y$127,$BF$247:$BF$268)+SUMPRODUCT(BDC_EAD!Y$131:Y$152,$BG$247:$BG$268)+(Inputs_Banks!$Y28+p_ccf_bl*Inputs_Banks!$Z28)*$CD$270+Modules!$E28)</f>
        <v>9.5671959469054</v>
      </c>
      <c r="AT269" s="35" t="n">
        <f aca="false">p_sw_M3*(Inputs_Banks!$U28+p_ccf_abf*Inputs_Banks!$V28)*$CD$271</f>
        <v>7.41184916420829</v>
      </c>
      <c r="AU269" s="35" t="n">
        <f aca="false">p_sw_M10*Inputs_Banks!$AC28*$CD$272</f>
        <v>0</v>
      </c>
      <c r="AV269" s="35" t="n">
        <f aca="false">p_sw_M8*(Modules!$M28+Modules!$N28*IF(p_liq_on&gt;0,X269,p_htm_forced))</f>
        <v>4.53398609644492</v>
      </c>
      <c r="AW269" s="35" t="n">
        <f aca="false">SUMPRODUCT(Holdings!$C28:$O28,Holdings!$C$32:$O$32,$AB$272:$AN$272)+Inputs_Banks!$P28*$AL$272</f>
        <v>5.73840137991657</v>
      </c>
      <c r="AX269" s="35" t="n">
        <f aca="false">Modules!$T28+AS269+AT269+AU269+AV269+AW269+AR269</f>
        <v>40.6598325496584</v>
      </c>
      <c r="AY269" s="35" t="n">
        <f aca="false">Modules!$U28-(1-p_tax)*AX269</f>
        <v>33.2268270772335</v>
      </c>
      <c r="AZ269" s="39" t="n">
        <f aca="false">AY269/Modules!$V28</f>
        <v>0.0561728885356686</v>
      </c>
      <c r="BA269" s="44" t="n">
        <f aca="false">MAX(F269,E269)</f>
        <v>0</v>
      </c>
      <c r="BI269" s="12" t="str">
        <f aca="false">BDC!$A$28</f>
        <v>TSLX</v>
      </c>
      <c r="BJ269" s="43" t="n">
        <f aca="false">1-((1-BDC!$D$28)*$CD$263+BDC!$D$28*$CD$264)-p_gap-$CD$253*(1-BDC!$M$28)</f>
        <v>0.525207527908933</v>
      </c>
      <c r="BK269" s="43" t="n">
        <f aca="false">(1-BDC!$D$28)*$CD$265+BDC!$D$28*$CD$266</f>
        <v>0.0619669987597598</v>
      </c>
      <c r="BL269" s="45" t="n">
        <f aca="false">BJ269/BDC!$K$28</f>
        <v>0.938756762482896</v>
      </c>
      <c r="BM269" s="35" t="n">
        <f aca="false">IF(BL269&lt;1.5,BDC!$C$28,0)</f>
        <v>3.3</v>
      </c>
      <c r="BN269" s="43" t="n">
        <f aca="false">MAX(0,1-BJ269*(1-CE_mig_hc)-p_bb_cush)*BDC!$Q$28</f>
        <v>0.0605793713671617</v>
      </c>
      <c r="BO269" s="43" t="n">
        <f aca="false">MAX(0,BDC!$K$28-BJ269/1.5)</f>
        <v>0.209333013699478</v>
      </c>
      <c r="BP269" s="43" t="n">
        <f aca="false">MIN(MIN(1,BDC!$H$28*$CD$256),$CD$255)</f>
        <v>0</v>
      </c>
      <c r="BQ269" s="43" t="n">
        <f aca="false">BDC!$I$28*BDC!$J$28*BP269*(1-0.3)</f>
        <v>0</v>
      </c>
      <c r="BR269" s="45" t="n">
        <f aca="false">BDC!$C$28*($CD$254*MAX(BN269,BO269)+BQ269)</f>
        <v>0.690798945208277</v>
      </c>
      <c r="CC269" s="10" t="s">
        <v>993</v>
      </c>
      <c r="CD269" s="43" t="n">
        <f aca="false">$CD$267*(1-$AK$272)-$CD$268-p_c_liq</f>
        <v>0.112744674016444</v>
      </c>
    </row>
    <row r="270" customFormat="false" ht="15" hidden="false" customHeight="true" outlineLevel="0" collapsed="false">
      <c r="A270" s="10" t="s">
        <v>543</v>
      </c>
      <c r="B270" s="35" t="n">
        <f aca="false">AY230</f>
        <v>5.74718717276074</v>
      </c>
      <c r="C270" s="39" t="n">
        <f aca="false">AZ230</f>
        <v>0.0549360248218316</v>
      </c>
      <c r="D270" s="44" t="n">
        <f aca="false">IF(C270&lt;Inputs_Banks!$I29,1,0)</f>
        <v>1</v>
      </c>
      <c r="E270" s="44" t="n">
        <f aca="false">IF(C270&lt;0.045,1,0)</f>
        <v>0</v>
      </c>
      <c r="F270" s="44" t="n">
        <f aca="false">IF(B270&lt;0,1,0)</f>
        <v>0</v>
      </c>
      <c r="G270" s="44" t="n">
        <f aca="false">MIN(6,MIN(3,INT(MAX(0,Inputs_Banks!$BA29-C270)/p_notch_step))+D270+2*E270)</f>
        <v>2</v>
      </c>
      <c r="H270" s="39" t="n">
        <f aca="false">C270-Inputs_Banks!$I29</f>
        <v>-0.0125639751781684</v>
      </c>
      <c r="I270" s="44" t="n">
        <f aca="false">RANK(H270,$H$247:$H$270,1)</f>
        <v>23</v>
      </c>
      <c r="J270" s="44" t="n">
        <f aca="false">MAX(IF(I270&lt;=g_n_weak,1,0),E270)</f>
        <v>0</v>
      </c>
      <c r="K270" s="44" t="n">
        <f aca="false">IF(I270&gt;12,1,0)*(1-E270)</f>
        <v>1</v>
      </c>
      <c r="L270" s="35" t="n">
        <f aca="false">INDEX(Inputs_Banks!$AR29:$AX29,1,G270+1)</f>
        <v>0.8997</v>
      </c>
      <c r="M270" s="35" t="n">
        <f aca="false">Inputs_Banks!$AI29*MIN(1,p_u_base+$CD$250*p_u_pan_all+J270*($CD$250*p_u_pan_weak+p_u_mda*D270)+p_u_notch*G270+p_u_fail*E270)</f>
        <v>0</v>
      </c>
      <c r="N270" s="35" t="n">
        <f aca="false">Inputs_Banks!$AK29*MIN(1,p_w_base+p_w_pan*$CD$250+p_w_notch*G270+0.5*D270+1*E270)</f>
        <v>1.603</v>
      </c>
      <c r="O270" s="35" t="n">
        <f aca="false">Inputs_Banks!$AO29*MIN(1,p_cp_base+p_cp_pan*$CD$250+p_cp_notch*G270)</f>
        <v>0</v>
      </c>
      <c r="P270" s="35" t="n">
        <f aca="false">Inputs_Banks!$AN29*(p_dh+p_dh_pan*$CD$250+MIN(1,0.5*$CD$257+0.25*G270))</f>
        <v>15.8432978486056</v>
      </c>
      <c r="Q270" s="35" t="n">
        <f aca="false">Modules!$Y29</f>
        <v>0</v>
      </c>
      <c r="R270" s="35" t="n">
        <f aca="false">Inputs_Banks!$AJ29*K270</f>
        <v>0</v>
      </c>
      <c r="S270" s="35" t="n">
        <f aca="false">p_liq_on*$CD$258*SUM($M$247:$M$270)*R270/MAX(0.000000001,SUM($R$247:$R$270))</f>
        <v>0</v>
      </c>
      <c r="T270" s="35" t="n">
        <f aca="false">p_liq_on*(L270+M270+N270+O270+P270+Q270)</f>
        <v>18.3459978486056</v>
      </c>
      <c r="U270" s="35" t="n">
        <f aca="false">g_usable*Inputs_Banks!$AG29+p_cb_on*Inputs_Banks!$AQ29+S270</f>
        <v>16.4573</v>
      </c>
      <c r="V270" s="35" t="n">
        <f aca="false">MAX(0,T270-U270)</f>
        <v>1.88869784860557</v>
      </c>
      <c r="W270" s="44" t="n">
        <f aca="false">IF(V270&gt;0.9*Inputs_Banks!$BB29,1,0)</f>
        <v>0</v>
      </c>
      <c r="X270" s="43" t="n">
        <f aca="false">MAX(p_htm_forced,(1-p_cb_on)*MIN(1,T270/Inputs_Banks!$AG29)*g_theta_sell)</f>
        <v>0.25</v>
      </c>
      <c r="Y270" s="35" t="n">
        <f aca="false">MAX(0,Modules!$V29-B270/(Inputs_Banks!$I29+g_del_buf))</f>
        <v>25.3444527895071</v>
      </c>
      <c r="Z270" s="35" t="n">
        <f aca="false">MIN(g_del_cap*Inputs_Banks!$BB29,Y270)</f>
        <v>4.57</v>
      </c>
      <c r="AA270" s="35" t="n">
        <f aca="false">MIN(Inputs_Banks!$BB29,V270+Z270)</f>
        <v>6.45869784860557</v>
      </c>
      <c r="AB270" s="35" t="n">
        <f aca="false">$AA270*Holdings!Q29</f>
        <v>0</v>
      </c>
      <c r="AC270" s="35" t="n">
        <f aca="false">$AA270*Holdings!R29</f>
        <v>0</v>
      </c>
      <c r="AD270" s="35" t="n">
        <f aca="false">$AA270*Holdings!S29</f>
        <v>0</v>
      </c>
      <c r="AE270" s="35" t="n">
        <f aca="false">$AA270*Holdings!T29</f>
        <v>0.229658293303809</v>
      </c>
      <c r="AF270" s="35" t="n">
        <f aca="false">$AA270*Holdings!U29</f>
        <v>1.86199877801703</v>
      </c>
      <c r="AG270" s="35" t="n">
        <f aca="false">$AA270*Holdings!V29</f>
        <v>0</v>
      </c>
      <c r="AH270" s="35" t="n">
        <f aca="false">$AA270*Holdings!W29</f>
        <v>0.64657642576303</v>
      </c>
      <c r="AI270" s="35" t="n">
        <f aca="false">$AA270*Holdings!X29</f>
        <v>0.250857520378006</v>
      </c>
      <c r="AJ270" s="35" t="n">
        <f aca="false">$AA270*Holdings!Y29</f>
        <v>0.346254042211896</v>
      </c>
      <c r="AK270" s="35" t="n">
        <f aca="false">$AA270*Holdings!Z29</f>
        <v>0</v>
      </c>
      <c r="AL270" s="35" t="n">
        <f aca="false">$AA270*Holdings!AA29</f>
        <v>3.0597551077092</v>
      </c>
      <c r="AM270" s="35" t="n">
        <f aca="false">$AA270*Holdings!AB29</f>
        <v>0</v>
      </c>
      <c r="AN270" s="35" t="n">
        <f aca="false">$AA270*Holdings!AC29</f>
        <v>0.0635976812225931</v>
      </c>
      <c r="AO270" s="43" t="n">
        <f aca="false">MIN(1,$CD$257+0.5*G270)</f>
        <v>1</v>
      </c>
      <c r="AP270" s="35" t="n">
        <f aca="false">p_liq_on*Inputs_Banks!$AP29*AO270*p_mb_psi</f>
        <v>0</v>
      </c>
      <c r="AQ270" s="44" t="n">
        <f aca="false">MAX(F270,E270,W270*(1-p_cb_on))</f>
        <v>0</v>
      </c>
      <c r="AR270" s="35" t="n">
        <f aca="false">p_ib_on*p_lgd_ib*g_s_in*g_u_ib*SUMPRODUCT(Network!Z$6:Z$29,$AQ$247:$AQ$270)</f>
        <v>0.371741653794596</v>
      </c>
      <c r="AS270" s="35" t="n">
        <f aca="false">p_sw_M1*(SUMPRODUCT(BDC_EAD!Z$106:Z$127,$BF$247:$BF$268)+SUMPRODUCT(BDC_EAD!Z$131:Z$152,$BG$247:$BG$268)+(Inputs_Banks!$Y29+p_ccf_bl*Inputs_Banks!$Z29)*$CD$270+Modules!$E29)</f>
        <v>0</v>
      </c>
      <c r="AT270" s="35" t="n">
        <f aca="false">p_sw_M3*(Inputs_Banks!$U29+p_ccf_abf*Inputs_Banks!$V29)*$CD$271</f>
        <v>0</v>
      </c>
      <c r="AU270" s="35" t="n">
        <f aca="false">p_sw_M10*Inputs_Banks!$AC29*$CD$272</f>
        <v>0</v>
      </c>
      <c r="AV270" s="35" t="n">
        <f aca="false">p_sw_M8*(Modules!$M29+Modules!$N29*IF(p_liq_on&gt;0,X270,p_htm_forced))</f>
        <v>0</v>
      </c>
      <c r="AW270" s="35" t="n">
        <f aca="false">SUMPRODUCT(Holdings!$C29:$O29,Holdings!$C$32:$O$32,$AB$272:$AN$272)+Inputs_Banks!$P29*$AL$272</f>
        <v>1.44215757921998</v>
      </c>
      <c r="AX270" s="35" t="n">
        <f aca="false">Modules!$T29+AS270+AT270+AU270+AV270+AW270+AR270</f>
        <v>2.97081282723926</v>
      </c>
      <c r="AY270" s="35" t="n">
        <f aca="false">Modules!$U29-(1-p_tax)*AX270</f>
        <v>5.74718717276074</v>
      </c>
      <c r="AZ270" s="39" t="n">
        <f aca="false">AY270/Modules!$V29</f>
        <v>0.0549360248218316</v>
      </c>
      <c r="BA270" s="44" t="n">
        <f aca="false">MAX(F270,E270)</f>
        <v>0</v>
      </c>
      <c r="BI270" s="12" t="str">
        <f aca="false">BDC!$A$29</f>
        <v>GSBD</v>
      </c>
      <c r="BJ270" s="43" t="n">
        <f aca="false">1-((1-BDC!$D$29)*$CD$263+BDC!$D$29*$CD$264)-p_gap-$CD$253*(1-BDC!$M$29)</f>
        <v>0.402673902876419</v>
      </c>
      <c r="BK270" s="43" t="n">
        <f aca="false">(1-BDC!$D$29)*$CD$265+BDC!$D$29*$CD$266</f>
        <v>0.0617434368424848</v>
      </c>
      <c r="BL270" s="45" t="n">
        <f aca="false">BJ270/BDC!$K$29</f>
        <v>0.698757654991433</v>
      </c>
      <c r="BM270" s="35" t="n">
        <f aca="false">IF(BL270&lt;1.5,BDC!$C$29,0)</f>
        <v>3.2</v>
      </c>
      <c r="BN270" s="43" t="n">
        <f aca="false">MAX(0,1-BJ270*(1-CE_mig_hc)-p_bb_cush)*BDC!$Q$29</f>
        <v>0.130680147041233</v>
      </c>
      <c r="BO270" s="43" t="n">
        <f aca="false">MAX(0,BDC!$K$29-BJ270/1.5)</f>
        <v>0.307821917856399</v>
      </c>
      <c r="BP270" s="43" t="n">
        <f aca="false">MIN(MIN(1,BDC!$H$29*$CD$256),$CD$255)</f>
        <v>0</v>
      </c>
      <c r="BQ270" s="43" t="n">
        <f aca="false">BDC!$I$29*BDC!$J$29*BP270*(1-0.3)</f>
        <v>0</v>
      </c>
      <c r="BR270" s="45" t="n">
        <f aca="false">BDC!$C$29*($CD$254*MAX(BN270,BO270)+BQ270)</f>
        <v>0.985030137140476</v>
      </c>
      <c r="CC270" s="10" t="s">
        <v>994</v>
      </c>
      <c r="CD270" s="43" t="n">
        <f aca="false">p_phi*MAX(0,p_a_spv-$CD$269)/p_a_spv+(1-p_phi)*MAX(0,p_a_spv-$CD$267)/p_a_spv</f>
        <v>0.754535623270631</v>
      </c>
    </row>
    <row r="271" customFormat="false" ht="15" hidden="false" customHeight="true" outlineLevel="0" collapsed="false">
      <c r="AA271" s="7" t="s">
        <v>995</v>
      </c>
      <c r="AB271" s="47" t="n">
        <f aca="false">p_fs_on*(SUM(AB247:AB270)+$CD$260*Holdings!C$37+Holdings!C$36*SUM($AP$247:$AP$270))</f>
        <v>0</v>
      </c>
      <c r="AC271" s="47" t="n">
        <f aca="false">p_fs_on*(SUM(AC247:AC270)+$CD$260*Holdings!D$37+Holdings!D$36*SUM($AP$247:$AP$270))</f>
        <v>0</v>
      </c>
      <c r="AD271" s="47" t="n">
        <f aca="false">p_fs_on*(SUM(AD247:AD270)+$CD$260*Holdings!E$37+Holdings!E$36*SUM($AP$247:$AP$270))</f>
        <v>0</v>
      </c>
      <c r="AE271" s="47" t="n">
        <f aca="false">p_fs_on*(SUM(AE247:AE270)+$CD$260*Holdings!F$37+Holdings!F$36*SUM($AP$247:$AP$270))</f>
        <v>73.0743229780475</v>
      </c>
      <c r="AF271" s="47" t="n">
        <f aca="false">p_fs_on*(SUM(AF247:AF270)+$CD$260*Holdings!G$37+Holdings!G$36*SUM($AP$247:$AP$270))</f>
        <v>469.109968894015</v>
      </c>
      <c r="AG271" s="47" t="n">
        <f aca="false">p_fs_on*(SUM(AG247:AG270)+$CD$260*Holdings!H$37+Holdings!H$36*SUM($AP$247:$AP$270))</f>
        <v>8.84482</v>
      </c>
      <c r="AH271" s="47" t="n">
        <f aca="false">p_fs_on*(SUM(AH247:AH270)+$CD$260*Holdings!I$37+Holdings!I$36*SUM($AP$247:$AP$270))</f>
        <v>67.8038928293643</v>
      </c>
      <c r="AI271" s="47" t="n">
        <f aca="false">p_fs_on*(SUM(AI247:AI270)+$CD$260*Holdings!J$37+Holdings!J$36*SUM($AP$247:$AP$270))</f>
        <v>117.445857520378</v>
      </c>
      <c r="AJ271" s="47" t="n">
        <f aca="false">p_fs_on*(SUM(AJ247:AJ270)+$CD$260*Holdings!K$37+Holdings!K$36*SUM($AP$247:$AP$270))</f>
        <v>108.589065039421</v>
      </c>
      <c r="AK271" s="47" t="n">
        <f aca="false">p_fs_on*(SUM(AK247:AK270)+$CD$260*Holdings!L$37+$CD$274+Holdings!L$36*SUM($AP$247:$AP$270))</f>
        <v>216.309230667799</v>
      </c>
      <c r="AL271" s="47" t="n">
        <f aca="false">p_fs_on*(SUM(AL247:AL270)+$CD$260*Holdings!M$37+Holdings!M$36*SUM($AP$247:$AP$270))</f>
        <v>866.737029727618</v>
      </c>
      <c r="AM271" s="47" t="n">
        <f aca="false">p_fs_on*(SUM(AM247:AM270)+$CD$260*Holdings!N$37+Holdings!N$36*SUM($AP$247:$AP$270))</f>
        <v>0</v>
      </c>
      <c r="AN271" s="47" t="n">
        <f aca="false">p_fs_on*(SUM(AN247:AN270)+$CD$260*Holdings!O$37+Holdings!O$36*SUM($AP$247:$AP$270))</f>
        <v>185.647651909261</v>
      </c>
      <c r="BI271" s="12" t="str">
        <f aca="false">BDC!$A$30</f>
        <v>OCSL</v>
      </c>
      <c r="BJ271" s="43" t="n">
        <f aca="false">1-((1-BDC!$D$30)*$CD$263+BDC!$D$30*$CD$264)-p_gap-$CD$253*(1-BDC!$M$30)</f>
        <v>0.392098725301358</v>
      </c>
      <c r="BK271" s="43" t="n">
        <f aca="false">(1-BDC!$D$30)*$CD$265+BDC!$D$30*$CD$266</f>
        <v>0.0620042590793056</v>
      </c>
      <c r="BL271" s="45" t="n">
        <f aca="false">BJ271/BDC!$K$30</f>
        <v>0.769116730398817</v>
      </c>
      <c r="BM271" s="35" t="n">
        <f aca="false">IF(BL271&lt;1.5,BDC!$C$30,0)</f>
        <v>2.74</v>
      </c>
      <c r="BN271" s="43" t="n">
        <f aca="false">MAX(0,1-BJ271*(1-CE_mig_hc)-p_bb_cush)*BDC!$Q$30</f>
        <v>0.159860448974885</v>
      </c>
      <c r="BO271" s="43" t="n">
        <f aca="false">MAX(0,BDC!$K$30-BJ271/1.5)</f>
        <v>0.248404771367722</v>
      </c>
      <c r="BP271" s="43" t="n">
        <f aca="false">MIN(MIN(1,BDC!$H$30*$CD$256),$CD$255)</f>
        <v>0</v>
      </c>
      <c r="BQ271" s="43" t="n">
        <f aca="false">BDC!$I$30*BDC!$J$30*BP271*(1-0.3)</f>
        <v>0</v>
      </c>
      <c r="BR271" s="45" t="n">
        <f aca="false">BDC!$C$30*($CD$254*MAX(BN271,BO271)+BQ271)</f>
        <v>0.680629073547559</v>
      </c>
      <c r="CC271" s="10" t="s">
        <v>996</v>
      </c>
      <c r="CD271" s="43" t="n">
        <f aca="false">p_phi*MAX(0,g_a_abf-(CE_Vh_a*(1-$AJ$272)-p_c_liq))/g_a_abf+(1-p_phi)*MAX(0,g_a_abf-CE_Vh_a)/g_a_abf</f>
        <v>0.309662698169349</v>
      </c>
    </row>
    <row r="272" customFormat="false" ht="15" hidden="false" customHeight="true" outlineLevel="0" collapsed="false">
      <c r="AA272" s="7" t="s">
        <v>997</v>
      </c>
      <c r="AB272" s="50" t="n">
        <f aca="false">MIN(Holdings!C$34,$CD$259*Holdings!C$31*AB271/10000+Holdings!C$39*$CD$250^g_gamma_pan)</f>
        <v>0</v>
      </c>
      <c r="AC272" s="50" t="n">
        <f aca="false">MIN(Holdings!D$34,$CD$259*Holdings!D$31*AC271/10000+Holdings!D$39*$CD$250^g_gamma_pan)</f>
        <v>0.01</v>
      </c>
      <c r="AD272" s="50" t="n">
        <f aca="false">MIN(Holdings!E$34,$CD$259*Holdings!E$31*AD271/10000+Holdings!E$39*$CD$250^g_gamma_pan)</f>
        <v>0.02</v>
      </c>
      <c r="AE272" s="50" t="n">
        <f aca="false">MIN(Holdings!F$34,$CD$259*Holdings!F$31*AE271/10000+Holdings!F$39*$CD$250^g_gamma_pan)</f>
        <v>0.0982685807445119</v>
      </c>
      <c r="AF272" s="50" t="n">
        <f aca="false">MIN(Holdings!G$34,$CD$259*Holdings!G$31*AF271/10000+Holdings!G$39*$CD$250^g_gamma_pan)</f>
        <v>0.25</v>
      </c>
      <c r="AG272" s="50" t="n">
        <f aca="false">MIN(Holdings!H$34,$CD$259*Holdings!H$31*AG271/10000+Holdings!H$39*$CD$250^g_gamma_pan)</f>
        <v>0.16326723</v>
      </c>
      <c r="AH272" s="50" t="n">
        <f aca="false">MIN(Holdings!I$34,$CD$259*Holdings!I$31*AH271/10000+Holdings!I$39*$CD$250^g_gamma_pan)</f>
        <v>0.403411678488093</v>
      </c>
      <c r="AI272" s="50" t="n">
        <f aca="false">MIN(Holdings!J$34,$CD$259*Holdings!J$31*AI271/10000+Holdings!J$39*$CD$250^g_gamma_pan)</f>
        <v>0.45</v>
      </c>
      <c r="AJ272" s="50" t="n">
        <f aca="false">MIN(Holdings!K$34,$CD$259*Holdings!K$31*AJ271/10000+Holdings!K$39*$CD$250^g_gamma_pan)</f>
        <v>0.262883597559132</v>
      </c>
      <c r="AK272" s="50" t="n">
        <f aca="false">MIN(Holdings!L$34,$CD$259*Holdings!L$31*AK271/10000+Holdings!L$39*$CD$250^g_gamma_pan)</f>
        <v>0.45</v>
      </c>
      <c r="AL272" s="50" t="n">
        <f aca="false">MIN(Holdings!M$34,$CD$259*Holdings!M$31*AL271/10000+Holdings!M$39*$CD$250^g_gamma_pan)</f>
        <v>0.343336851486381</v>
      </c>
      <c r="AM272" s="50" t="n">
        <f aca="false">MIN(Holdings!N$34,$CD$259*Holdings!N$31*AM271/10000+Holdings!N$39*$CD$250^g_gamma_pan)</f>
        <v>0</v>
      </c>
      <c r="AN272" s="50" t="n">
        <f aca="false">MIN(Holdings!O$34,$CD$259*Holdings!O$31*AN271/10000+Holdings!O$39*$CD$250^g_gamma_pan)</f>
        <v>0.285647651909261</v>
      </c>
      <c r="BI272" s="12" t="str">
        <f aca="false">BDC!$A$31</f>
        <v>BBDC</v>
      </c>
      <c r="BJ272" s="43" t="n">
        <f aca="false">1-((1-BDC!$D$31)*$CD$263+BDC!$D$31*$CD$264)-p_gap-$CD$253*(1-BDC!$M$31)</f>
        <v>0.440484450675871</v>
      </c>
      <c r="BK272" s="43" t="n">
        <f aca="false">(1-BDC!$D$31)*$CD$265+BDC!$D$31*$CD$266</f>
        <v>0.0655439894361584</v>
      </c>
      <c r="BL272" s="45" t="n">
        <f aca="false">BJ272/BDC!$K$31</f>
        <v>0.798601890249749</v>
      </c>
      <c r="BM272" s="35" t="n">
        <f aca="false">IF(BL272&lt;1.5,BDC!$C$31,0)</f>
        <v>2.46</v>
      </c>
      <c r="BN272" s="43" t="n">
        <f aca="false">MAX(0,1-BJ272*(1-CE_mig_hc)-p_bb_cush)*BDC!$Q$31</f>
        <v>0.161288813940408</v>
      </c>
      <c r="BO272" s="43" t="n">
        <f aca="false">MAX(0,BDC!$K$31-BJ272/1.5)</f>
        <v>0.257913206275877</v>
      </c>
      <c r="BP272" s="43" t="n">
        <f aca="false">MIN(MIN(1,BDC!$H$31*$CD$256),$CD$255)</f>
        <v>0</v>
      </c>
      <c r="BQ272" s="43" t="n">
        <f aca="false">BDC!$I$31*BDC!$J$31*BP272*(1-0.3)</f>
        <v>0</v>
      </c>
      <c r="BR272" s="45" t="n">
        <f aca="false">BDC!$C$31*($CD$254*MAX(BN272,BO272)+BQ272)</f>
        <v>0.634466487438657</v>
      </c>
      <c r="CC272" s="10" t="s">
        <v>998</v>
      </c>
      <c r="CD272" s="43" t="n">
        <f aca="false">p_phi*MAX(0,g_trs_adv-$CD$269)/g_trs_adv+(1-p_phi)*MAX(0,g_trs_adv-$CD$267)/g_trs_adv</f>
        <v>0.785218670361803</v>
      </c>
    </row>
    <row r="273" customFormat="false" ht="15" hidden="false" customHeight="true" outlineLevel="0" collapsed="false">
      <c r="BI273" s="12" t="str">
        <f aca="false">BDC!$A$32</f>
        <v>CGBD</v>
      </c>
      <c r="BJ273" s="43" t="n">
        <f aca="false">1-((1-BDC!$D$32)*$CD$263+BDC!$D$32*$CD$264)-p_gap-$CD$253*(1-BDC!$M$32)</f>
        <v>0.378165749019815</v>
      </c>
      <c r="BK273" s="43" t="n">
        <f aca="false">(1-BDC!$D$32)*$CD$265+BDC!$D$32*$CD$266</f>
        <v>0.0643143988911463</v>
      </c>
      <c r="BL273" s="45" t="n">
        <f aca="false">BJ273/BDC!$K$32</f>
        <v>0.695952092733944</v>
      </c>
      <c r="BM273" s="35" t="n">
        <f aca="false">IF(BL273&lt;1.5,BDC!$C$32,0)</f>
        <v>2.36</v>
      </c>
      <c r="BN273" s="43" t="n">
        <f aca="false">MAX(0,1-BJ273*(1-CE_mig_hc)-p_bb_cush)*BDC!$Q$32</f>
        <v>0.188636784641365</v>
      </c>
      <c r="BO273" s="43" t="n">
        <f aca="false">MAX(0,BDC!$K$32-BJ273/1.5)</f>
        <v>0.291268496087247</v>
      </c>
      <c r="BP273" s="43" t="n">
        <f aca="false">MIN(MIN(1,BDC!$H$32*$CD$256),$CD$255)</f>
        <v>0</v>
      </c>
      <c r="BQ273" s="43" t="n">
        <f aca="false">BDC!$I$32*BDC!$J$32*BP273*(1-0.3)</f>
        <v>0</v>
      </c>
      <c r="BR273" s="45" t="n">
        <f aca="false">BDC!$C$32*($CD$254*MAX(BN273,BO273)+BQ273)</f>
        <v>0.687393650765903</v>
      </c>
      <c r="CC273" s="10" t="s">
        <v>999</v>
      </c>
      <c r="CD273" s="43" t="n">
        <f aca="false">SUM($BM$247:$BM$280)/SUM(BDC!$C$6:$C$39)</f>
        <v>0.998189261533617</v>
      </c>
    </row>
    <row r="274" customFormat="false" ht="15" hidden="false" customHeight="true" outlineLevel="0" collapsed="false">
      <c r="BI274" s="12" t="str">
        <f aca="false">BDC!$A$33</f>
        <v>KBDC</v>
      </c>
      <c r="BJ274" s="43" t="n">
        <f aca="false">1-((1-BDC!$D$33)*$CD$263+BDC!$D$33*$CD$264)-p_gap-$CD$253*(1-BDC!$M$33)</f>
        <v>0.456205474041006</v>
      </c>
      <c r="BK274" s="43" t="n">
        <f aca="false">(1-BDC!$D$33)*$CD$265+BDC!$D$33*$CD$266</f>
        <v>0.0684875546802781</v>
      </c>
      <c r="BL274" s="45" t="n">
        <f aca="false">BJ274/BDC!$K$33</f>
        <v>0.846124682623062</v>
      </c>
      <c r="BM274" s="35" t="n">
        <f aca="false">IF(BL274&lt;1.5,BDC!$C$33,0)</f>
        <v>2.29</v>
      </c>
      <c r="BN274" s="43" t="n">
        <f aca="false">MAX(0,1-BJ274*(1-CE_mig_hc)-p_bb_cush)*BDC!$Q$33</f>
        <v>0.1539572367744</v>
      </c>
      <c r="BO274" s="43" t="n">
        <f aca="false">MAX(0,BDC!$K$33-BJ274/1.5)</f>
        <v>0.235033524218438</v>
      </c>
      <c r="BP274" s="43" t="n">
        <f aca="false">MIN(MIN(1,BDC!$H$33*$CD$256),$CD$255)</f>
        <v>0</v>
      </c>
      <c r="BQ274" s="43" t="n">
        <f aca="false">BDC!$I$33*BDC!$J$33*BP274*(1-0.3)</f>
        <v>0</v>
      </c>
      <c r="BR274" s="45" t="n">
        <f aca="false">BDC!$C$33*($CD$254*MAX(BN274,BO274)+BQ274)</f>
        <v>0.538226770460224</v>
      </c>
      <c r="CC274" s="10" t="s">
        <v>869</v>
      </c>
      <c r="CD274" s="35" t="n">
        <f aca="false">p_pc_scale*SUM($BR$247:$BR$280)</f>
        <v>209.214230667799</v>
      </c>
    </row>
    <row r="275" customFormat="false" ht="15" hidden="false" customHeight="true" outlineLevel="0" collapsed="false">
      <c r="BI275" s="12" t="str">
        <f aca="false">BDC!$A$34</f>
        <v>NMFC</v>
      </c>
      <c r="BJ275" s="43" t="n">
        <f aca="false">1-((1-BDC!$D$34)*$CD$263+BDC!$D$34*$CD$264)-p_gap-$CD$253*(1-BDC!$M$34)</f>
        <v>0.361123826355913</v>
      </c>
      <c r="BK275" s="43" t="n">
        <f aca="false">(1-BDC!$D$34)*$CD$265+BDC!$D$34*$CD$266</f>
        <v>0.0628985067484052</v>
      </c>
      <c r="BL275" s="45" t="n">
        <f aca="false">BJ275/BDC!$K$34</f>
        <v>0.636790869375694</v>
      </c>
      <c r="BM275" s="35" t="n">
        <f aca="false">IF(BL275&lt;1.5,BDC!$C$34,0)</f>
        <v>2.29</v>
      </c>
      <c r="BN275" s="43" t="n">
        <f aca="false">MAX(0,1-BJ275*(1-CE_mig_hc)-p_bb_cush)*BDC!$Q$34</f>
        <v>0.15656762438422</v>
      </c>
      <c r="BO275" s="43" t="n">
        <f aca="false">MAX(0,BDC!$K$34-BJ275/1.5)</f>
        <v>0.326350349528958</v>
      </c>
      <c r="BP275" s="43" t="n">
        <f aca="false">MIN(MIN(1,BDC!$H$34*$CD$256),$CD$255)</f>
        <v>0</v>
      </c>
      <c r="BQ275" s="43" t="n">
        <f aca="false">BDC!$I$34*BDC!$J$34*BP275*(1-0.3)</f>
        <v>0</v>
      </c>
      <c r="BR275" s="45" t="n">
        <f aca="false">BDC!$C$34*($CD$254*MAX(BN275,BO275)+BQ275)</f>
        <v>0.747342300421315</v>
      </c>
    </row>
    <row r="276" customFormat="false" ht="15" hidden="false" customHeight="true" outlineLevel="0" collapsed="false">
      <c r="BI276" s="12" t="str">
        <f aca="false">BDC!$A$35</f>
        <v>HPS CCS</v>
      </c>
      <c r="BJ276" s="43" t="n">
        <f aca="false">1-((1-BDC!$D$35)*$CD$263+BDC!$D$35*$CD$264)-p_gap-$CD$253*(1-BDC!$M$35)</f>
        <v>0.428848454391989</v>
      </c>
      <c r="BK276" s="43" t="n">
        <f aca="false">(1-BDC!$D$35)*$CD$265+BDC!$D$35*$CD$266</f>
        <v>0.0651713862407002</v>
      </c>
      <c r="BL276" s="45" t="n">
        <f aca="false">BJ276/BDC!$K$35</f>
        <v>1.05036795351081</v>
      </c>
      <c r="BM276" s="35" t="n">
        <f aca="false">IF(BL276&lt;1.5,BDC!$C$35,0)</f>
        <v>2.27</v>
      </c>
      <c r="BN276" s="43" t="n">
        <f aca="false">MAX(0,1-BJ276*(1-CE_mig_hc)-p_bb_cush)*BDC!$Q$35</f>
        <v>0.121466639892192</v>
      </c>
      <c r="BO276" s="43" t="n">
        <f aca="false">MAX(0,BDC!$K$35-BJ276/1.5)</f>
        <v>0.12238505407398</v>
      </c>
      <c r="BP276" s="43" t="n">
        <f aca="false">MIN(MIN(1,BDC!$H$35*$CD$256),$CD$255)</f>
        <v>0.138</v>
      </c>
      <c r="BQ276" s="43" t="n">
        <f aca="false">BDC!$I$35*BDC!$J$35*BP276*(1-0.3)</f>
        <v>0.0571597633136095</v>
      </c>
      <c r="BR276" s="45" t="n">
        <f aca="false">BDC!$C$35*($CD$254*MAX(BN276,BO276)+BQ276)</f>
        <v>0.407566735469828</v>
      </c>
    </row>
    <row r="277" customFormat="false" ht="15" hidden="false" customHeight="true" outlineLevel="0" collapsed="false">
      <c r="BI277" s="12" t="str">
        <f aca="false">BDC!$A$36</f>
        <v>APCF</v>
      </c>
      <c r="BJ277" s="43" t="n">
        <f aca="false">1-((1-BDC!$D$36)*$CD$263+BDC!$D$36*$CD$264)-p_gap-$CD$253*(1-BDC!$M$36)</f>
        <v>0.412233180685897</v>
      </c>
      <c r="BK277" s="43" t="n">
        <f aca="false">(1-BDC!$D$36)*$CD$265+BDC!$D$36*$CD$266</f>
        <v>0.0624141225943096</v>
      </c>
      <c r="BL277" s="45" t="n">
        <f aca="false">BJ277/BDC!$K$36</f>
        <v>0.770696816064938</v>
      </c>
      <c r="BM277" s="35" t="n">
        <f aca="false">IF(BL277&lt;1.5,BDC!$C$36,0)</f>
        <v>1.73</v>
      </c>
      <c r="BN277" s="43" t="n">
        <f aca="false">MAX(0,1-BJ277*(1-CE_mig_hc)-p_bb_cush)*BDC!$Q$36</f>
        <v>0.163016261096768</v>
      </c>
      <c r="BO277" s="43" t="n">
        <f aca="false">MAX(0,BDC!$K$36-BJ277/1.5)</f>
        <v>0.260061600472968</v>
      </c>
      <c r="BP277" s="43" t="n">
        <f aca="false">MIN(MIN(1,BDC!$H$36*$CD$256),$CD$255)</f>
        <v>0.0135</v>
      </c>
      <c r="BQ277" s="43" t="n">
        <f aca="false">BDC!$I$36*BDC!$J$36*BP277*(1-0.3)</f>
        <v>0.0043953488372093</v>
      </c>
      <c r="BR277" s="45" t="n">
        <f aca="false">BDC!$C$36*($CD$254*MAX(BN277,BO277)+BQ277)</f>
        <v>0.457510522306607</v>
      </c>
    </row>
    <row r="278" customFormat="false" ht="15" hidden="false" customHeight="true" outlineLevel="0" collapsed="false">
      <c r="BI278" s="12" t="str">
        <f aca="false">BDC!$A$37</f>
        <v>TCPC</v>
      </c>
      <c r="BJ278" s="43" t="n">
        <f aca="false">1-((1-BDC!$D$37)*$CD$263+BDC!$D$37*$CD$264)-p_gap-$CD$253*(1-BDC!$M$37)</f>
        <v>0.368439426438033</v>
      </c>
      <c r="BK278" s="43" t="n">
        <f aca="false">(1-BDC!$D$37)*$CD$265+BDC!$D$37*$CD$266</f>
        <v>0.059246995432915</v>
      </c>
      <c r="BL278" s="45" t="n">
        <f aca="false">BJ278/BDC!$K$37</f>
        <v>0.59173604852169</v>
      </c>
      <c r="BM278" s="35" t="n">
        <f aca="false">IF(BL278&lt;1.5,BDC!$C$37,0)</f>
        <v>1.29</v>
      </c>
      <c r="BN278" s="43" t="n">
        <f aca="false">MAX(0,1-BJ278*(1-CE_mig_hc)-p_bb_cush)*BDC!$Q$37</f>
        <v>0.201683787747215</v>
      </c>
      <c r="BO278" s="43" t="n">
        <f aca="false">MAX(0,BDC!$K$37-BJ278/1.5)</f>
        <v>0.37701522514194</v>
      </c>
      <c r="BP278" s="43" t="n">
        <f aca="false">MIN(MIN(1,BDC!$H$37*$CD$256),$CD$255)</f>
        <v>0</v>
      </c>
      <c r="BQ278" s="43" t="n">
        <f aca="false">BDC!$I$37*BDC!$J$37*BP278*(1-0.3)</f>
        <v>0</v>
      </c>
      <c r="BR278" s="45" t="n">
        <f aca="false">BDC!$C$37*($CD$254*MAX(BN278,BO278)+BQ278)</f>
        <v>0.486349640433103</v>
      </c>
    </row>
    <row r="279" customFormat="false" ht="15" hidden="false" customHeight="true" outlineLevel="0" collapsed="false">
      <c r="BI279" s="12" t="str">
        <f aca="false">BDC!$A$38</f>
        <v>OBDC II</v>
      </c>
      <c r="BJ279" s="43" t="n">
        <f aca="false">1-((1-BDC!$D$38)*$CD$263+BDC!$D$38*$CD$264)-p_gap-$CD$253*(1-BDC!$M$38)</f>
        <v>0.431318292375327</v>
      </c>
      <c r="BK279" s="43" t="n">
        <f aca="false">(1-BDC!$D$38)*$CD$265+BDC!$D$38*$CD$266</f>
        <v>0.0655812497557042</v>
      </c>
      <c r="BL279" s="45" t="n">
        <f aca="false">BJ279/BDC!$K$38</f>
        <v>2.02879344932098</v>
      </c>
      <c r="BM279" s="35" t="n">
        <f aca="false">IF(BL279&lt;1.5,BDC!$C$38,0)</f>
        <v>0</v>
      </c>
      <c r="BN279" s="43" t="n">
        <f aca="false">MAX(0,1-BJ279*(1-CE_mig_hc)-p_bb_cush)*BDC!$Q$38</f>
        <v>0.126039156046108</v>
      </c>
      <c r="BO279" s="43" t="n">
        <f aca="false">MAX(0,BDC!$K$38-BJ279/1.5)</f>
        <v>0</v>
      </c>
      <c r="BP279" s="43" t="n">
        <f aca="false">MIN(MIN(1,BDC!$H$38*$CD$256),$CD$255)</f>
        <v>0</v>
      </c>
      <c r="BQ279" s="43" t="n">
        <f aca="false">BDC!$I$38*BDC!$J$38*BP279*(1-0.3)</f>
        <v>0</v>
      </c>
      <c r="BR279" s="45" t="n">
        <f aca="false">BDC!$C$38*($CD$254*MAX(BN279,BO279)+BQ279)</f>
        <v>0.0869670176718148</v>
      </c>
    </row>
    <row r="280" customFormat="false" ht="15" hidden="false" customHeight="true" outlineLevel="0" collapsed="false">
      <c r="BI280" s="12" t="str">
        <f aca="false">BDC!$A$39</f>
        <v>NHPIF-A</v>
      </c>
      <c r="BJ280" s="43" t="n">
        <f aca="false">1-((1-BDC!$D$39)*$CD$263+BDC!$D$39*$CD$264)-p_gap-$CD$253*(1-BDC!$M$39)</f>
        <v>0.406395381816189</v>
      </c>
      <c r="BK280" s="43" t="n">
        <f aca="false">(1-BDC!$D$39)*$CD$265+BDC!$D$39*$CD$266</f>
        <v>0.0614453542861183</v>
      </c>
      <c r="BL280" s="45" t="n">
        <f aca="false">BJ280/BDC!$K$39</f>
        <v>0.800954004938703</v>
      </c>
      <c r="BM280" s="35" t="n">
        <f aca="false">IF(BL280&lt;1.5,BDC!$C$39,0)</f>
        <v>0.6</v>
      </c>
      <c r="BN280" s="43" t="n">
        <f aca="false">MAX(0,1-BJ280*(1-CE_mig_hc)-p_bb_cush)*BDC!$Q$39</f>
        <v>0.155931774753151</v>
      </c>
      <c r="BO280" s="43" t="n">
        <f aca="false">MAX(0,BDC!$K$39-BJ280/1.5)</f>
        <v>0.23645890801745</v>
      </c>
      <c r="BP280" s="43" t="n">
        <f aca="false">MIN(MIN(1,BDC!$H$39*$CD$256),$CD$255)</f>
        <v>0.204</v>
      </c>
      <c r="BQ280" s="43" t="n">
        <f aca="false">BDC!$I$39*BDC!$J$39*BP280*(1-0.3)</f>
        <v>0.0703448275862069</v>
      </c>
      <c r="BR280" s="45" t="n">
        <f aca="false">BDC!$C$39*($CD$254*MAX(BN280,BO280)+BQ280)</f>
        <v>0.184082241362194</v>
      </c>
    </row>
    <row r="285" customFormat="false" ht="15" hidden="false" customHeight="true" outlineLevel="0" collapsed="false">
      <c r="A285" s="9" t="s">
        <v>1006</v>
      </c>
    </row>
    <row r="286" customFormat="false" ht="42" hidden="false" customHeight="true" outlineLevel="0" collapsed="false">
      <c r="A286" s="21" t="s">
        <v>51</v>
      </c>
      <c r="B286" s="21" t="s">
        <v>910</v>
      </c>
      <c r="C286" s="21" t="s">
        <v>911</v>
      </c>
      <c r="D286" s="21" t="s">
        <v>912</v>
      </c>
      <c r="E286" s="21" t="s">
        <v>913</v>
      </c>
      <c r="F286" s="21" t="s">
        <v>914</v>
      </c>
      <c r="G286" s="21" t="s">
        <v>61</v>
      </c>
      <c r="H286" s="21" t="s">
        <v>915</v>
      </c>
      <c r="I286" s="21" t="s">
        <v>916</v>
      </c>
      <c r="J286" s="21" t="s">
        <v>917</v>
      </c>
      <c r="K286" s="21" t="s">
        <v>918</v>
      </c>
      <c r="L286" s="21" t="s">
        <v>919</v>
      </c>
      <c r="M286" s="21" t="s">
        <v>920</v>
      </c>
      <c r="N286" s="21" t="s">
        <v>921</v>
      </c>
      <c r="O286" s="21" t="s">
        <v>922</v>
      </c>
      <c r="P286" s="21" t="s">
        <v>923</v>
      </c>
      <c r="Q286" s="21" t="s">
        <v>924</v>
      </c>
      <c r="R286" s="21" t="s">
        <v>925</v>
      </c>
      <c r="S286" s="21" t="s">
        <v>926</v>
      </c>
      <c r="T286" s="21" t="s">
        <v>927</v>
      </c>
      <c r="U286" s="21" t="s">
        <v>928</v>
      </c>
      <c r="V286" s="21" t="s">
        <v>60</v>
      </c>
      <c r="W286" s="21" t="s">
        <v>929</v>
      </c>
      <c r="X286" s="21" t="s">
        <v>930</v>
      </c>
      <c r="Y286" s="21" t="s">
        <v>931</v>
      </c>
      <c r="Z286" s="21" t="s">
        <v>932</v>
      </c>
      <c r="AA286" s="21" t="s">
        <v>933</v>
      </c>
      <c r="AB286" s="21" t="s">
        <v>934</v>
      </c>
      <c r="AC286" s="21" t="s">
        <v>935</v>
      </c>
      <c r="AD286" s="21" t="s">
        <v>936</v>
      </c>
      <c r="AE286" s="21" t="s">
        <v>937</v>
      </c>
      <c r="AF286" s="21" t="s">
        <v>938</v>
      </c>
      <c r="AG286" s="21" t="s">
        <v>939</v>
      </c>
      <c r="AH286" s="21" t="s">
        <v>940</v>
      </c>
      <c r="AI286" s="21" t="s">
        <v>941</v>
      </c>
      <c r="AJ286" s="21" t="s">
        <v>942</v>
      </c>
      <c r="AK286" s="21" t="s">
        <v>943</v>
      </c>
      <c r="AL286" s="21" t="s">
        <v>944</v>
      </c>
      <c r="AM286" s="21" t="s">
        <v>945</v>
      </c>
      <c r="AN286" s="21" t="s">
        <v>946</v>
      </c>
      <c r="AO286" s="21" t="s">
        <v>947</v>
      </c>
      <c r="AP286" s="21" t="s">
        <v>948</v>
      </c>
      <c r="AQ286" s="21" t="s">
        <v>949</v>
      </c>
      <c r="AR286" s="21" t="s">
        <v>950</v>
      </c>
      <c r="AS286" s="21" t="s">
        <v>951</v>
      </c>
      <c r="AT286" s="21" t="s">
        <v>952</v>
      </c>
      <c r="AU286" s="21" t="s">
        <v>953</v>
      </c>
      <c r="AV286" s="21" t="s">
        <v>954</v>
      </c>
      <c r="AW286" s="21" t="s">
        <v>955</v>
      </c>
      <c r="AX286" s="21" t="s">
        <v>956</v>
      </c>
      <c r="AY286" s="21" t="s">
        <v>957</v>
      </c>
      <c r="AZ286" s="21" t="s">
        <v>958</v>
      </c>
      <c r="BA286" s="21" t="s">
        <v>959</v>
      </c>
      <c r="BB286" s="21" t="s">
        <v>960</v>
      </c>
      <c r="BC286" s="21" t="s">
        <v>614</v>
      </c>
      <c r="BD286" s="21" t="s">
        <v>961</v>
      </c>
      <c r="BE286" s="21" t="s">
        <v>962</v>
      </c>
      <c r="BF286" s="21" t="s">
        <v>963</v>
      </c>
      <c r="BG286" s="21" t="s">
        <v>964</v>
      </c>
      <c r="BI286" s="21" t="s">
        <v>599</v>
      </c>
      <c r="BJ286" s="21" t="s">
        <v>960</v>
      </c>
      <c r="BK286" s="21" t="s">
        <v>614</v>
      </c>
      <c r="BL286" s="21" t="s">
        <v>965</v>
      </c>
      <c r="BM286" s="21" t="s">
        <v>966</v>
      </c>
      <c r="BN286" s="21" t="s">
        <v>967</v>
      </c>
      <c r="BO286" s="21" t="s">
        <v>968</v>
      </c>
      <c r="BP286" s="21" t="s">
        <v>969</v>
      </c>
      <c r="BQ286" s="21" t="s">
        <v>622</v>
      </c>
      <c r="BR286" s="21" t="s">
        <v>623</v>
      </c>
      <c r="BT286" s="21" t="s">
        <v>805</v>
      </c>
      <c r="BU286" s="21" t="s">
        <v>970</v>
      </c>
      <c r="BV286" s="21" t="s">
        <v>971</v>
      </c>
      <c r="CC286" s="21" t="s">
        <v>972</v>
      </c>
      <c r="CD286" s="21" t="s">
        <v>363</v>
      </c>
    </row>
    <row r="287" customFormat="false" ht="15" hidden="false" customHeight="true" outlineLevel="0" collapsed="false">
      <c r="A287" s="10" t="s">
        <v>496</v>
      </c>
      <c r="B287" s="35" t="n">
        <f aca="false">AY247</f>
        <v>136.757052678189</v>
      </c>
      <c r="C287" s="39" t="n">
        <f aca="false">AZ247</f>
        <v>0.0579926268046499</v>
      </c>
      <c r="D287" s="44" t="n">
        <f aca="false">IF(C287&lt;Inputs_Banks!$I6,1,0)</f>
        <v>1</v>
      </c>
      <c r="E287" s="44" t="n">
        <f aca="false">IF(C287&lt;0.045,1,0)</f>
        <v>0</v>
      </c>
      <c r="F287" s="44" t="n">
        <f aca="false">IF(B287&lt;0,1,0)</f>
        <v>0</v>
      </c>
      <c r="G287" s="44" t="n">
        <f aca="false">MIN(6,MIN(3,INT(MAX(0,Inputs_Banks!$BA6-C287)/p_notch_step))+D287+2*E287)</f>
        <v>4</v>
      </c>
      <c r="H287" s="39" t="n">
        <f aca="false">C287-Inputs_Banks!$I6</f>
        <v>-0.0570073731953502</v>
      </c>
      <c r="I287" s="44" t="n">
        <f aca="false">RANK(H287,$H$287:$H$310,1)</f>
        <v>12</v>
      </c>
      <c r="J287" s="44" t="n">
        <f aca="false">MAX(IF(I287&lt;=g_n_weak,1,0),E287)</f>
        <v>0</v>
      </c>
      <c r="K287" s="44" t="n">
        <f aca="false">IF(I287&gt;12,1,0)*(1-E287)</f>
        <v>0</v>
      </c>
      <c r="L287" s="35" t="n">
        <f aca="false">INDEX(Inputs_Banks!$AR6:$AX6,1,G287+1)</f>
        <v>0.918</v>
      </c>
      <c r="M287" s="35" t="n">
        <f aca="false">Inputs_Banks!$AI6*MIN(1,p_u_base+$CD$290*p_u_pan_all+J287*($CD$290*p_u_pan_weak+p_u_mda*D287)+p_u_notch*G287+p_u_fail*E287)</f>
        <v>540.609</v>
      </c>
      <c r="N287" s="35" t="n">
        <f aca="false">Inputs_Banks!$AK6*MIN(1,p_w_base+p_w_pan*$CD$290+p_w_notch*G287+0.5*D287+1*E287)</f>
        <v>30.166</v>
      </c>
      <c r="O287" s="35" t="n">
        <f aca="false">Inputs_Banks!$AO6*MIN(1,p_cp_base+p_cp_pan*$CD$290+p_cp_notch*G287)</f>
        <v>5.45</v>
      </c>
      <c r="P287" s="35" t="n">
        <f aca="false">Inputs_Banks!$AN6*(p_dh+p_dh_pan*$CD$290+MIN(1,0.5*$CD$297+0.25*G287))</f>
        <v>244.593789910108</v>
      </c>
      <c r="Q287" s="35" t="n">
        <f aca="false">Modules!$Y6</f>
        <v>45.160097</v>
      </c>
      <c r="R287" s="35" t="n">
        <f aca="false">Inputs_Banks!$AJ6*K287</f>
        <v>0</v>
      </c>
      <c r="S287" s="35" t="n">
        <f aca="false">p_liq_on*$CD$298*SUM($M$287:$M$310)*R287/MAX(0.000000001,SUM($R$287:$R$310))</f>
        <v>0</v>
      </c>
      <c r="T287" s="35" t="n">
        <f aca="false">p_liq_on*(L287+M287+N287+O287+P287+Q287)</f>
        <v>866.896886910109</v>
      </c>
      <c r="U287" s="35" t="n">
        <f aca="false">g_usable*Inputs_Banks!$AG6+p_cb_on*Inputs_Banks!$AQ6+S287</f>
        <v>1057.6002</v>
      </c>
      <c r="V287" s="35" t="n">
        <f aca="false">MAX(0,T287-U287)</f>
        <v>0</v>
      </c>
      <c r="W287" s="44" t="n">
        <f aca="false">IF(V287&gt;0.9*Inputs_Banks!$BB6,1,0)</f>
        <v>0</v>
      </c>
      <c r="X287" s="43" t="n">
        <f aca="false">MAX(p_htm_forced,(1-p_cb_on)*MIN(1,T287/Inputs_Banks!$AG6)*g_theta_sell)</f>
        <v>0.22218736464953</v>
      </c>
      <c r="Y287" s="35" t="n">
        <f aca="false">MAX(0,Modules!$V6-B287/(Inputs_Banks!$I6+g_del_buf))</f>
        <v>1218.53789434842</v>
      </c>
      <c r="Z287" s="35" t="n">
        <f aca="false">MIN(g_del_cap*Inputs_Banks!$BB6,Y287)</f>
        <v>120.0675</v>
      </c>
      <c r="AA287" s="35" t="n">
        <f aca="false">MIN(Inputs_Banks!$BB6,V287+Z287)</f>
        <v>120.0675</v>
      </c>
      <c r="AB287" s="35" t="n">
        <f aca="false">$AA287*Holdings!Q6</f>
        <v>0</v>
      </c>
      <c r="AC287" s="35" t="n">
        <f aca="false">$AA287*Holdings!R6</f>
        <v>0</v>
      </c>
      <c r="AD287" s="35" t="n">
        <f aca="false">$AA287*Holdings!S6</f>
        <v>0</v>
      </c>
      <c r="AE287" s="35" t="n">
        <f aca="false">$AA287*Holdings!T6</f>
        <v>8.5</v>
      </c>
      <c r="AF287" s="35" t="n">
        <f aca="false">$AA287*Holdings!U6</f>
        <v>13.89</v>
      </c>
      <c r="AG287" s="35" t="n">
        <f aca="false">$AA287*Holdings!V6</f>
        <v>0</v>
      </c>
      <c r="AH287" s="35" t="n">
        <f aca="false">$AA287*Holdings!W6</f>
        <v>3.56</v>
      </c>
      <c r="AI287" s="35" t="n">
        <f aca="false">$AA287*Holdings!X6</f>
        <v>11.0075</v>
      </c>
      <c r="AJ287" s="35" t="n">
        <f aca="false">$AA287*Holdings!Y6</f>
        <v>8.495</v>
      </c>
      <c r="AK287" s="35" t="n">
        <f aca="false">$AA287*Holdings!Z6</f>
        <v>0</v>
      </c>
      <c r="AL287" s="35" t="n">
        <f aca="false">$AA287*Holdings!AA6</f>
        <v>66.7675</v>
      </c>
      <c r="AM287" s="35" t="n">
        <f aca="false">$AA287*Holdings!AB6</f>
        <v>0</v>
      </c>
      <c r="AN287" s="35" t="n">
        <f aca="false">$AA287*Holdings!AC6</f>
        <v>7.8475</v>
      </c>
      <c r="AO287" s="43" t="n">
        <f aca="false">MIN(1,$CD$297+0.5*G287)</f>
        <v>1</v>
      </c>
      <c r="AP287" s="35" t="n">
        <f aca="false">p_liq_on*Inputs_Banks!$AP6*AO287*p_mb_psi</f>
        <v>20.688</v>
      </c>
      <c r="AQ287" s="44" t="n">
        <f aca="false">MAX(F287,E287,W287*(1-p_cb_on))</f>
        <v>0</v>
      </c>
      <c r="AR287" s="35" t="n">
        <f aca="false">p_ib_on*p_lgd_ib*g_s_in*g_u_ib*SUMPRODUCT(Network!C$6:C$29,$AQ$287:$AQ$310)</f>
        <v>18.7554113051636</v>
      </c>
      <c r="AS287" s="35" t="n">
        <f aca="false">p_sw_M1*(SUMPRODUCT(BDC_EAD!C$106:C$127,$BF$287:$BF$308)+SUMPRODUCT(BDC_EAD!C$131:C$152,$BG$287:$BG$308)+(Inputs_Banks!$Y6+p_ccf_bl*Inputs_Banks!$Z6)*$CD$310+Modules!$E6)</f>
        <v>58.8832880051148</v>
      </c>
      <c r="AT287" s="35" t="n">
        <f aca="false">p_sw_M3*(Inputs_Banks!$U6+p_ccf_abf*Inputs_Banks!$V6)*$CD$311</f>
        <v>0</v>
      </c>
      <c r="AU287" s="35" t="n">
        <f aca="false">p_sw_M10*Inputs_Banks!$AC6*$CD$312</f>
        <v>0</v>
      </c>
      <c r="AV287" s="35" t="n">
        <f aca="false">p_sw_M8*(Modules!$M6+Modules!$N6*IF(p_liq_on&gt;0,X287,p_htm_forced))</f>
        <v>21.0161031237091</v>
      </c>
      <c r="AW287" s="35" t="n">
        <f aca="false">SUMPRODUCT(Holdings!$C6:$O6,Holdings!$C$32:$O$32,$AB$312:$AN$312)+Inputs_Banks!$P6*$AL$312</f>
        <v>27.990754998401</v>
      </c>
      <c r="AX287" s="35" t="n">
        <f aca="false">Modules!$T6+AS287+AT287+AU287+AV287+AW287+AR287</f>
        <v>167.342947321811</v>
      </c>
      <c r="AY287" s="35" t="n">
        <f aca="false">Modules!$U6-(1-p_tax)*AX287</f>
        <v>136.757052678189</v>
      </c>
      <c r="AZ287" s="39" t="n">
        <f aca="false">AY287/Modules!$V6</f>
        <v>0.0579926268046499</v>
      </c>
      <c r="BA287" s="48" t="s">
        <v>634</v>
      </c>
      <c r="BB287" s="43" t="n">
        <f aca="false">INDEX($BJ$287:$BJ$320,BDC_EAD!$B6)</f>
        <v>0.428174862214715</v>
      </c>
      <c r="BC287" s="43" t="n">
        <f aca="false">INDEX($BK$287:$BK$320,BDC_EAD!$B6)</f>
        <v>0.0650596052820627</v>
      </c>
      <c r="BD287" s="22" t="n">
        <f aca="false">INDEX(BDC!$Q$6:$Q$39,BDC_EAD!$B6)</f>
        <v>0.243786096256685</v>
      </c>
      <c r="BE287" s="43" t="n">
        <f aca="false">BB287*(1-$AK$312)-BC287-p_c_liq</f>
        <v>0.12043656893603</v>
      </c>
      <c r="BF287" s="43" t="n">
        <f aca="false">p_phi*MAX(0,p_a_spv-BE287)/p_a_spv+(1-p_phi)*MAX(0,p_a_spv-BB287)/p_a_spv</f>
        <v>0.740022532011761</v>
      </c>
      <c r="BG287" s="43" t="n">
        <f aca="false">IF(BD287&gt;0,p_phi*MAX(0,BD287-BE287)/BD287+(1-p_phi)*MAX(0,BD287-BB287)/BD287,0)</f>
        <v>0.404779531612922</v>
      </c>
      <c r="BI287" s="12" t="str">
        <f aca="false">BDC!$A$6</f>
        <v>BCRED</v>
      </c>
      <c r="BJ287" s="43" t="n">
        <f aca="false">1-((1-BDC!$D$6)*$CD$303+BDC!$D$6*$CD$304)-p_gap-$CD$293*(1-BDC!$M$6)</f>
        <v>0.394270722625258</v>
      </c>
      <c r="BK287" s="43" t="n">
        <f aca="false">(1-BDC!$D$6)*$CD$305+BDC!$D$6*$CD$306</f>
        <v>0.0594332970306441</v>
      </c>
      <c r="BL287" s="45" t="n">
        <f aca="false">BJ287/BDC!$K$6</f>
        <v>0.875088677046303</v>
      </c>
      <c r="BM287" s="35" t="n">
        <f aca="false">IF(BL287&lt;1.5,BDC!$C$6,0)</f>
        <v>77.65</v>
      </c>
      <c r="BN287" s="43" t="n">
        <f aca="false">MAX(0,1-BJ287*(1-CE_mig_hc)-p_bb_cush)*BDC!$Q$6</f>
        <v>0.162261545017265</v>
      </c>
      <c r="BO287" s="43" t="n">
        <f aca="false">MAX(0,BDC!$K$6-BJ287/1.5)</f>
        <v>0.187702302132612</v>
      </c>
      <c r="BP287" s="43" t="n">
        <f aca="false">MIN(MIN(1,BDC!$H$6*$CD$296),$CD$295)</f>
        <v>0.25</v>
      </c>
      <c r="BQ287" s="43" t="n">
        <f aca="false">BDC!$I$6*BDC!$J$6*BP287*(1-0.3)</f>
        <v>0.0961538461538462</v>
      </c>
      <c r="BR287" s="45" t="n">
        <f aca="false">BDC!$C$6*($CD$294*MAX(BN287,BO287)+BQ287)</f>
        <v>22.0414299144435</v>
      </c>
      <c r="BT287" s="10" t="s">
        <v>816</v>
      </c>
      <c r="BU287" s="43" t="n">
        <f aca="false">NORMSDIST((NORMSINV(CreditEngine!$D$6)-SQRT(g_rho)*$CD$291)/SQRT(1-g_rho))</f>
        <v>0.666274429098982</v>
      </c>
      <c r="BV287" s="43" t="n">
        <f aca="false">NORMSDIST((NORMSINV(MIN(0.999,CreditEngine!$D$6*p_m_sw))-SQRT(g_rho)*$CD$291)/SQRT(1-g_rho))</f>
        <v>0.838888284547613</v>
      </c>
      <c r="CC287" s="10" t="s">
        <v>973</v>
      </c>
      <c r="CD287" s="43" t="n">
        <f aca="false">$CD$273</f>
        <v>0.998189261533617</v>
      </c>
    </row>
    <row r="288" customFormat="false" ht="15" hidden="false" customHeight="true" outlineLevel="0" collapsed="false">
      <c r="A288" s="10" t="s">
        <v>499</v>
      </c>
      <c r="B288" s="35" t="n">
        <f aca="false">AY248</f>
        <v>53.0866430382107</v>
      </c>
      <c r="C288" s="39" t="n">
        <f aca="false">AZ248</f>
        <v>0.0269501064254917</v>
      </c>
      <c r="D288" s="44" t="n">
        <f aca="false">IF(C288&lt;Inputs_Banks!$I7,1,0)</f>
        <v>1</v>
      </c>
      <c r="E288" s="44" t="n">
        <f aca="false">IF(C288&lt;0.045,1,0)</f>
        <v>1</v>
      </c>
      <c r="F288" s="44" t="n">
        <f aca="false">IF(B288&lt;0,1,0)</f>
        <v>0</v>
      </c>
      <c r="G288" s="44" t="n">
        <f aca="false">MIN(6,MIN(3,INT(MAX(0,Inputs_Banks!$BA7-C288)/p_notch_step))+D288+2*E288)</f>
        <v>6</v>
      </c>
      <c r="H288" s="39" t="n">
        <f aca="false">C288-Inputs_Banks!$I7</f>
        <v>-0.0730498935745083</v>
      </c>
      <c r="I288" s="44" t="n">
        <f aca="false">RANK(H288,$H$287:$H$310,1)</f>
        <v>9</v>
      </c>
      <c r="J288" s="44" t="n">
        <f aca="false">MAX(IF(I288&lt;=g_n_weak,1,0),E288)</f>
        <v>1</v>
      </c>
      <c r="K288" s="44" t="n">
        <f aca="false">IF(I288&gt;12,1,0)*(1-E288)</f>
        <v>0</v>
      </c>
      <c r="L288" s="35" t="n">
        <f aca="false">INDEX(Inputs_Banks!$AR7:$AX7,1,G288+1)</f>
        <v>6.81</v>
      </c>
      <c r="M288" s="35" t="n">
        <f aca="false">Inputs_Banks!$AI7*MIN(1,p_u_base+$CD$290*p_u_pan_all+J288*($CD$290*p_u_pan_weak+p_u_mda*D288)+p_u_notch*G288+p_u_fail*E288)</f>
        <v>845.718</v>
      </c>
      <c r="N288" s="35" t="n">
        <f aca="false">Inputs_Banks!$AK7*MIN(1,p_w_base+p_w_pan*$CD$290+p_w_notch*G288+0.5*D288+1*E288)</f>
        <v>59.979</v>
      </c>
      <c r="O288" s="35" t="n">
        <f aca="false">Inputs_Banks!$AO7*MIN(1,p_cp_base+p_cp_pan*$CD$290+p_cp_notch*G288)</f>
        <v>27.98</v>
      </c>
      <c r="P288" s="35" t="n">
        <f aca="false">Inputs_Banks!$AN7*(p_dh+p_dh_pan*$CD$290+MIN(1,0.5*$CD$297+0.25*G288))</f>
        <v>74.3236122327501</v>
      </c>
      <c r="Q288" s="35" t="n">
        <f aca="false">Modules!$Y7</f>
        <v>25.5386092</v>
      </c>
      <c r="R288" s="35" t="n">
        <f aca="false">Inputs_Banks!$AJ7*K288</f>
        <v>0</v>
      </c>
      <c r="S288" s="35" t="n">
        <f aca="false">p_liq_on*$CD$298*SUM($M$287:$M$310)*R288/MAX(0.000000001,SUM($R$287:$R$310))</f>
        <v>0</v>
      </c>
      <c r="T288" s="35" t="n">
        <f aca="false">p_liq_on*(L288+M288+N288+O288+P288+Q288)</f>
        <v>1040.34922143275</v>
      </c>
      <c r="U288" s="35" t="n">
        <f aca="false">g_usable*Inputs_Banks!$AG7+p_cb_on*Inputs_Banks!$AQ7+S288</f>
        <v>759.9</v>
      </c>
      <c r="V288" s="35" t="n">
        <f aca="false">MAX(0,T288-U288)</f>
        <v>280.44922143275</v>
      </c>
      <c r="W288" s="44" t="n">
        <f aca="false">IF(V288&gt;0.9*Inputs_Banks!$BB7,1,0)</f>
        <v>1</v>
      </c>
      <c r="X288" s="43" t="n">
        <f aca="false">MAX(p_htm_forced,(1-p_cb_on)*MIN(1,T288/Inputs_Banks!$AG7)*g_theta_sell)</f>
        <v>0.25</v>
      </c>
      <c r="Y288" s="35" t="n">
        <f aca="false">MAX(0,Modules!$V7-B288/(Inputs_Banks!$I7+g_del_buf))</f>
        <v>1464.22492344561</v>
      </c>
      <c r="Z288" s="35" t="n">
        <f aca="false">MIN(g_del_cap*Inputs_Banks!$BB7,Y288)</f>
        <v>52.7625</v>
      </c>
      <c r="AA288" s="35" t="n">
        <f aca="false">MIN(Inputs_Banks!$BB7,V288+Z288)</f>
        <v>211.05</v>
      </c>
      <c r="AB288" s="35" t="n">
        <f aca="false">$AA288*Holdings!Q7</f>
        <v>0</v>
      </c>
      <c r="AC288" s="35" t="n">
        <f aca="false">$AA288*Holdings!R7</f>
        <v>0</v>
      </c>
      <c r="AD288" s="35" t="n">
        <f aca="false">$AA288*Holdings!S7</f>
        <v>0</v>
      </c>
      <c r="AE288" s="35" t="n">
        <f aca="false">$AA288*Holdings!T7</f>
        <v>14.32</v>
      </c>
      <c r="AF288" s="35" t="n">
        <f aca="false">$AA288*Holdings!U7</f>
        <v>45.65</v>
      </c>
      <c r="AG288" s="35" t="n">
        <f aca="false">$AA288*Holdings!V7</f>
        <v>0</v>
      </c>
      <c r="AH288" s="35" t="n">
        <f aca="false">$AA288*Holdings!W7</f>
        <v>6.9</v>
      </c>
      <c r="AI288" s="35" t="n">
        <f aca="false">$AA288*Holdings!X7</f>
        <v>8.75</v>
      </c>
      <c r="AJ288" s="35" t="n">
        <f aca="false">$AA288*Holdings!Y7</f>
        <v>14.76</v>
      </c>
      <c r="AK288" s="35" t="n">
        <f aca="false">$AA288*Holdings!Z7</f>
        <v>0</v>
      </c>
      <c r="AL288" s="35" t="n">
        <f aca="false">$AA288*Holdings!AA7</f>
        <v>120.67</v>
      </c>
      <c r="AM288" s="35" t="n">
        <f aca="false">$AA288*Holdings!AB7</f>
        <v>0</v>
      </c>
      <c r="AN288" s="35" t="n">
        <f aca="false">$AA288*Holdings!AC7</f>
        <v>0</v>
      </c>
      <c r="AO288" s="43" t="n">
        <f aca="false">MIN(1,$CD$297+0.5*G288)</f>
        <v>1</v>
      </c>
      <c r="AP288" s="35" t="n">
        <f aca="false">p_liq_on*Inputs_Banks!$AP7*AO288*p_mb_psi</f>
        <v>4.722</v>
      </c>
      <c r="AQ288" s="44" t="n">
        <f aca="false">MAX(F288,E288,W288*(1-p_cb_on))</f>
        <v>1</v>
      </c>
      <c r="AR288" s="35" t="n">
        <f aca="false">p_ib_on*p_lgd_ib*g_s_in*g_u_ib*SUMPRODUCT(Network!D$6:D$29,$AQ$287:$AQ$310)</f>
        <v>9.82416957801496</v>
      </c>
      <c r="AS288" s="35" t="n">
        <f aca="false">p_sw_M1*(SUMPRODUCT(BDC_EAD!D$106:D$127,$BF$287:$BF$308)+SUMPRODUCT(BDC_EAD!D$131:D$152,$BG$287:$BG$308)+(Inputs_Banks!$Y7+p_ccf_bl*Inputs_Banks!$Z7)*$CD$310+Modules!$E7)</f>
        <v>27.9111227157586</v>
      </c>
      <c r="AT288" s="35" t="n">
        <f aca="false">p_sw_M3*(Inputs_Banks!$U7+p_ccf_abf*Inputs_Banks!$V7)*$CD$311</f>
        <v>0</v>
      </c>
      <c r="AU288" s="35" t="n">
        <f aca="false">p_sw_M10*Inputs_Banks!$AC7*$CD$312</f>
        <v>39.156499434932</v>
      </c>
      <c r="AV288" s="35" t="n">
        <f aca="false">p_sw_M8*(Modules!$M7+Modules!$N7*IF(p_liq_on&gt;0,X288,p_htm_forced))</f>
        <v>36.823985</v>
      </c>
      <c r="AW288" s="35" t="n">
        <f aca="false">SUMPRODUCT(Holdings!$C7:$O7,Holdings!$C$32:$O$32,$AB$312:$AN$312)+Inputs_Banks!$P7*$AL$312</f>
        <v>11.4775672079968</v>
      </c>
      <c r="AX288" s="35" t="n">
        <f aca="false">Modules!$T7+AS288+AT288+AU288+AV288+AW288+AR288</f>
        <v>145.313356961789</v>
      </c>
      <c r="AY288" s="35" t="n">
        <f aca="false">Modules!$U7-(1-p_tax)*AX288</f>
        <v>53.0866430382107</v>
      </c>
      <c r="AZ288" s="39" t="n">
        <f aca="false">AY288/Modules!$V7</f>
        <v>0.0269501064254917</v>
      </c>
      <c r="BA288" s="48" t="s">
        <v>632</v>
      </c>
      <c r="BB288" s="43" t="n">
        <f aca="false">INDEX($BJ$287:$BJ$320,BDC_EAD!$B7)</f>
        <v>0.493705250996006</v>
      </c>
      <c r="BC288" s="43" t="n">
        <f aca="false">INDEX($BK$287:$BK$320,BDC_EAD!$B7)</f>
        <v>0.0608491891733852</v>
      </c>
      <c r="BD288" s="22" t="n">
        <f aca="false">INDEX(BDC!$Q$6:$Q$39,BDC_EAD!$B7)</f>
        <v>0.193373831775701</v>
      </c>
      <c r="BE288" s="43" t="n">
        <f aca="false">BB288*(1-$AK$312)-BC288-p_c_liq</f>
        <v>0.160688698874418</v>
      </c>
      <c r="BF288" s="43" t="n">
        <f aca="false">p_phi*MAX(0,p_a_spv-BE288)/p_a_spv+(1-p_phi)*MAX(0,p_a_spv-BB288)/p_a_spv</f>
        <v>0.675297129573235</v>
      </c>
      <c r="BG288" s="43" t="n">
        <f aca="false">IF(BD288&gt;0,p_phi*MAX(0,BD288-BE288)/BD288+(1-p_phi)*MAX(0,BD288-BB288)/BD288,0)</f>
        <v>0.135220500524373</v>
      </c>
      <c r="BI288" s="12" t="str">
        <f aca="false">BDC!$A$7</f>
        <v>OCIC</v>
      </c>
      <c r="BJ288" s="43" t="n">
        <f aca="false">1-((1-BDC!$D$7)*$CD$303+BDC!$D$7*$CD$304)-p_gap-$CD$293*(1-BDC!$M$7)</f>
        <v>0.421663471167733</v>
      </c>
      <c r="BK288" s="43" t="n">
        <f aca="false">(1-BDC!$D$7)*$CD$305+BDC!$D$7*$CD$306</f>
        <v>0.063979056015234</v>
      </c>
      <c r="BL288" s="45" t="n">
        <f aca="false">BJ288/BDC!$K$7</f>
        <v>0.885029923000406</v>
      </c>
      <c r="BM288" s="35" t="n">
        <f aca="false">IF(BL288&lt;1.5,BDC!$C$7,0)</f>
        <v>35.69</v>
      </c>
      <c r="BN288" s="43" t="n">
        <f aca="false">MAX(0,1-BJ288*(1-CE_mig_hc)-p_bb_cush)*BDC!$Q$7</f>
        <v>0.166158381580711</v>
      </c>
      <c r="BO288" s="43" t="n">
        <f aca="false">MAX(0,BDC!$K$7-BJ288/1.5)</f>
        <v>0.195330809797428</v>
      </c>
      <c r="BP288" s="43" t="n">
        <f aca="false">MIN(MIN(1,BDC!$H$7*$CD$296),$CD$295)</f>
        <v>0.25</v>
      </c>
      <c r="BQ288" s="43" t="n">
        <f aca="false">BDC!$I$7*BDC!$J$7*BP288*(1-0.3)</f>
        <v>0.0916230366492147</v>
      </c>
      <c r="BR288" s="45" t="n">
        <f aca="false">BDC!$C$7*($CD$294*MAX(BN288,BO288)+BQ288)</f>
        <v>10.2413827796807</v>
      </c>
      <c r="BT288" s="10" t="s">
        <v>817</v>
      </c>
      <c r="BU288" s="43" t="n">
        <f aca="false">NORMSDIST((NORMSINV(CreditEngine!$D$7)-SQRT(g_rho)*$CD$291)/SQRT(1-g_rho))</f>
        <v>0.694145194913595</v>
      </c>
      <c r="BV288" s="43" t="n">
        <f aca="false">NORMSDIST((NORMSINV(MIN(0.999,CreditEngine!$D$7*p_m_sw))-SQRT(g_rho)*$CD$291)/SQRT(1-g_rho))</f>
        <v>0.863150017491553</v>
      </c>
      <c r="CC288" s="10" t="s">
        <v>974</v>
      </c>
      <c r="CD288" s="43" t="n">
        <f aca="false">$AK$272</f>
        <v>0.45</v>
      </c>
    </row>
    <row r="289" customFormat="false" ht="15" hidden="false" customHeight="true" outlineLevel="0" collapsed="false">
      <c r="A289" s="10" t="s">
        <v>501</v>
      </c>
      <c r="B289" s="35" t="n">
        <f aca="false">AY249</f>
        <v>53.5304669527118</v>
      </c>
      <c r="C289" s="39" t="n">
        <f aca="false">AZ249</f>
        <v>0.0402347976121738</v>
      </c>
      <c r="D289" s="44" t="n">
        <f aca="false">IF(C289&lt;Inputs_Banks!$I8,1,0)</f>
        <v>1</v>
      </c>
      <c r="E289" s="44" t="n">
        <f aca="false">IF(C289&lt;0.045,1,0)</f>
        <v>1</v>
      </c>
      <c r="F289" s="44" t="n">
        <f aca="false">IF(B289&lt;0,1,0)</f>
        <v>0</v>
      </c>
      <c r="G289" s="44" t="n">
        <f aca="false">MIN(6,MIN(3,INT(MAX(0,Inputs_Banks!$BA8-C289)/p_notch_step))+D289+2*E289)</f>
        <v>6</v>
      </c>
      <c r="H289" s="39" t="n">
        <f aca="false">C289-Inputs_Banks!$I8</f>
        <v>-0.0757652023878262</v>
      </c>
      <c r="I289" s="44" t="n">
        <f aca="false">RANK(H289,$H$287:$H$310,1)</f>
        <v>8</v>
      </c>
      <c r="J289" s="44" t="n">
        <f aca="false">MAX(IF(I289&lt;=g_n_weak,1,0),E289)</f>
        <v>1</v>
      </c>
      <c r="K289" s="44" t="n">
        <f aca="false">IF(I289&gt;12,1,0)*(1-E289)</f>
        <v>0</v>
      </c>
      <c r="L289" s="35" t="n">
        <f aca="false">INDEX(Inputs_Banks!$AR8:$AX8,1,G289+1)</f>
        <v>1.5</v>
      </c>
      <c r="M289" s="35" t="n">
        <f aca="false">Inputs_Banks!$AI8*MIN(1,p_u_base+$CD$290*p_u_pan_all+J289*($CD$290*p_u_pan_weak+p_u_mda*D289)+p_u_notch*G289+p_u_fail*E289)</f>
        <v>695.13</v>
      </c>
      <c r="N289" s="35" t="n">
        <f aca="false">Inputs_Banks!$AK8*MIN(1,p_w_base+p_w_pan*$CD$290+p_w_notch*G289+0.5*D289+1*E289)</f>
        <v>60.978</v>
      </c>
      <c r="O289" s="35" t="n">
        <f aca="false">Inputs_Banks!$AO8*MIN(1,p_cp_base+p_cp_pan*$CD$290+p_cp_notch*G289)</f>
        <v>3.89</v>
      </c>
      <c r="P289" s="35" t="n">
        <f aca="false">Inputs_Banks!$AN8*(p_dh+p_dh_pan*$CD$290+MIN(1,0.5*$CD$297+0.25*G289))</f>
        <v>103.70988533276</v>
      </c>
      <c r="Q289" s="35" t="n">
        <f aca="false">Modules!$Y8</f>
        <v>24.8867432</v>
      </c>
      <c r="R289" s="35" t="n">
        <f aca="false">Inputs_Banks!$AJ8*K289</f>
        <v>0</v>
      </c>
      <c r="S289" s="35" t="n">
        <f aca="false">p_liq_on*$CD$298*SUM($M$287:$M$310)*R289/MAX(0.000000001,SUM($R$287:$R$310))</f>
        <v>0</v>
      </c>
      <c r="T289" s="35" t="n">
        <f aca="false">p_liq_on*(L289+M289+N289+O289+P289+Q289)</f>
        <v>890.09462853276</v>
      </c>
      <c r="U289" s="35" t="n">
        <f aca="false">g_usable*Inputs_Banks!$AG8+p_cb_on*Inputs_Banks!$AQ8+S289</f>
        <v>626.52</v>
      </c>
      <c r="V289" s="35" t="n">
        <f aca="false">MAX(0,T289-U289)</f>
        <v>263.57462853276</v>
      </c>
      <c r="W289" s="44" t="n">
        <f aca="false">IF(V289&gt;0.9*Inputs_Banks!$BB8,1,0)</f>
        <v>1</v>
      </c>
      <c r="X289" s="43" t="n">
        <f aca="false">MAX(p_htm_forced,(1-p_cb_on)*MIN(1,T289/Inputs_Banks!$AG8)*g_theta_sell)</f>
        <v>0.25</v>
      </c>
      <c r="Y289" s="35" t="n">
        <f aca="false">MAX(0,Modules!$V8-B289/(Inputs_Banks!$I8+g_del_buf))</f>
        <v>888.051446671803</v>
      </c>
      <c r="Z289" s="35" t="n">
        <f aca="false">MIN(g_del_cap*Inputs_Banks!$BB8,Y289)</f>
        <v>49.625</v>
      </c>
      <c r="AA289" s="35" t="n">
        <f aca="false">MIN(Inputs_Banks!$BB8,V289+Z289)</f>
        <v>198.5</v>
      </c>
      <c r="AB289" s="35" t="n">
        <f aca="false">$AA289*Holdings!Q8</f>
        <v>0</v>
      </c>
      <c r="AC289" s="35" t="n">
        <f aca="false">$AA289*Holdings!R8</f>
        <v>0</v>
      </c>
      <c r="AD289" s="35" t="n">
        <f aca="false">$AA289*Holdings!S8</f>
        <v>0</v>
      </c>
      <c r="AE289" s="35" t="n">
        <f aca="false">$AA289*Holdings!T8</f>
        <v>9.97</v>
      </c>
      <c r="AF289" s="35" t="n">
        <f aca="false">$AA289*Holdings!U8</f>
        <v>31.57</v>
      </c>
      <c r="AG289" s="35" t="n">
        <f aca="false">$AA289*Holdings!V8</f>
        <v>0</v>
      </c>
      <c r="AH289" s="35" t="n">
        <f aca="false">$AA289*Holdings!W8</f>
        <v>1.45</v>
      </c>
      <c r="AI289" s="35" t="n">
        <f aca="false">$AA289*Holdings!X8</f>
        <v>18.23</v>
      </c>
      <c r="AJ289" s="35" t="n">
        <f aca="false">$AA289*Holdings!Y8</f>
        <v>8.48</v>
      </c>
      <c r="AK289" s="35" t="n">
        <f aca="false">$AA289*Holdings!Z8</f>
        <v>0</v>
      </c>
      <c r="AL289" s="35" t="n">
        <f aca="false">$AA289*Holdings!AA8</f>
        <v>97.93</v>
      </c>
      <c r="AM289" s="35" t="n">
        <f aca="false">$AA289*Holdings!AB8</f>
        <v>0</v>
      </c>
      <c r="AN289" s="35" t="n">
        <f aca="false">$AA289*Holdings!AC8</f>
        <v>30.87</v>
      </c>
      <c r="AO289" s="43" t="n">
        <f aca="false">MIN(1,$CD$297+0.5*G289)</f>
        <v>1</v>
      </c>
      <c r="AP289" s="35" t="n">
        <f aca="false">p_liq_on*Inputs_Banks!$AP8*AO289*p_mb_psi</f>
        <v>10.488</v>
      </c>
      <c r="AQ289" s="44" t="n">
        <f aca="false">MAX(F289,E289,W289*(1-p_cb_on))</f>
        <v>1</v>
      </c>
      <c r="AR289" s="35" t="n">
        <f aca="false">p_ib_on*p_lgd_ib*g_s_in*g_u_ib*SUMPRODUCT(Network!E$6:E$29,$AQ$287:$AQ$310)</f>
        <v>8.3290801802124</v>
      </c>
      <c r="AS289" s="35" t="n">
        <f aca="false">p_sw_M1*(SUMPRODUCT(BDC_EAD!E$106:E$127,$BF$287:$BF$308)+SUMPRODUCT(BDC_EAD!E$131:E$152,$BG$287:$BG$308)+(Inputs_Banks!$Y8+p_ccf_bl*Inputs_Banks!$Z8)*$CD$310+Modules!$E8)</f>
        <v>52.4702922221031</v>
      </c>
      <c r="AT289" s="35" t="n">
        <f aca="false">p_sw_M3*(Inputs_Banks!$U8+p_ccf_abf*Inputs_Banks!$V8)*$CD$311</f>
        <v>3.2824246005951</v>
      </c>
      <c r="AU289" s="35" t="n">
        <f aca="false">p_sw_M10*Inputs_Banks!$AC8*$CD$312</f>
        <v>0</v>
      </c>
      <c r="AV289" s="35" t="n">
        <f aca="false">p_sw_M8*(Modules!$M8+Modules!$N8*IF(p_liq_on&gt;0,X289,p_htm_forced))</f>
        <v>12.27977</v>
      </c>
      <c r="AW289" s="35" t="n">
        <f aca="false">SUMPRODUCT(Holdings!$C8:$O8,Holdings!$C$32:$O$32,$AB$312:$AN$312)+Inputs_Banks!$P8*$AL$312</f>
        <v>10.4393066837293</v>
      </c>
      <c r="AX289" s="35" t="n">
        <f aca="false">Modules!$T8+AS289+AT289+AU289+AV289+AW289+AR289</f>
        <v>103.869533047288</v>
      </c>
      <c r="AY289" s="35" t="n">
        <f aca="false">Modules!$U8-(1-p_tax)*AX289</f>
        <v>53.5304669527118</v>
      </c>
      <c r="AZ289" s="39" t="n">
        <f aca="false">AY289/Modules!$V8</f>
        <v>0.0402347976121738</v>
      </c>
      <c r="BA289" s="48" t="s">
        <v>636</v>
      </c>
      <c r="BB289" s="43" t="n">
        <f aca="false">INDEX($BJ$287:$BJ$320,BDC_EAD!$B8)</f>
        <v>0.404374605284367</v>
      </c>
      <c r="BC289" s="43" t="n">
        <f aca="false">INDEX($BK$287:$BK$320,BDC_EAD!$B8)</f>
        <v>0.0611100114102059</v>
      </c>
      <c r="BD289" s="22" t="n">
        <f aca="false">INDEX(BDC!$Q$6:$Q$39,BDC_EAD!$B8)</f>
        <v>0.270100917431193</v>
      </c>
      <c r="BE289" s="43" t="n">
        <f aca="false">BB289*(1-$AK$312)-BC289-p_c_liq</f>
        <v>0.111296021496196</v>
      </c>
      <c r="BF289" s="43" t="n">
        <f aca="false">p_phi*MAX(0,p_a_spv-BE289)/p_a_spv+(1-p_phi)*MAX(0,p_a_spv-BB289)/p_a_spv</f>
        <v>0.757268945351671</v>
      </c>
      <c r="BG289" s="43" t="n">
        <f aca="false">IF(BD289&gt;0,p_phi*MAX(0,BD289-BE289)/BD289+(1-p_phi)*MAX(0,BD289-BB289)/BD289,0)</f>
        <v>0.470357220391009</v>
      </c>
      <c r="BI289" s="12" t="str">
        <f aca="false">BDC!$A$8</f>
        <v>ARCC</v>
      </c>
      <c r="BJ289" s="43" t="n">
        <f aca="false">1-((1-BDC!$D$8)*$CD$303+BDC!$D$8*$CD$304)-p_gap-$CD$293*(1-BDC!$M$8)</f>
        <v>0.493705250996006</v>
      </c>
      <c r="BK289" s="43" t="n">
        <f aca="false">(1-BDC!$D$8)*$CD$305+BDC!$D$8*$CD$306</f>
        <v>0.0608491891733852</v>
      </c>
      <c r="BL289" s="45" t="n">
        <f aca="false">BJ289/BDC!$K$8</f>
        <v>0.92678003257145</v>
      </c>
      <c r="BM289" s="35" t="n">
        <f aca="false">IF(BL289&lt;1.5,BDC!$C$8,0)</f>
        <v>29.35</v>
      </c>
      <c r="BN289" s="43" t="n">
        <f aca="false">MAX(0,1-BJ289*(1-CE_mig_hc)-p_bb_cush)*BDC!$Q$8</f>
        <v>0.104092949218272</v>
      </c>
      <c r="BO289" s="43" t="n">
        <f aca="false">MAX(0,BDC!$K$8-BJ289/1.5)</f>
        <v>0.203573446376494</v>
      </c>
      <c r="BP289" s="43" t="n">
        <f aca="false">MIN(MIN(1,BDC!$H$8*$CD$296),$CD$295)</f>
        <v>0</v>
      </c>
      <c r="BQ289" s="43" t="n">
        <f aca="false">BDC!$I$8*BDC!$J$8*BP289*(1-0.3)</f>
        <v>0</v>
      </c>
      <c r="BR289" s="45" t="n">
        <f aca="false">BDC!$C$8*($CD$294*MAX(BN289,BO289)+BQ289)</f>
        <v>5.97488065115011</v>
      </c>
      <c r="BT289" s="10" t="s">
        <v>818</v>
      </c>
      <c r="BU289" s="43" t="n">
        <f aca="false">NORMSDIST((NORMSINV(CreditEngine!$D$8)-SQRT(g_rho)*$CD$291)/SQRT(1-g_rho))</f>
        <v>0.778440947362696</v>
      </c>
      <c r="BV289" s="43" t="n">
        <f aca="false">NORMSDIST((NORMSINV(MIN(0.999,CreditEngine!$D$8*p_m_sw))-SQRT(g_rho)*$CD$291)/SQRT(1-g_rho))</f>
        <v>0.928422699706501</v>
      </c>
      <c r="CC289" s="10" t="s">
        <v>975</v>
      </c>
      <c r="CD289" s="45" t="n">
        <f aca="false">p_news0+g_w_cov*$CD$287+g_w_notch*SUMPRODUCT($G$287:$G$310,Inputs_Banks!$D$6:$D$29)/(3*SUM(Inputs_Banks!$D$6:$D$29))+g_w_mda*SUMPRODUCT($D$287:$D$310,Inputs_Banks!$D$6:$D$29)/SUM(Inputs_Banks!$D$6:$D$29)+g_w_def*MAX($BA$287:$BA$310)+g_w_fs*$CD$288/0.3</f>
        <v>4.13446088979863</v>
      </c>
    </row>
    <row r="290" customFormat="false" ht="15" hidden="false" customHeight="true" outlineLevel="0" collapsed="false">
      <c r="A290" s="10" t="s">
        <v>503</v>
      </c>
      <c r="B290" s="35" t="n">
        <f aca="false">AY250</f>
        <v>3.00090419934335</v>
      </c>
      <c r="C290" s="39" t="n">
        <f aca="false">AZ250</f>
        <v>0.00207390282086281</v>
      </c>
      <c r="D290" s="44" t="n">
        <f aca="false">IF(C290&lt;Inputs_Banks!$I9,1,0)</f>
        <v>1</v>
      </c>
      <c r="E290" s="44" t="n">
        <f aca="false">IF(C290&lt;0.045,1,0)</f>
        <v>1</v>
      </c>
      <c r="F290" s="44" t="n">
        <f aca="false">IF(B290&lt;0,1,0)</f>
        <v>0</v>
      </c>
      <c r="G290" s="44" t="n">
        <f aca="false">MIN(6,MIN(3,INT(MAX(0,Inputs_Banks!$BA9-C290)/p_notch_step))+D290+2*E290)</f>
        <v>6</v>
      </c>
      <c r="H290" s="39" t="n">
        <f aca="false">C290-Inputs_Banks!$I9</f>
        <v>-0.0829260971791372</v>
      </c>
      <c r="I290" s="44" t="n">
        <f aca="false">RANK(H290,$H$287:$H$310,1)</f>
        <v>7</v>
      </c>
      <c r="J290" s="44" t="n">
        <f aca="false">MAX(IF(I290&lt;=g_n_weak,1,0),E290)</f>
        <v>1</v>
      </c>
      <c r="K290" s="44" t="n">
        <f aca="false">IF(I290&gt;12,1,0)*(1-E290)</f>
        <v>0</v>
      </c>
      <c r="L290" s="35" t="n">
        <f aca="false">INDEX(Inputs_Banks!$AR9:$AX9,1,G290+1)</f>
        <v>4.1</v>
      </c>
      <c r="M290" s="35" t="n">
        <f aca="false">Inputs_Banks!$AI9*MIN(1,p_u_base+$CD$290*p_u_pan_all+J290*($CD$290*p_u_pan_weak+p_u_mda*D290)+p_u_notch*G290+p_u_fail*E290)</f>
        <v>739.028</v>
      </c>
      <c r="N290" s="35" t="n">
        <f aca="false">Inputs_Banks!$AK9*MIN(1,p_w_base+p_w_pan*$CD$290+p_w_notch*G290+0.5*D290+1*E290)</f>
        <v>25.168</v>
      </c>
      <c r="O290" s="35" t="n">
        <f aca="false">Inputs_Banks!$AO9*MIN(1,p_cp_base+p_cp_pan*$CD$290+p_cp_notch*G290)</f>
        <v>12.67</v>
      </c>
      <c r="P290" s="35" t="n">
        <f aca="false">Inputs_Banks!$AN9*(p_dh+p_dh_pan*$CD$290+MIN(1,0.5*$CD$297+0.25*G290))</f>
        <v>62.6368013541448</v>
      </c>
      <c r="Q290" s="35" t="n">
        <f aca="false">Modules!$Y9</f>
        <v>53.0660504</v>
      </c>
      <c r="R290" s="35" t="n">
        <f aca="false">Inputs_Banks!$AJ9*K290</f>
        <v>0</v>
      </c>
      <c r="S290" s="35" t="n">
        <f aca="false">p_liq_on*$CD$298*SUM($M$287:$M$310)*R290/MAX(0.000000001,SUM($R$287:$R$310))</f>
        <v>0</v>
      </c>
      <c r="T290" s="35" t="n">
        <f aca="false">p_liq_on*(L290+M290+N290+O290+P290+Q290)</f>
        <v>896.668851754145</v>
      </c>
      <c r="U290" s="35" t="n">
        <f aca="false">g_usable*Inputs_Banks!$AG9+p_cb_on*Inputs_Banks!$AQ9+S290</f>
        <v>570.088</v>
      </c>
      <c r="V290" s="35" t="n">
        <f aca="false">MAX(0,T290-U290)</f>
        <v>326.580851754145</v>
      </c>
      <c r="W290" s="44" t="n">
        <f aca="false">IF(V290&gt;0.9*Inputs_Banks!$BB9,1,0)</f>
        <v>1</v>
      </c>
      <c r="X290" s="43" t="n">
        <f aca="false">MAX(p_htm_forced,(1-p_cb_on)*MIN(1,T290/Inputs_Banks!$AG9)*g_theta_sell)</f>
        <v>0.25</v>
      </c>
      <c r="Y290" s="35" t="n">
        <f aca="false">MAX(0,Modules!$V9-B290/(Inputs_Banks!$I9+g_del_buf))</f>
        <v>1413.6406200073</v>
      </c>
      <c r="Z290" s="35" t="n">
        <f aca="false">MIN(g_del_cap*Inputs_Banks!$BB9,Y290)</f>
        <v>31.935</v>
      </c>
      <c r="AA290" s="35" t="n">
        <f aca="false">MIN(Inputs_Banks!$BB9,V290+Z290)</f>
        <v>127.74</v>
      </c>
      <c r="AB290" s="35" t="n">
        <f aca="false">$AA290*Holdings!Q9</f>
        <v>0</v>
      </c>
      <c r="AC290" s="35" t="n">
        <f aca="false">$AA290*Holdings!R9</f>
        <v>0</v>
      </c>
      <c r="AD290" s="35" t="n">
        <f aca="false">$AA290*Holdings!S9</f>
        <v>0</v>
      </c>
      <c r="AE290" s="35" t="n">
        <f aca="false">$AA290*Holdings!T9</f>
        <v>29.87</v>
      </c>
      <c r="AF290" s="35" t="n">
        <f aca="false">$AA290*Holdings!U9</f>
        <v>17.09</v>
      </c>
      <c r="AG290" s="35" t="n">
        <f aca="false">$AA290*Holdings!V9</f>
        <v>0</v>
      </c>
      <c r="AH290" s="35" t="n">
        <f aca="false">$AA290*Holdings!W9</f>
        <v>5.03</v>
      </c>
      <c r="AI290" s="35" t="n">
        <f aca="false">$AA290*Holdings!X9</f>
        <v>13.21</v>
      </c>
      <c r="AJ290" s="35" t="n">
        <f aca="false">$AA290*Holdings!Y9</f>
        <v>5.26</v>
      </c>
      <c r="AK290" s="35" t="n">
        <f aca="false">$AA290*Holdings!Z9</f>
        <v>0</v>
      </c>
      <c r="AL290" s="35" t="n">
        <f aca="false">$AA290*Holdings!AA9</f>
        <v>37.96</v>
      </c>
      <c r="AM290" s="35" t="n">
        <f aca="false">$AA290*Holdings!AB9</f>
        <v>0</v>
      </c>
      <c r="AN290" s="35" t="n">
        <f aca="false">$AA290*Holdings!AC9</f>
        <v>19.32</v>
      </c>
      <c r="AO290" s="43" t="n">
        <f aca="false">MIN(1,$CD$297+0.5*G290)</f>
        <v>1</v>
      </c>
      <c r="AP290" s="35" t="n">
        <f aca="false">p_liq_on*Inputs_Banks!$AP9*AO290*p_mb_psi</f>
        <v>10.32</v>
      </c>
      <c r="AQ290" s="44" t="n">
        <f aca="false">MAX(F290,E290,W290*(1-p_cb_on))</f>
        <v>1</v>
      </c>
      <c r="AR290" s="35" t="n">
        <f aca="false">p_ib_on*p_lgd_ib*g_s_in*g_u_ib*SUMPRODUCT(Network!F$6:F$29,$AQ$287:$AQ$310)</f>
        <v>8.47195325842872</v>
      </c>
      <c r="AS290" s="35" t="n">
        <f aca="false">p_sw_M1*(SUMPRODUCT(BDC_EAD!F$106:F$127,$BF$287:$BF$308)+SUMPRODUCT(BDC_EAD!F$131:F$152,$BG$287:$BG$308)+(Inputs_Banks!$Y9+p_ccf_bl*Inputs_Banks!$Z9)*$CD$310+Modules!$E9)</f>
        <v>79.5487236356887</v>
      </c>
      <c r="AT290" s="35" t="n">
        <f aca="false">p_sw_M3*(Inputs_Banks!$U9+p_ccf_abf*Inputs_Banks!$V9)*$CD$311</f>
        <v>0</v>
      </c>
      <c r="AU290" s="35" t="n">
        <f aca="false">p_sw_M10*Inputs_Banks!$AC9*$CD$312</f>
        <v>0</v>
      </c>
      <c r="AV290" s="35" t="n">
        <f aca="false">p_sw_M8*(Modules!$M9+Modules!$N9*IF(p_liq_on&gt;0,X290,p_htm_forced))</f>
        <v>17.338745</v>
      </c>
      <c r="AW290" s="35" t="n">
        <f aca="false">SUMPRODUCT(Holdings!$C9:$O9,Holdings!$C$32:$O$32,$AB$312:$AN$312)+Inputs_Banks!$P9*$AL$312</f>
        <v>8.69909283222242</v>
      </c>
      <c r="AX290" s="35" t="n">
        <f aca="false">Modules!$T9+AS290+AT290+AU290+AV290+AW290+AR290</f>
        <v>131.599095800657</v>
      </c>
      <c r="AY290" s="35" t="n">
        <f aca="false">Modules!$U9-(1-p_tax)*AX290</f>
        <v>3.00090419934335</v>
      </c>
      <c r="AZ290" s="39" t="n">
        <f aca="false">AY290/Modules!$V9</f>
        <v>0.00207390282086281</v>
      </c>
      <c r="BA290" s="48" t="s">
        <v>656</v>
      </c>
      <c r="BB290" s="43" t="n">
        <f aca="false">INDEX($BJ$287:$BJ$320,BDC_EAD!$B9)</f>
        <v>0.440484450675871</v>
      </c>
      <c r="BC290" s="43" t="n">
        <f aca="false">INDEX($BK$287:$BK$320,BDC_EAD!$B9)</f>
        <v>0.0655439894361584</v>
      </c>
      <c r="BD290" s="22" t="n">
        <f aca="false">INDEX(BDC!$Q$6:$Q$39,BDC_EAD!$B9)</f>
        <v>0.275784753363229</v>
      </c>
      <c r="BE290" s="43" t="n">
        <f aca="false">BB290*(1-$AK$312)-BC290-p_c_liq</f>
        <v>0.126722458435571</v>
      </c>
      <c r="BF290" s="43" t="n">
        <f aca="false">p_phi*MAX(0,p_a_spv-BE290)/p_a_spv+(1-p_phi)*MAX(0,p_a_spv-BB290)/p_a_spv</f>
        <v>0.729321633023385</v>
      </c>
      <c r="BG290" s="43" t="n">
        <f aca="false">IF(BD290&gt;0,p_phi*MAX(0,BD290-BE290)/BD290+(1-p_phi)*MAX(0,BD290-BB290)/BD290,0)</f>
        <v>0.432401844147873</v>
      </c>
      <c r="BI290" s="12" t="str">
        <f aca="false">BDC!$A$9</f>
        <v>ADS</v>
      </c>
      <c r="BJ290" s="43" t="n">
        <f aca="false">1-((1-BDC!$D$9)*$CD$303+BDC!$D$9*$CD$304)-p_gap-$CD$293*(1-BDC!$M$9)</f>
        <v>0.428174862214715</v>
      </c>
      <c r="BK290" s="43" t="n">
        <f aca="false">(1-BDC!$D$9)*$CD$305+BDC!$D$9*$CD$306</f>
        <v>0.0650596052820627</v>
      </c>
      <c r="BL290" s="45" t="n">
        <f aca="false">BJ290/BDC!$K$9</f>
        <v>0.920329876254616</v>
      </c>
      <c r="BM290" s="35" t="n">
        <f aca="false">IF(BL290&lt;1.5,BDC!$C$9,0)</f>
        <v>25.37</v>
      </c>
      <c r="BN290" s="43" t="n">
        <f aca="false">MAX(0,1-BJ290*(1-CE_mig_hc)-p_bb_cush)*BDC!$Q$9</f>
        <v>0.145198875281454</v>
      </c>
      <c r="BO290" s="43" t="n">
        <f aca="false">MAX(0,BDC!$K$9-BJ290/1.5)</f>
        <v>0.179790733568087</v>
      </c>
      <c r="BP290" s="43" t="n">
        <f aca="false">MIN(MIN(1,BDC!$H$9*$CD$296),$CD$295)</f>
        <v>0.25</v>
      </c>
      <c r="BQ290" s="43" t="n">
        <f aca="false">BDC!$I$9*BDC!$J$9*BP290*(1-0.3)</f>
        <v>0.0935828877005347</v>
      </c>
      <c r="BR290" s="45" t="n">
        <f aca="false">BDC!$C$9*($CD$294*MAX(BN290,BO290)+BQ290)</f>
        <v>6.93548877158493</v>
      </c>
      <c r="BT290" s="10" t="s">
        <v>819</v>
      </c>
      <c r="BU290" s="43" t="n">
        <f aca="false">NORMSDIST((NORMSINV(CreditEngine!$D$9)-SQRT(g_rho)*$CD$291)/SQRT(1-g_rho))</f>
        <v>0.94008092388034</v>
      </c>
      <c r="BV290" s="43" t="n">
        <f aca="false">NORMSDIST((NORMSINV(MIN(0.999,CreditEngine!$D$9*p_m_sw))-SQRT(g_rho)*$CD$291)/SQRT(1-g_rho))</f>
        <v>0.999738169883273</v>
      </c>
      <c r="CC290" s="7" t="s">
        <v>976</v>
      </c>
      <c r="CD290" s="49" t="n">
        <f aca="false">p_panic_on*(p_S0+(1-p_S0)*MAX(0,1/(1+EXP(-($CD$289-g_theta_news)/g_tau_news))-(1/(1+EXP(g_theta_news/g_tau_news))))/(1-(1/(1+EXP(g_theta_news/g_tau_news)))))</f>
        <v>1</v>
      </c>
    </row>
    <row r="291" customFormat="false" ht="15" hidden="false" customHeight="true" outlineLevel="0" collapsed="false">
      <c r="A291" s="10" t="s">
        <v>505</v>
      </c>
      <c r="B291" s="35" t="n">
        <f aca="false">AY251</f>
        <v>9.27861486547613</v>
      </c>
      <c r="C291" s="39" t="n">
        <f aca="false">AZ251</f>
        <v>0.0105156793887712</v>
      </c>
      <c r="D291" s="44" t="n">
        <f aca="false">IF(C291&lt;Inputs_Banks!$I10,1,0)</f>
        <v>1</v>
      </c>
      <c r="E291" s="44" t="n">
        <f aca="false">IF(C291&lt;0.045,1,0)</f>
        <v>1</v>
      </c>
      <c r="F291" s="44" t="n">
        <f aca="false">IF(B291&lt;0,1,0)</f>
        <v>0</v>
      </c>
      <c r="G291" s="44" t="n">
        <f aca="false">MIN(6,MIN(3,INT(MAX(0,Inputs_Banks!$BA10-C291)/p_notch_step))+D291+2*E291)</f>
        <v>6</v>
      </c>
      <c r="H291" s="39" t="n">
        <f aca="false">C291-Inputs_Banks!$I10</f>
        <v>-0.103484320611229</v>
      </c>
      <c r="I291" s="44" t="n">
        <f aca="false">RANK(H291,$H$287:$H$310,1)</f>
        <v>4</v>
      </c>
      <c r="J291" s="44" t="n">
        <f aca="false">MAX(IF(I291&lt;=g_n_weak,1,0),E291)</f>
        <v>1</v>
      </c>
      <c r="K291" s="44" t="n">
        <f aca="false">IF(I291&gt;12,1,0)*(1-E291)</f>
        <v>0</v>
      </c>
      <c r="L291" s="35" t="n">
        <f aca="false">INDEX(Inputs_Banks!$AR10:$AX10,1,G291+1)</f>
        <v>6.6675</v>
      </c>
      <c r="M291" s="35" t="n">
        <f aca="false">Inputs_Banks!$AI10*MIN(1,p_u_base+$CD$290*p_u_pan_all+J291*($CD$290*p_u_pan_weak+p_u_mda*D291)+p_u_notch*G291+p_u_fail*E291)</f>
        <v>201.16</v>
      </c>
      <c r="N291" s="35" t="n">
        <f aca="false">Inputs_Banks!$AK10*MIN(1,p_w_base+p_w_pan*$CD$290+p_w_notch*G291+0.5*D291+1*E291)</f>
        <v>55.681</v>
      </c>
      <c r="O291" s="35" t="n">
        <f aca="false">Inputs_Banks!$AO10*MIN(1,p_cp_base+p_cp_pan*$CD$290+p_cp_notch*G291)</f>
        <v>1.51</v>
      </c>
      <c r="P291" s="35" t="n">
        <f aca="false">Inputs_Banks!$AN10*(p_dh+p_dh_pan*$CD$290+MIN(1,0.5*$CD$297+0.25*G291))</f>
        <v>172.798154371499</v>
      </c>
      <c r="Q291" s="35" t="n">
        <f aca="false">Modules!$Y10</f>
        <v>24.4757226</v>
      </c>
      <c r="R291" s="35" t="n">
        <f aca="false">Inputs_Banks!$AJ10*K291</f>
        <v>0</v>
      </c>
      <c r="S291" s="35" t="n">
        <f aca="false">p_liq_on*$CD$298*SUM($M$287:$M$310)*R291/MAX(0.000000001,SUM($R$287:$R$310))</f>
        <v>0</v>
      </c>
      <c r="T291" s="35" t="n">
        <f aca="false">p_liq_on*(L291+M291+N291+O291+P291+Q291)</f>
        <v>462.292376971499</v>
      </c>
      <c r="U291" s="35" t="n">
        <f aca="false">g_usable*Inputs_Banks!$AG10+p_cb_on*Inputs_Banks!$AQ10+S291</f>
        <v>575.89165</v>
      </c>
      <c r="V291" s="35" t="n">
        <f aca="false">MAX(0,T291-U291)</f>
        <v>0</v>
      </c>
      <c r="W291" s="44" t="n">
        <f aca="false">IF(V291&gt;0.9*Inputs_Banks!$BB10,1,0)</f>
        <v>0</v>
      </c>
      <c r="X291" s="43" t="n">
        <f aca="false">MAX(p_htm_forced,(1-p_cb_on)*MIN(1,T291/Inputs_Banks!$AG10)*g_theta_sell)</f>
        <v>0.25</v>
      </c>
      <c r="Y291" s="35" t="n">
        <f aca="false">MAX(0,Modules!$V10-B291/(Inputs_Banks!$I10+g_del_buf))</f>
        <v>804.388446508604</v>
      </c>
      <c r="Z291" s="35" t="n">
        <f aca="false">MIN(g_del_cap*Inputs_Banks!$BB10,Y291)</f>
        <v>91.7425</v>
      </c>
      <c r="AA291" s="35" t="n">
        <f aca="false">MIN(Inputs_Banks!$BB10,V291+Z291)</f>
        <v>91.7425</v>
      </c>
      <c r="AB291" s="35" t="n">
        <f aca="false">$AA291*Holdings!Q10</f>
        <v>0</v>
      </c>
      <c r="AC291" s="35" t="n">
        <f aca="false">$AA291*Holdings!R10</f>
        <v>0</v>
      </c>
      <c r="AD291" s="35" t="n">
        <f aca="false">$AA291*Holdings!S10</f>
        <v>0</v>
      </c>
      <c r="AE291" s="35" t="n">
        <f aca="false">$AA291*Holdings!T10</f>
        <v>0.2225</v>
      </c>
      <c r="AF291" s="35" t="n">
        <f aca="false">$AA291*Holdings!U10</f>
        <v>16.98</v>
      </c>
      <c r="AG291" s="35" t="n">
        <f aca="false">$AA291*Holdings!V10</f>
        <v>0</v>
      </c>
      <c r="AH291" s="35" t="n">
        <f aca="false">$AA291*Holdings!W10</f>
        <v>5.9525</v>
      </c>
      <c r="AI291" s="35" t="n">
        <f aca="false">$AA291*Holdings!X10</f>
        <v>0</v>
      </c>
      <c r="AJ291" s="35" t="n">
        <f aca="false">$AA291*Holdings!Y10</f>
        <v>5.7675</v>
      </c>
      <c r="AK291" s="35" t="n">
        <f aca="false">$AA291*Holdings!Z10</f>
        <v>0</v>
      </c>
      <c r="AL291" s="35" t="n">
        <f aca="false">$AA291*Holdings!AA10</f>
        <v>61.7925</v>
      </c>
      <c r="AM291" s="35" t="n">
        <f aca="false">$AA291*Holdings!AB10</f>
        <v>0</v>
      </c>
      <c r="AN291" s="35" t="n">
        <f aca="false">$AA291*Holdings!AC10</f>
        <v>1.0275</v>
      </c>
      <c r="AO291" s="43" t="n">
        <f aca="false">MIN(1,$CD$297+0.5*G291)</f>
        <v>1</v>
      </c>
      <c r="AP291" s="35" t="n">
        <f aca="false">p_liq_on*Inputs_Banks!$AP10*AO291*p_mb_psi</f>
        <v>1.422</v>
      </c>
      <c r="AQ291" s="44" t="n">
        <f aca="false">MAX(F291,E291,W291*(1-p_cb_on))</f>
        <v>1</v>
      </c>
      <c r="AR291" s="35" t="n">
        <f aca="false">p_ib_on*p_lgd_ib*g_s_in*g_u_ib*SUMPRODUCT(Network!G$6:G$29,$AQ$287:$AQ$310)</f>
        <v>11.7962428802982</v>
      </c>
      <c r="AS291" s="35" t="n">
        <f aca="false">p_sw_M1*(SUMPRODUCT(BDC_EAD!G$106:G$127,$BF$287:$BF$308)+SUMPRODUCT(BDC_EAD!G$131:G$152,$BG$287:$BG$308)+(Inputs_Banks!$Y10+p_ccf_bl*Inputs_Banks!$Z10)*$CD$310+Modules!$E10)</f>
        <v>31.3129915781768</v>
      </c>
      <c r="AT291" s="35" t="n">
        <f aca="false">p_sw_M3*(Inputs_Banks!$U10+p_ccf_abf*Inputs_Banks!$V10)*$CD$311</f>
        <v>0</v>
      </c>
      <c r="AU291" s="35" t="n">
        <f aca="false">p_sw_M10*Inputs_Banks!$AC10*$CD$312</f>
        <v>0</v>
      </c>
      <c r="AV291" s="35" t="n">
        <f aca="false">p_sw_M8*(Modules!$M10+Modules!$N10*IF(p_liq_on&gt;0,X291,p_htm_forced))</f>
        <v>5.01152</v>
      </c>
      <c r="AW291" s="35" t="n">
        <f aca="false">SUMPRODUCT(Holdings!$C10:$O10,Holdings!$C$32:$O$32,$AB$312:$AN$312)+Inputs_Banks!$P10*$AL$312</f>
        <v>19.0984516984342</v>
      </c>
      <c r="AX291" s="35" t="n">
        <f aca="false">Modules!$T10+AS291+AT291+AU291+AV291+AW291+AR291</f>
        <v>92.1213851345239</v>
      </c>
      <c r="AY291" s="35" t="n">
        <f aca="false">Modules!$U10-(1-p_tax)*AX291</f>
        <v>9.27861486547613</v>
      </c>
      <c r="AZ291" s="39" t="n">
        <f aca="false">AY291/Modules!$V10</f>
        <v>0.0105156793887712</v>
      </c>
      <c r="BA291" s="48" t="s">
        <v>629</v>
      </c>
      <c r="BB291" s="43" t="n">
        <f aca="false">INDEX($BJ$287:$BJ$320,BDC_EAD!$B10)</f>
        <v>0.394270722625258</v>
      </c>
      <c r="BC291" s="43" t="n">
        <f aca="false">INDEX($BK$287:$BK$320,BDC_EAD!$B10)</f>
        <v>0.0594332970306441</v>
      </c>
      <c r="BD291" s="22" t="n">
        <f aca="false">INDEX(BDC!$Q$6:$Q$39,BDC_EAD!$B10)</f>
        <v>0.259516483516484</v>
      </c>
      <c r="BE291" s="43" t="n">
        <f aca="false">BB291*(1-$AK$312)-BC291-p_c_liq</f>
        <v>0.107415600413248</v>
      </c>
      <c r="BF291" s="43" t="n">
        <f aca="false">p_phi*MAX(0,p_a_spv-BE291)/p_a_spv+(1-p_phi)*MAX(0,p_a_spv-BB291)/p_a_spv</f>
        <v>0.764590535920501</v>
      </c>
      <c r="BG291" s="43" t="n">
        <f aca="false">IF(BD291&gt;0,p_phi*MAX(0,BD291-BE291)/BD291+(1-p_phi)*MAX(0,BD291-BB291)/BD291,0)</f>
        <v>0.468874673522848</v>
      </c>
      <c r="BI291" s="12" t="str">
        <f aca="false">BDC!$A$10</f>
        <v>HLEND</v>
      </c>
      <c r="BJ291" s="43" t="n">
        <f aca="false">1-((1-BDC!$D$10)*$CD$303+BDC!$D$10*$CD$304)-p_gap-$CD$293*(1-BDC!$M$10)</f>
        <v>0.412682242137413</v>
      </c>
      <c r="BK291" s="43" t="n">
        <f aca="false">(1-BDC!$D$10)*$CD$305+BDC!$D$10*$CD$306</f>
        <v>0.0624886432334012</v>
      </c>
      <c r="BL291" s="45" t="n">
        <f aca="false">BJ291/BDC!$K$10</f>
        <v>0.825364484274826</v>
      </c>
      <c r="BM291" s="35" t="n">
        <f aca="false">IF(BL291&lt;1.5,BDC!$C$10,0)</f>
        <v>24.18</v>
      </c>
      <c r="BN291" s="43" t="n">
        <f aca="false">MAX(0,1-BJ291*(1-CE_mig_hc)-p_bb_cush)*BDC!$Q$10</f>
        <v>0.166906113401486</v>
      </c>
      <c r="BO291" s="43" t="n">
        <f aca="false">MAX(0,BDC!$K$10-BJ291/1.5)</f>
        <v>0.224878505241725</v>
      </c>
      <c r="BP291" s="43" t="n">
        <f aca="false">MIN(MIN(1,BDC!$H$10*$CD$296),$CD$295)</f>
        <v>0.25</v>
      </c>
      <c r="BQ291" s="43" t="n">
        <f aca="false">BDC!$I$10*BDC!$J$10*BP291*(1-0.3)</f>
        <v>0.0875</v>
      </c>
      <c r="BR291" s="45" t="n">
        <f aca="false">BDC!$C$10*($CD$294*MAX(BN291,BO291)+BQ291)</f>
        <v>7.5533122567449</v>
      </c>
      <c r="BT291" s="10" t="s">
        <v>820</v>
      </c>
      <c r="BU291" s="43" t="n">
        <f aca="false">NORMSDIST((NORMSINV(CreditEngine!$D$10)-SQRT(g_rho)*$CD$291)/SQRT(1-g_rho))</f>
        <v>0.94008092388034</v>
      </c>
      <c r="BV291" s="43" t="n">
        <f aca="false">NORMSDIST((NORMSINV(MIN(0.999,CreditEngine!$D$10*p_m_sw))-SQRT(g_rho)*$CD$291)/SQRT(1-g_rho))</f>
        <v>0.999738169883273</v>
      </c>
      <c r="CC291" s="10" t="s">
        <v>977</v>
      </c>
      <c r="CD291" s="45" t="n">
        <f aca="false">p_z-p_zc*$CD$290</f>
        <v>-3.25</v>
      </c>
    </row>
    <row r="292" customFormat="false" ht="15" hidden="false" customHeight="true" outlineLevel="0" collapsed="false">
      <c r="A292" s="10" t="s">
        <v>507</v>
      </c>
      <c r="B292" s="35" t="n">
        <f aca="false">AY252</f>
        <v>12.2050627089213</v>
      </c>
      <c r="C292" s="39" t="n">
        <f aca="false">AZ252</f>
        <v>0.0189677475490801</v>
      </c>
      <c r="D292" s="44" t="n">
        <f aca="false">IF(C292&lt;Inputs_Banks!$I11,1,0)</f>
        <v>1</v>
      </c>
      <c r="E292" s="44" t="n">
        <f aca="false">IF(C292&lt;0.045,1,0)</f>
        <v>1</v>
      </c>
      <c r="F292" s="44" t="n">
        <f aca="false">IF(B292&lt;0,1,0)</f>
        <v>0</v>
      </c>
      <c r="G292" s="44" t="n">
        <f aca="false">MIN(6,MIN(3,INT(MAX(0,Inputs_Banks!$BA11-C292)/p_notch_step))+D292+2*E292)</f>
        <v>6</v>
      </c>
      <c r="H292" s="39" t="n">
        <f aca="false">C292-Inputs_Banks!$I11</f>
        <v>-0.0990322524509199</v>
      </c>
      <c r="I292" s="44" t="n">
        <f aca="false">RANK(H292,$H$287:$H$310,1)</f>
        <v>5</v>
      </c>
      <c r="J292" s="44" t="n">
        <f aca="false">MAX(IF(I292&lt;=g_n_weak,1,0),E292)</f>
        <v>1</v>
      </c>
      <c r="K292" s="44" t="n">
        <f aca="false">IF(I292&gt;12,1,0)*(1-E292)</f>
        <v>0</v>
      </c>
      <c r="L292" s="35" t="n">
        <f aca="false">INDEX(Inputs_Banks!$AR11:$AX11,1,G292+1)</f>
        <v>3.28125</v>
      </c>
      <c r="M292" s="35" t="n">
        <f aca="false">Inputs_Banks!$AI11*MIN(1,p_u_base+$CD$290*p_u_pan_all+J292*($CD$290*p_u_pan_weak+p_u_mda*D292)+p_u_notch*G292+p_u_fail*E292)</f>
        <v>149.742</v>
      </c>
      <c r="N292" s="35" t="n">
        <f aca="false">Inputs_Banks!$AK11*MIN(1,p_w_base+p_w_pan*$CD$290+p_w_notch*G292+0.5*D292+1*E292)</f>
        <v>9.4</v>
      </c>
      <c r="O292" s="35" t="n">
        <f aca="false">Inputs_Banks!$AO11*MIN(1,p_cp_base+p_cp_pan*$CD$290+p_cp_notch*G292)</f>
        <v>0</v>
      </c>
      <c r="P292" s="35" t="n">
        <f aca="false">Inputs_Banks!$AN11*(p_dh+p_dh_pan*$CD$290+MIN(1,0.5*$CD$297+0.25*G292))</f>
        <v>89.5356182750795</v>
      </c>
      <c r="Q292" s="35" t="n">
        <f aca="false">Modules!$Y11</f>
        <v>18.2013845</v>
      </c>
      <c r="R292" s="35" t="n">
        <f aca="false">Inputs_Banks!$AJ11*K292</f>
        <v>0</v>
      </c>
      <c r="S292" s="35" t="n">
        <f aca="false">p_liq_on*$CD$298*SUM($M$287:$M$310)*R292/MAX(0.000000001,SUM($R$287:$R$310))</f>
        <v>0</v>
      </c>
      <c r="T292" s="35" t="n">
        <f aca="false">p_liq_on*(L292+M292+N292+O292+P292+Q292)</f>
        <v>270.16025277508</v>
      </c>
      <c r="U292" s="35" t="n">
        <f aca="false">g_usable*Inputs_Banks!$AG11+p_cb_on*Inputs_Banks!$AQ11+S292</f>
        <v>351.0815</v>
      </c>
      <c r="V292" s="35" t="n">
        <f aca="false">MAX(0,T292-U292)</f>
        <v>0</v>
      </c>
      <c r="W292" s="44" t="n">
        <f aca="false">IF(V292&gt;0.9*Inputs_Banks!$BB11,1,0)</f>
        <v>0</v>
      </c>
      <c r="X292" s="43" t="n">
        <f aca="false">MAX(p_htm_forced,(1-p_cb_on)*MIN(1,T292/Inputs_Banks!$AG11)*g_theta_sell)</f>
        <v>0.211614880058183</v>
      </c>
      <c r="Y292" s="35" t="n">
        <f aca="false">MAX(0,Modules!$V11-B292/(Inputs_Banks!$I11+g_del_buf))</f>
        <v>544.235847894949</v>
      </c>
      <c r="Z292" s="35" t="n">
        <f aca="false">MIN(g_del_cap*Inputs_Banks!$BB11,Y292)</f>
        <v>74.495</v>
      </c>
      <c r="AA292" s="35" t="n">
        <f aca="false">MIN(Inputs_Banks!$BB11,V292+Z292)</f>
        <v>74.495</v>
      </c>
      <c r="AB292" s="35" t="n">
        <f aca="false">$AA292*Holdings!Q11</f>
        <v>0</v>
      </c>
      <c r="AC292" s="35" t="n">
        <f aca="false">$AA292*Holdings!R11</f>
        <v>0</v>
      </c>
      <c r="AD292" s="35" t="n">
        <f aca="false">$AA292*Holdings!S11</f>
        <v>0</v>
      </c>
      <c r="AE292" s="35" t="n">
        <f aca="false">$AA292*Holdings!T11</f>
        <v>1.6275</v>
      </c>
      <c r="AF292" s="35" t="n">
        <f aca="false">$AA292*Holdings!U11</f>
        <v>11.67</v>
      </c>
      <c r="AG292" s="35" t="n">
        <f aca="false">$AA292*Holdings!V11</f>
        <v>0</v>
      </c>
      <c r="AH292" s="35" t="n">
        <f aca="false">$AA292*Holdings!W11</f>
        <v>6.04</v>
      </c>
      <c r="AI292" s="35" t="n">
        <f aca="false">$AA292*Holdings!X11</f>
        <v>0</v>
      </c>
      <c r="AJ292" s="35" t="n">
        <f aca="false">$AA292*Holdings!Y11</f>
        <v>1.3075</v>
      </c>
      <c r="AK292" s="35" t="n">
        <f aca="false">$AA292*Holdings!Z11</f>
        <v>0</v>
      </c>
      <c r="AL292" s="35" t="n">
        <f aca="false">$AA292*Holdings!AA11</f>
        <v>52.9975</v>
      </c>
      <c r="AM292" s="35" t="n">
        <f aca="false">$AA292*Holdings!AB11</f>
        <v>0</v>
      </c>
      <c r="AN292" s="35" t="n">
        <f aca="false">$AA292*Holdings!AC11</f>
        <v>0.8525</v>
      </c>
      <c r="AO292" s="43" t="n">
        <f aca="false">MIN(1,$CD$297+0.5*G292)</f>
        <v>1</v>
      </c>
      <c r="AP292" s="35" t="n">
        <f aca="false">p_liq_on*Inputs_Banks!$AP11*AO292*p_mb_psi</f>
        <v>0</v>
      </c>
      <c r="AQ292" s="44" t="n">
        <f aca="false">MAX(F292,E292,W292*(1-p_cb_on))</f>
        <v>1</v>
      </c>
      <c r="AR292" s="35" t="n">
        <f aca="false">p_ib_on*p_lgd_ib*g_s_in*g_u_ib*SUMPRODUCT(Network!H$6:H$29,$AQ$287:$AQ$310)</f>
        <v>8.85043725068811</v>
      </c>
      <c r="AS292" s="35" t="n">
        <f aca="false">p_sw_M1*(SUMPRODUCT(BDC_EAD!H$106:H$127,$BF$287:$BF$308)+SUMPRODUCT(BDC_EAD!H$131:H$152,$BG$287:$BG$308)+(Inputs_Banks!$Y11+p_ccf_bl*Inputs_Banks!$Z11)*$CD$310+Modules!$E11)</f>
        <v>24.1216345672086</v>
      </c>
      <c r="AT292" s="35" t="n">
        <f aca="false">p_sw_M3*(Inputs_Banks!$U11+p_ccf_abf*Inputs_Banks!$V11)*$CD$311</f>
        <v>0</v>
      </c>
      <c r="AU292" s="35" t="n">
        <f aca="false">p_sw_M10*Inputs_Banks!$AC11*$CD$312</f>
        <v>0</v>
      </c>
      <c r="AV292" s="35" t="n">
        <f aca="false">p_sw_M8*(Modules!$M11+Modules!$N11*IF(p_liq_on&gt;0,X292,p_htm_forced))</f>
        <v>4.83355467504518</v>
      </c>
      <c r="AW292" s="35" t="n">
        <f aca="false">SUMPRODUCT(Holdings!$C11:$O11,Holdings!$C$32:$O$32,$AB$312:$AN$312)+Inputs_Banks!$P11*$AL$312</f>
        <v>15.3298043072842</v>
      </c>
      <c r="AX292" s="35" t="n">
        <f aca="false">Modules!$T11+AS292+AT292+AU292+AV292+AW292+AR292</f>
        <v>76.5949372910787</v>
      </c>
      <c r="AY292" s="35" t="n">
        <f aca="false">Modules!$U11-(1-p_tax)*AX292</f>
        <v>12.2050627089213</v>
      </c>
      <c r="AZ292" s="39" t="n">
        <f aca="false">AY292/Modules!$V11</f>
        <v>0.0189677475490801</v>
      </c>
      <c r="BA292" s="48" t="s">
        <v>640</v>
      </c>
      <c r="BB292" s="43" t="n">
        <f aca="false">INDEX($BJ$287:$BJ$320,BDC_EAD!$B11)</f>
        <v>0.48930871061707</v>
      </c>
      <c r="BC292" s="43" t="n">
        <f aca="false">INDEX($BK$287:$BK$320,BDC_EAD!$B11)</f>
        <v>0.0620042590793056</v>
      </c>
      <c r="BD292" s="22" t="n">
        <f aca="false">INDEX(BDC!$Q$6:$Q$39,BDC_EAD!$B11)</f>
        <v>0.18126872246696</v>
      </c>
      <c r="BE292" s="43" t="n">
        <f aca="false">BB292*(1-$AK$312)-BC292-p_c_liq</f>
        <v>0.157115531760083</v>
      </c>
      <c r="BF292" s="43" t="n">
        <f aca="false">p_phi*MAX(0,p_a_spv-BE292)/p_a_spv+(1-p_phi)*MAX(0,p_a_spv-BB292)/p_a_spv</f>
        <v>0.680636903526457</v>
      </c>
      <c r="BG292" s="43" t="n">
        <f aca="false">IF(BD292&gt;0,p_phi*MAX(0,BD292-BE292)/BD292+(1-p_phi)*MAX(0,BD292-BB292)/BD292,0)</f>
        <v>0.106596175570355</v>
      </c>
      <c r="BI292" s="12" t="str">
        <f aca="false">BDC!$A$11</f>
        <v>ASIF</v>
      </c>
      <c r="BJ292" s="43" t="n">
        <f aca="false">1-((1-BDC!$D$11)*$CD$303+BDC!$D$11*$CD$304)-p_gap-$CD$293*(1-BDC!$M$11)</f>
        <v>0.404374605284367</v>
      </c>
      <c r="BK292" s="43" t="n">
        <f aca="false">(1-BDC!$D$11)*$CD$305+BDC!$D$11*$CD$306</f>
        <v>0.0611100114102059</v>
      </c>
      <c r="BL292" s="45" t="n">
        <f aca="false">BJ292/BDC!$K$11</f>
        <v>0.747064948745695</v>
      </c>
      <c r="BM292" s="35" t="n">
        <f aca="false">IF(BL292&lt;1.5,BDC!$C$11,0)</f>
        <v>21.84</v>
      </c>
      <c r="BN292" s="43" t="n">
        <f aca="false">MAX(0,1-BJ292*(1-CE_mig_hc)-p_bb_cush)*BDC!$Q$11</f>
        <v>0.166493090846723</v>
      </c>
      <c r="BO292" s="43" t="n">
        <f aca="false">MAX(0,BDC!$K$11-BJ292/1.5)</f>
        <v>0.271701333480147</v>
      </c>
      <c r="BP292" s="43" t="n">
        <f aca="false">MIN(MIN(1,BDC!$H$11*$CD$296),$CD$295)</f>
        <v>0.25</v>
      </c>
      <c r="BQ292" s="43" t="n">
        <f aca="false">BDC!$I$11*BDC!$J$11*BP292*(1-0.3)</f>
        <v>0.0802752293577982</v>
      </c>
      <c r="BR292" s="45" t="n">
        <f aca="false">BDC!$C$11*($CD$294*MAX(BN292,BO292)+BQ292)</f>
        <v>7.68716813238072</v>
      </c>
      <c r="CC292" s="10" t="s">
        <v>978</v>
      </c>
      <c r="CD292" s="35" t="n">
        <f aca="false">p_ds+p_ds_pan*$CD$290</f>
        <v>1100</v>
      </c>
    </row>
    <row r="293" customFormat="false" ht="15" hidden="false" customHeight="true" outlineLevel="0" collapsed="false">
      <c r="A293" s="10" t="s">
        <v>509</v>
      </c>
      <c r="B293" s="35" t="n">
        <f aca="false">AY253</f>
        <v>1.94809829656393</v>
      </c>
      <c r="C293" s="39" t="n">
        <f aca="false">AZ253</f>
        <v>0.00360182651565631</v>
      </c>
      <c r="D293" s="44" t="n">
        <f aca="false">IF(C293&lt;Inputs_Banks!$I12,1,0)</f>
        <v>1</v>
      </c>
      <c r="E293" s="44" t="n">
        <f aca="false">IF(C293&lt;0.045,1,0)</f>
        <v>1</v>
      </c>
      <c r="F293" s="44" t="n">
        <f aca="false">IF(B293&lt;0,1,0)</f>
        <v>0</v>
      </c>
      <c r="G293" s="44" t="n">
        <f aca="false">MIN(6,MIN(3,INT(MAX(0,Inputs_Banks!$BA12-C293)/p_notch_step))+D293+2*E293)</f>
        <v>6</v>
      </c>
      <c r="H293" s="39" t="n">
        <f aca="false">C293-Inputs_Banks!$I12</f>
        <v>-0.0663981734843437</v>
      </c>
      <c r="I293" s="44" t="n">
        <f aca="false">RANK(H293,$H$287:$H$310,1)</f>
        <v>11</v>
      </c>
      <c r="J293" s="44" t="n">
        <f aca="false">MAX(IF(I293&lt;=g_n_weak,1,0),E293)</f>
        <v>1</v>
      </c>
      <c r="K293" s="44" t="n">
        <f aca="false">IF(I293&gt;12,1,0)*(1-E293)</f>
        <v>0</v>
      </c>
      <c r="L293" s="35" t="n">
        <f aca="false">INDEX(Inputs_Banks!$AR12:$AX12,1,G293+1)</f>
        <v>2</v>
      </c>
      <c r="M293" s="35" t="n">
        <f aca="false">Inputs_Banks!$AI12*MIN(1,p_u_base+$CD$290*p_u_pan_all+J293*($CD$290*p_u_pan_weak+p_u_mda*D293)+p_u_notch*G293+p_u_fail*E293)</f>
        <v>192.606</v>
      </c>
      <c r="N293" s="35" t="n">
        <f aca="false">Inputs_Banks!$AK12*MIN(1,p_w_base+p_w_pan*$CD$290+p_w_notch*G293+0.5*D293+1*E293)</f>
        <v>2.767</v>
      </c>
      <c r="O293" s="35" t="n">
        <f aca="false">Inputs_Banks!$AO12*MIN(1,p_cp_base+p_cp_pan*$CD$290+p_cp_notch*G293)</f>
        <v>0</v>
      </c>
      <c r="P293" s="35" t="n">
        <f aca="false">Inputs_Banks!$AN12*(p_dh+p_dh_pan*$CD$290+MIN(1,0.5*$CD$297+0.25*G293))</f>
        <v>0</v>
      </c>
      <c r="Q293" s="35" t="n">
        <f aca="false">Modules!$Y12</f>
        <v>25.4204874</v>
      </c>
      <c r="R293" s="35" t="n">
        <f aca="false">Inputs_Banks!$AJ12*K293</f>
        <v>0</v>
      </c>
      <c r="S293" s="35" t="n">
        <f aca="false">p_liq_on*$CD$298*SUM($M$287:$M$310)*R293/MAX(0.000000001,SUM($R$287:$R$310))</f>
        <v>0</v>
      </c>
      <c r="T293" s="35" t="n">
        <f aca="false">p_liq_on*(L293+M293+N293+O293+P293+Q293)</f>
        <v>222.7934874</v>
      </c>
      <c r="U293" s="35" t="n">
        <f aca="false">g_usable*Inputs_Banks!$AG12+p_cb_on*Inputs_Banks!$AQ12+S293</f>
        <v>151.195</v>
      </c>
      <c r="V293" s="35" t="n">
        <f aca="false">MAX(0,T293-U293)</f>
        <v>71.5984874</v>
      </c>
      <c r="W293" s="44" t="n">
        <f aca="false">IF(V293&gt;0.9*Inputs_Banks!$BB12,1,0)</f>
        <v>1</v>
      </c>
      <c r="X293" s="43" t="n">
        <f aca="false">MAX(p_htm_forced,(1-p_cb_on)*MIN(1,T293/Inputs_Banks!$AG12)*g_theta_sell)</f>
        <v>0.25</v>
      </c>
      <c r="Y293" s="35" t="n">
        <f aca="false">MAX(0,Modules!$V12-B293/(Inputs_Banks!$I12+g_del_buf))</f>
        <v>514.889356045814</v>
      </c>
      <c r="Z293" s="35" t="n">
        <f aca="false">MIN(g_del_cap*Inputs_Banks!$BB12,Y293)</f>
        <v>2.2875</v>
      </c>
      <c r="AA293" s="35" t="n">
        <f aca="false">MIN(Inputs_Banks!$BB12,V293+Z293)</f>
        <v>9.15</v>
      </c>
      <c r="AB293" s="35" t="n">
        <f aca="false">$AA293*Holdings!Q12</f>
        <v>0</v>
      </c>
      <c r="AC293" s="35" t="n">
        <f aca="false">$AA293*Holdings!R12</f>
        <v>0</v>
      </c>
      <c r="AD293" s="35" t="n">
        <f aca="false">$AA293*Holdings!S12</f>
        <v>0</v>
      </c>
      <c r="AE293" s="35" t="n">
        <f aca="false">$AA293*Holdings!T12</f>
        <v>2.37</v>
      </c>
      <c r="AF293" s="35" t="n">
        <f aca="false">$AA293*Holdings!U12</f>
        <v>2.02</v>
      </c>
      <c r="AG293" s="35" t="n">
        <f aca="false">$AA293*Holdings!V12</f>
        <v>0</v>
      </c>
      <c r="AH293" s="35" t="n">
        <f aca="false">$AA293*Holdings!W12</f>
        <v>0.02</v>
      </c>
      <c r="AI293" s="35" t="n">
        <f aca="false">$AA293*Holdings!X12</f>
        <v>0.06</v>
      </c>
      <c r="AJ293" s="35" t="n">
        <f aca="false">$AA293*Holdings!Y12</f>
        <v>4.68</v>
      </c>
      <c r="AK293" s="35" t="n">
        <f aca="false">$AA293*Holdings!Z12</f>
        <v>0</v>
      </c>
      <c r="AL293" s="35" t="n">
        <f aca="false">$AA293*Holdings!AA12</f>
        <v>0</v>
      </c>
      <c r="AM293" s="35" t="n">
        <f aca="false">$AA293*Holdings!AB12</f>
        <v>0</v>
      </c>
      <c r="AN293" s="35" t="n">
        <f aca="false">$AA293*Holdings!AC12</f>
        <v>0</v>
      </c>
      <c r="AO293" s="43" t="n">
        <f aca="false">MIN(1,$CD$297+0.5*G293)</f>
        <v>1</v>
      </c>
      <c r="AP293" s="35" t="n">
        <f aca="false">p_liq_on*Inputs_Banks!$AP12*AO293*p_mb_psi</f>
        <v>0</v>
      </c>
      <c r="AQ293" s="44" t="n">
        <f aca="false">MAX(F293,E293,W293*(1-p_cb_on))</f>
        <v>1</v>
      </c>
      <c r="AR293" s="35" t="n">
        <f aca="false">p_ib_on*p_lgd_ib*g_s_in*g_u_ib*SUMPRODUCT(Network!I$6:I$29,$AQ$287:$AQ$310)</f>
        <v>0.553400080853143</v>
      </c>
      <c r="AS293" s="35" t="n">
        <f aca="false">p_sw_M1*(SUMPRODUCT(BDC_EAD!I$106:I$127,$BF$287:$BF$308)+SUMPRODUCT(BDC_EAD!I$131:I$152,$BG$287:$BG$308)+(Inputs_Banks!$Y12+p_ccf_bl*Inputs_Banks!$Z12)*$CD$310+Modules!$E12)</f>
        <v>37.3288498355516</v>
      </c>
      <c r="AT293" s="35" t="n">
        <f aca="false">p_sw_M3*(Inputs_Banks!$U12+p_ccf_abf*Inputs_Banks!$V12)*$CD$311</f>
        <v>0</v>
      </c>
      <c r="AU293" s="35" t="n">
        <f aca="false">p_sw_M10*Inputs_Banks!$AC12*$CD$312</f>
        <v>0</v>
      </c>
      <c r="AV293" s="35" t="n">
        <f aca="false">p_sw_M8*(Modules!$M12+Modules!$N12*IF(p_liq_on&gt;0,X293,p_htm_forced))</f>
        <v>2.868215</v>
      </c>
      <c r="AW293" s="35" t="n">
        <f aca="false">SUMPRODUCT(Holdings!$C12:$O12,Holdings!$C$32:$O$32,$AB$312:$AN$312)+Inputs_Banks!$P12*$AL$312</f>
        <v>0.917839985949254</v>
      </c>
      <c r="AX293" s="35" t="n">
        <f aca="false">Modules!$T12+AS293+AT293+AU293+AV293+AW293+AR293</f>
        <v>47.1519017034361</v>
      </c>
      <c r="AY293" s="35" t="n">
        <f aca="false">Modules!$U12-(1-p_tax)*AX293</f>
        <v>1.94809829656393</v>
      </c>
      <c r="AZ293" s="39" t="n">
        <f aca="false">AY293/Modules!$V12</f>
        <v>0.00360182651565631</v>
      </c>
      <c r="BA293" s="48" t="s">
        <v>657</v>
      </c>
      <c r="BB293" s="43" t="n">
        <f aca="false">INDEX($BJ$287:$BJ$320,BDC_EAD!$B12)</f>
        <v>0.378165749019815</v>
      </c>
      <c r="BC293" s="43" t="n">
        <f aca="false">INDEX($BK$287:$BK$320,BDC_EAD!$B12)</f>
        <v>0.0643143988911463</v>
      </c>
      <c r="BD293" s="22" t="n">
        <f aca="false">INDEX(BDC!$Q$6:$Q$39,BDC_EAD!$B12)</f>
        <v>0.295054794520548</v>
      </c>
      <c r="BE293" s="43" t="n">
        <f aca="false">BB293*(1-$AK$312)-BC293-p_c_liq</f>
        <v>0.0936767630697516</v>
      </c>
      <c r="BF293" s="43" t="n">
        <f aca="false">p_phi*MAX(0,p_a_spv-BE293)/p_a_spv+(1-p_phi)*MAX(0,p_a_spv-BB293)/p_a_spv</f>
        <v>0.784893485343194</v>
      </c>
      <c r="BG293" s="43" t="n">
        <f aca="false">IF(BD293&gt;0,p_phi*MAX(0,BD293-BE293)/BD293+(1-p_phi)*MAX(0,BD293-BB293)/BD293,0)</f>
        <v>0.546008497921283</v>
      </c>
      <c r="BI293" s="12" t="str">
        <f aca="false">BDC!$A$12</f>
        <v>GS PCC</v>
      </c>
      <c r="BJ293" s="43" t="n">
        <f aca="false">1-((1-BDC!$D$12)*$CD$303+BDC!$D$12*$CD$304)-p_gap-$CD$293*(1-BDC!$M$12)</f>
        <v>0.398087744963144</v>
      </c>
      <c r="BK293" s="43" t="n">
        <f aca="false">(1-BDC!$D$12)*$CD$305+BDC!$D$12*$CD$306</f>
        <v>0.060066722462923</v>
      </c>
      <c r="BL293" s="45" t="n">
        <f aca="false">BJ293/BDC!$K$12</f>
        <v>0.812762479299751</v>
      </c>
      <c r="BM293" s="35" t="n">
        <f aca="false">IF(BL293&lt;1.5,BDC!$C$12,0)</f>
        <v>18.19</v>
      </c>
      <c r="BN293" s="43" t="n">
        <f aca="false">MAX(0,1-BJ293*(1-CE_mig_hc)-p_bb_cush)*BDC!$Q$12</f>
        <v>0.171189689900712</v>
      </c>
      <c r="BO293" s="43" t="n">
        <f aca="false">MAX(0,BDC!$K$12-BJ293/1.5)</f>
        <v>0.224404088391918</v>
      </c>
      <c r="BP293" s="43" t="n">
        <f aca="false">MIN(MIN(1,BDC!$H$12*$CD$296),$CD$295)</f>
        <v>0.0609</v>
      </c>
      <c r="BQ293" s="43" t="n">
        <f aca="false">BDC!$I$12*BDC!$J$12*BP293*(1-0.3)</f>
        <v>0.02175</v>
      </c>
      <c r="BR293" s="45" t="n">
        <f aca="false">BDC!$C$12*($CD$294*MAX(BN293,BO293)+BQ293)</f>
        <v>4.47754286784899</v>
      </c>
      <c r="CC293" s="10" t="s">
        <v>979</v>
      </c>
      <c r="CD293" s="43" t="n">
        <f aca="false">p_w_mkt+(1-p_w_mkt)*$CD$290</f>
        <v>1</v>
      </c>
    </row>
    <row r="294" customFormat="false" ht="15" hidden="false" customHeight="true" outlineLevel="0" collapsed="false">
      <c r="A294" s="10" t="s">
        <v>510</v>
      </c>
      <c r="B294" s="35" t="n">
        <f aca="false">AY254</f>
        <v>27.938944824402</v>
      </c>
      <c r="C294" s="39" t="n">
        <f aca="false">AZ254</f>
        <v>0.0509039617393305</v>
      </c>
      <c r="D294" s="44" t="n">
        <f aca="false">IF(C294&lt;Inputs_Banks!$I13,1,0)</f>
        <v>1</v>
      </c>
      <c r="E294" s="44" t="n">
        <f aca="false">IF(C294&lt;0.045,1,0)</f>
        <v>0</v>
      </c>
      <c r="F294" s="44" t="n">
        <f aca="false">IF(B294&lt;0,1,0)</f>
        <v>0</v>
      </c>
      <c r="G294" s="44" t="n">
        <f aca="false">MIN(6,MIN(3,INT(MAX(0,Inputs_Banks!$BA13-C294)/p_notch_step))+D294+2*E294)</f>
        <v>3</v>
      </c>
      <c r="H294" s="39" t="n">
        <f aca="false">C294-Inputs_Banks!$I13</f>
        <v>-0.0200960382606695</v>
      </c>
      <c r="I294" s="44" t="n">
        <f aca="false">RANK(H294,$H$287:$H$310,1)</f>
        <v>21</v>
      </c>
      <c r="J294" s="44" t="n">
        <f aca="false">MAX(IF(I294&lt;=g_n_weak,1,0),E294)</f>
        <v>0</v>
      </c>
      <c r="K294" s="44" t="n">
        <f aca="false">IF(I294&gt;12,1,0)*(1-E294)</f>
        <v>1</v>
      </c>
      <c r="L294" s="35" t="n">
        <f aca="false">INDEX(Inputs_Banks!$AR13:$AX13,1,G294+1)</f>
        <v>0.225</v>
      </c>
      <c r="M294" s="35" t="n">
        <f aca="false">Inputs_Banks!$AI13*MIN(1,p_u_base+$CD$290*p_u_pan_all+J294*($CD$290*p_u_pan_weak+p_u_mda*D294)+p_u_notch*G294+p_u_fail*E294)</f>
        <v>76.383</v>
      </c>
      <c r="N294" s="35" t="n">
        <f aca="false">Inputs_Banks!$AK13*MIN(1,p_w_base+p_w_pan*$CD$290+p_w_notch*G294+0.5*D294+1*E294)</f>
        <v>37.337</v>
      </c>
      <c r="O294" s="35" t="n">
        <f aca="false">Inputs_Banks!$AO13*MIN(1,p_cp_base+p_cp_pan*$CD$290+p_cp_notch*G294)</f>
        <v>0</v>
      </c>
      <c r="P294" s="35" t="n">
        <f aca="false">Inputs_Banks!$AN13*(p_dh+p_dh_pan*$CD$290+MIN(1,0.5*$CD$297+0.25*G294))</f>
        <v>1.197105</v>
      </c>
      <c r="Q294" s="35" t="n">
        <f aca="false">Modules!$Y13</f>
        <v>12.7415604</v>
      </c>
      <c r="R294" s="35" t="n">
        <f aca="false">Inputs_Banks!$AJ13*K294</f>
        <v>532.066</v>
      </c>
      <c r="S294" s="35" t="n">
        <f aca="false">p_liq_on*$CD$298*SUM($M$287:$M$310)*R294/MAX(0.000000001,SUM($R$287:$R$310))</f>
        <v>110.18065138705</v>
      </c>
      <c r="T294" s="35" t="n">
        <f aca="false">p_liq_on*(L294+M294+N294+O294+P294+Q294)</f>
        <v>127.8836654</v>
      </c>
      <c r="U294" s="35" t="n">
        <f aca="false">g_usable*Inputs_Banks!$AG13+p_cb_on*Inputs_Banks!$AQ13+S294</f>
        <v>299.11655138705</v>
      </c>
      <c r="V294" s="35" t="n">
        <f aca="false">MAX(0,T294-U294)</f>
        <v>0</v>
      </c>
      <c r="W294" s="44" t="n">
        <f aca="false">IF(V294&gt;0.9*Inputs_Banks!$BB13,1,0)</f>
        <v>0</v>
      </c>
      <c r="X294" s="43" t="n">
        <f aca="false">MAX(p_htm_forced,(1-p_cb_on)*MIN(1,T294/Inputs_Banks!$AG13)*g_theta_sell)</f>
        <v>0.25</v>
      </c>
      <c r="Y294" s="35" t="n">
        <f aca="false">MAX(0,Modules!$V13-B294/(Inputs_Banks!$I13+g_del_buf))</f>
        <v>181.238304942079</v>
      </c>
      <c r="Z294" s="35" t="n">
        <f aca="false">MIN(g_del_cap*Inputs_Banks!$BB13,Y294)</f>
        <v>3.2525</v>
      </c>
      <c r="AA294" s="35" t="n">
        <f aca="false">MIN(Inputs_Banks!$BB13,V294+Z294)</f>
        <v>3.2525</v>
      </c>
      <c r="AB294" s="35" t="n">
        <f aca="false">$AA294*Holdings!Q13</f>
        <v>0</v>
      </c>
      <c r="AC294" s="35" t="n">
        <f aca="false">$AA294*Holdings!R13</f>
        <v>0</v>
      </c>
      <c r="AD294" s="35" t="n">
        <f aca="false">$AA294*Holdings!S13</f>
        <v>0</v>
      </c>
      <c r="AE294" s="35" t="n">
        <f aca="false">$AA294*Holdings!T13</f>
        <v>1.845</v>
      </c>
      <c r="AF294" s="35" t="n">
        <f aca="false">$AA294*Holdings!U13</f>
        <v>0</v>
      </c>
      <c r="AG294" s="35" t="n">
        <f aca="false">$AA294*Holdings!V13</f>
        <v>0</v>
      </c>
      <c r="AH294" s="35" t="n">
        <f aca="false">$AA294*Holdings!W13</f>
        <v>0.0225</v>
      </c>
      <c r="AI294" s="35" t="n">
        <f aca="false">$AA294*Holdings!X13</f>
        <v>1.095</v>
      </c>
      <c r="AJ294" s="35" t="n">
        <f aca="false">$AA294*Holdings!Y13</f>
        <v>0.29</v>
      </c>
      <c r="AK294" s="35" t="n">
        <f aca="false">$AA294*Holdings!Z13</f>
        <v>0</v>
      </c>
      <c r="AL294" s="35" t="n">
        <f aca="false">$AA294*Holdings!AA13</f>
        <v>0</v>
      </c>
      <c r="AM294" s="35" t="n">
        <f aca="false">$AA294*Holdings!AB13</f>
        <v>0</v>
      </c>
      <c r="AN294" s="35" t="n">
        <f aca="false">$AA294*Holdings!AC13</f>
        <v>0</v>
      </c>
      <c r="AO294" s="43" t="n">
        <f aca="false">MIN(1,$CD$297+0.5*G294)</f>
        <v>1</v>
      </c>
      <c r="AP294" s="35" t="n">
        <f aca="false">p_liq_on*Inputs_Banks!$AP13*AO294*p_mb_psi</f>
        <v>0.636</v>
      </c>
      <c r="AQ294" s="44" t="n">
        <f aca="false">MAX(F294,E294,W294*(1-p_cb_on))</f>
        <v>0</v>
      </c>
      <c r="AR294" s="35" t="n">
        <f aca="false">p_ib_on*p_lgd_ib*g_s_in*g_u_ib*SUMPRODUCT(Network!J$6:J$29,$AQ$287:$AQ$310)</f>
        <v>0.644762362033408</v>
      </c>
      <c r="AS294" s="35" t="n">
        <f aca="false">p_sw_M1*(SUMPRODUCT(BDC_EAD!J$106:J$127,$BF$287:$BF$308)+SUMPRODUCT(BDC_EAD!J$131:J$152,$BG$287:$BG$308)+(Inputs_Banks!$Y13+p_ccf_bl*Inputs_Banks!$Z13)*$CD$310+Modules!$E13)</f>
        <v>14.5195684657137</v>
      </c>
      <c r="AT294" s="35" t="n">
        <f aca="false">p_sw_M3*(Inputs_Banks!$U13+p_ccf_abf*Inputs_Banks!$V13)*$CD$311</f>
        <v>0</v>
      </c>
      <c r="AU294" s="35" t="n">
        <f aca="false">p_sw_M10*Inputs_Banks!$AC13*$CD$312</f>
        <v>0</v>
      </c>
      <c r="AV294" s="35" t="n">
        <f aca="false">p_sw_M8*(Modules!$M13+Modules!$N13*IF(p_liq_on&gt;0,X294,p_htm_forced))</f>
        <v>5.14480625</v>
      </c>
      <c r="AW294" s="35" t="n">
        <f aca="false">SUMPRODUCT(Holdings!$C13:$O13,Holdings!$C$32:$O$32,$AB$312:$AN$312)+Inputs_Banks!$P13*$AL$312</f>
        <v>1.48151506912185</v>
      </c>
      <c r="AX294" s="35" t="n">
        <f aca="false">Modules!$T13+AS294+AT294+AU294+AV294+AW294+AR294</f>
        <v>27.061055175598</v>
      </c>
      <c r="AY294" s="35" t="n">
        <f aca="false">Modules!$U13-(1-p_tax)*AX294</f>
        <v>27.938944824402</v>
      </c>
      <c r="AZ294" s="39" t="n">
        <f aca="false">AY294/Modules!$V13</f>
        <v>0.0509039617393305</v>
      </c>
      <c r="BA294" s="48" t="s">
        <v>641</v>
      </c>
      <c r="BB294" s="43" t="n">
        <f aca="false">INDEX($BJ$287:$BJ$320,BDC_EAD!$B13)</f>
        <v>0.329896338848212</v>
      </c>
      <c r="BC294" s="43" t="n">
        <f aca="false">INDEX($BK$287:$BK$320,BDC_EAD!$B13)</f>
        <v>0.0624513829138554</v>
      </c>
      <c r="BD294" s="22" t="n">
        <f aca="false">INDEX(BDC!$Q$6:$Q$39,BDC_EAD!$B13)</f>
        <v>0.167256637168142</v>
      </c>
      <c r="BE294" s="43" t="n">
        <f aca="false">BB294*(1-$AK$312)-BC294-p_c_liq</f>
        <v>0.068991603452661</v>
      </c>
      <c r="BF294" s="43" t="n">
        <f aca="false">p_phi*MAX(0,p_a_spv-BE294)/p_a_spv+(1-p_phi)*MAX(0,p_a_spv-BB294)/p_a_spv</f>
        <v>0.826896356383184</v>
      </c>
      <c r="BG294" s="43" t="n">
        <f aca="false">IF(BD294&gt;0,p_phi*MAX(0,BD294-BE294)/BD294+(1-p_phi)*MAX(0,BD294-BB294)/BD294,0)</f>
        <v>0.470008415231717</v>
      </c>
      <c r="BI294" s="12" t="str">
        <f aca="false">BDC!$A$13</f>
        <v>OBDC</v>
      </c>
      <c r="BJ294" s="43" t="n">
        <f aca="false">1-((1-BDC!$D$13)*$CD$303+BDC!$D$13*$CD$304)-p_gap-$CD$293*(1-BDC!$M$13)</f>
        <v>0.393709594067855</v>
      </c>
      <c r="BK294" s="43" t="n">
        <f aca="false">(1-BDC!$D$13)*$CD$305+BDC!$D$13*$CD$306</f>
        <v>0.0647242624061503</v>
      </c>
      <c r="BL294" s="45" t="n">
        <f aca="false">BJ294/BDC!$K$13</f>
        <v>0.745236017342725</v>
      </c>
      <c r="BM294" s="35" t="n">
        <f aca="false">IF(BL294&lt;1.5,BDC!$C$13,0)</f>
        <v>14.96</v>
      </c>
      <c r="BN294" s="43" t="n">
        <f aca="false">MAX(0,1-BJ294*(1-CE_mig_hc)-p_bb_cush)*BDC!$Q$13</f>
        <v>0.111074092527053</v>
      </c>
      <c r="BO294" s="43" t="n">
        <f aca="false">MAX(0,BDC!$K$13-BJ294/1.5)</f>
        <v>0.26582882408055</v>
      </c>
      <c r="BP294" s="43" t="n">
        <f aca="false">MIN(MIN(1,BDC!$H$13*$CD$296),$CD$295)</f>
        <v>0</v>
      </c>
      <c r="BQ294" s="43" t="n">
        <f aca="false">BDC!$I$13*BDC!$J$13*BP294*(1-0.3)</f>
        <v>0</v>
      </c>
      <c r="BR294" s="45" t="n">
        <f aca="false">BDC!$C$13*($CD$294*MAX(BN294,BO294)+BQ294)</f>
        <v>3.97679920824502</v>
      </c>
      <c r="CC294" s="10" t="s">
        <v>980</v>
      </c>
      <c r="CD294" s="43" t="n">
        <f aca="false">p_theta_lev+(1-p_theta_lev)*$CD$290</f>
        <v>1</v>
      </c>
    </row>
    <row r="295" customFormat="false" ht="15" hidden="false" customHeight="true" outlineLevel="0" collapsed="false">
      <c r="A295" s="10" t="s">
        <v>512</v>
      </c>
      <c r="B295" s="35" t="n">
        <f aca="false">AY255</f>
        <v>7.3352278932168</v>
      </c>
      <c r="C295" s="39" t="n">
        <f aca="false">AZ255</f>
        <v>0.0157292211183521</v>
      </c>
      <c r="D295" s="44" t="n">
        <f aca="false">IF(C295&lt;Inputs_Banks!$I14,1,0)</f>
        <v>1</v>
      </c>
      <c r="E295" s="44" t="n">
        <f aca="false">IF(C295&lt;0.045,1,0)</f>
        <v>1</v>
      </c>
      <c r="F295" s="44" t="n">
        <f aca="false">IF(B295&lt;0,1,0)</f>
        <v>0</v>
      </c>
      <c r="G295" s="44" t="n">
        <f aca="false">MIN(6,MIN(3,INT(MAX(0,Inputs_Banks!$BA14-C295)/p_notch_step))+D295+2*E295)</f>
        <v>6</v>
      </c>
      <c r="H295" s="39" t="n">
        <f aca="false">C295-Inputs_Banks!$I14</f>
        <v>-0.0542707788816479</v>
      </c>
      <c r="I295" s="44" t="n">
        <f aca="false">RANK(H295,$H$287:$H$310,1)</f>
        <v>15</v>
      </c>
      <c r="J295" s="44" t="n">
        <f aca="false">MAX(IF(I295&lt;=g_n_weak,1,0),E295)</f>
        <v>1</v>
      </c>
      <c r="K295" s="44" t="n">
        <f aca="false">IF(I295&gt;12,1,0)*(1-E295)</f>
        <v>0</v>
      </c>
      <c r="L295" s="35" t="n">
        <f aca="false">INDEX(Inputs_Banks!$AR14:$AX14,1,G295+1)</f>
        <v>0.5568</v>
      </c>
      <c r="M295" s="35" t="n">
        <f aca="false">Inputs_Banks!$AI14*MIN(1,p_u_base+$CD$290*p_u_pan_all+J295*($CD$290*p_u_pan_weak+p_u_mda*D295)+p_u_notch*G295+p_u_fail*E295)</f>
        <v>177.002</v>
      </c>
      <c r="N295" s="35" t="n">
        <f aca="false">Inputs_Banks!$AK14*MIN(1,p_w_base+p_w_pan*$CD$290+p_w_notch*G295+0.5*D295+1*E295)</f>
        <v>3.414</v>
      </c>
      <c r="O295" s="35" t="n">
        <f aca="false">Inputs_Banks!$AO14*MIN(1,p_cp_base+p_cp_pan*$CD$290+p_cp_notch*G295)</f>
        <v>5.98</v>
      </c>
      <c r="P295" s="35" t="n">
        <f aca="false">Inputs_Banks!$AN14*(p_dh+p_dh_pan*$CD$290+MIN(1,0.5*$CD$297+0.25*G295))</f>
        <v>0.8013915</v>
      </c>
      <c r="Q295" s="35" t="n">
        <f aca="false">Modules!$Y14</f>
        <v>19.9439417</v>
      </c>
      <c r="R295" s="35" t="n">
        <f aca="false">Inputs_Banks!$AJ14*K295</f>
        <v>0</v>
      </c>
      <c r="S295" s="35" t="n">
        <f aca="false">p_liq_on*$CD$298*SUM($M$287:$M$310)*R295/MAX(0.000000001,SUM($R$287:$R$310))</f>
        <v>0</v>
      </c>
      <c r="T295" s="35" t="n">
        <f aca="false">p_liq_on*(L295+M295+N295+O295+P295+Q295)</f>
        <v>207.6981332</v>
      </c>
      <c r="U295" s="35" t="n">
        <f aca="false">g_usable*Inputs_Banks!$AG14+p_cb_on*Inputs_Banks!$AQ14+S295</f>
        <v>133.1275</v>
      </c>
      <c r="V295" s="35" t="n">
        <f aca="false">MAX(0,T295-U295)</f>
        <v>74.5706332</v>
      </c>
      <c r="W295" s="44" t="n">
        <f aca="false">IF(V295&gt;0.9*Inputs_Banks!$BB14,1,0)</f>
        <v>1</v>
      </c>
      <c r="X295" s="43" t="n">
        <f aca="false">MAX(p_htm_forced,(1-p_cb_on)*MIN(1,T295/Inputs_Banks!$AG14)*g_theta_sell)</f>
        <v>0.25</v>
      </c>
      <c r="Y295" s="35" t="n">
        <f aca="false">MAX(0,Modules!$V14-B295/(Inputs_Banks!$I14+g_del_buf))</f>
        <v>368.540961423776</v>
      </c>
      <c r="Z295" s="35" t="n">
        <f aca="false">MIN(g_del_cap*Inputs_Banks!$BB14,Y295)</f>
        <v>1.1025</v>
      </c>
      <c r="AA295" s="35" t="n">
        <f aca="false">MIN(Inputs_Banks!$BB14,V295+Z295)</f>
        <v>4.41</v>
      </c>
      <c r="AB295" s="35" t="n">
        <f aca="false">$AA295*Holdings!Q14</f>
        <v>0</v>
      </c>
      <c r="AC295" s="35" t="n">
        <f aca="false">$AA295*Holdings!R14</f>
        <v>0</v>
      </c>
      <c r="AD295" s="35" t="n">
        <f aca="false">$AA295*Holdings!S14</f>
        <v>0</v>
      </c>
      <c r="AE295" s="35" t="n">
        <f aca="false">$AA295*Holdings!T14</f>
        <v>0.34</v>
      </c>
      <c r="AF295" s="35" t="n">
        <f aca="false">$AA295*Holdings!U14</f>
        <v>0</v>
      </c>
      <c r="AG295" s="35" t="n">
        <f aca="false">$AA295*Holdings!V14</f>
        <v>0</v>
      </c>
      <c r="AH295" s="35" t="n">
        <f aca="false">$AA295*Holdings!W14</f>
        <v>0.17</v>
      </c>
      <c r="AI295" s="35" t="n">
        <f aca="false">$AA295*Holdings!X14</f>
        <v>0</v>
      </c>
      <c r="AJ295" s="35" t="n">
        <f aca="false">$AA295*Holdings!Y14</f>
        <v>1.28</v>
      </c>
      <c r="AK295" s="35" t="n">
        <f aca="false">$AA295*Holdings!Z14</f>
        <v>0</v>
      </c>
      <c r="AL295" s="35" t="n">
        <f aca="false">$AA295*Holdings!AA14</f>
        <v>0</v>
      </c>
      <c r="AM295" s="35" t="n">
        <f aca="false">$AA295*Holdings!AB14</f>
        <v>0</v>
      </c>
      <c r="AN295" s="35" t="n">
        <f aca="false">$AA295*Holdings!AC14</f>
        <v>2.62</v>
      </c>
      <c r="AO295" s="43" t="n">
        <f aca="false">MIN(1,$CD$297+0.5*G295)</f>
        <v>1</v>
      </c>
      <c r="AP295" s="35" t="n">
        <f aca="false">p_liq_on*Inputs_Banks!$AP14*AO295*p_mb_psi</f>
        <v>0.03</v>
      </c>
      <c r="AQ295" s="44" t="n">
        <f aca="false">MAX(F295,E295,W295*(1-p_cb_on))</f>
        <v>1</v>
      </c>
      <c r="AR295" s="35" t="n">
        <f aca="false">p_ib_on*p_lgd_ib*g_s_in*g_u_ib*SUMPRODUCT(Network!K$6:K$29,$AQ$287:$AQ$310)</f>
        <v>0.4977941331784</v>
      </c>
      <c r="AS295" s="35" t="n">
        <f aca="false">p_sw_M1*(SUMPRODUCT(BDC_EAD!K$106:K$127,$BF$287:$BF$308)+SUMPRODUCT(BDC_EAD!K$131:K$152,$BG$287:$BG$308)+(Inputs_Banks!$Y14+p_ccf_bl*Inputs_Banks!$Z14)*$CD$310+Modules!$E14)</f>
        <v>29.6250912216605</v>
      </c>
      <c r="AT295" s="35" t="n">
        <f aca="false">p_sw_M3*(Inputs_Banks!$U14+p_ccf_abf*Inputs_Banks!$V14)*$CD$311</f>
        <v>0</v>
      </c>
      <c r="AU295" s="35" t="n">
        <f aca="false">p_sw_M10*Inputs_Banks!$AC14*$CD$312</f>
        <v>0</v>
      </c>
      <c r="AV295" s="35" t="n">
        <f aca="false">p_sw_M8*(Modules!$M14+Modules!$N14*IF(p_liq_on&gt;0,X295,p_htm_forced))</f>
        <v>4.33808375</v>
      </c>
      <c r="AW295" s="35" t="n">
        <f aca="false">SUMPRODUCT(Holdings!$C14:$O14,Holdings!$C$32:$O$32,$AB$312:$AN$312)+Inputs_Banks!$P14*$AL$312</f>
        <v>0.41912800194433</v>
      </c>
      <c r="AX295" s="35" t="n">
        <f aca="false">Modules!$T14+AS295+AT295+AU295+AV295+AW295+AR295</f>
        <v>38.9647721067832</v>
      </c>
      <c r="AY295" s="35" t="n">
        <f aca="false">Modules!$U14-(1-p_tax)*AX295</f>
        <v>7.3352278932168</v>
      </c>
      <c r="AZ295" s="39" t="n">
        <f aca="false">AY295/Modules!$V14</f>
        <v>0.0157292211183521</v>
      </c>
      <c r="BA295" s="48" t="s">
        <v>644</v>
      </c>
      <c r="BB295" s="43" t="n">
        <f aca="false">INDEX($BJ$287:$BJ$320,BDC_EAD!$B14)</f>
        <v>0.440432081141748</v>
      </c>
      <c r="BC295" s="43" t="n">
        <f aca="false">INDEX($BK$287:$BK$320,BDC_EAD!$B14)</f>
        <v>0.0593587763915524</v>
      </c>
      <c r="BD295" s="22" t="n">
        <f aca="false">INDEX(BDC!$Q$6:$Q$39,BDC_EAD!$B14)</f>
        <v>0.198013452914798</v>
      </c>
      <c r="BE295" s="43" t="n">
        <f aca="false">BB295*(1-$AK$312)-BC295-p_c_liq</f>
        <v>0.132878868236409</v>
      </c>
      <c r="BF295" s="43" t="n">
        <f aca="false">p_phi*MAX(0,p_a_spv-BE295)/p_a_spv+(1-p_phi)*MAX(0,p_a_spv-BB295)/p_a_spv</f>
        <v>0.722300698832176</v>
      </c>
      <c r="BG295" s="43" t="n">
        <f aca="false">IF(BD295&gt;0,p_phi*MAX(0,BD295-BE295)/BD295+(1-p_phi)*MAX(0,BD295-BB295)/BD295,0)</f>
        <v>0.26315215949056</v>
      </c>
      <c r="BI295" s="12" t="str">
        <f aca="false">BDC!$A$14</f>
        <v>OTF</v>
      </c>
      <c r="BJ295" s="43" t="n">
        <f aca="false">1-((1-BDC!$D$14)*$CD$303+BDC!$D$14*$CD$304)-p_gap-$CD$293*(1-BDC!$M$14)</f>
        <v>0.261914595446638</v>
      </c>
      <c r="BK295" s="43" t="n">
        <f aca="false">(1-BDC!$D$14)*$CD$305+BDC!$D$14*$CD$306</f>
        <v>0.0568250746624368</v>
      </c>
      <c r="BL295" s="45" t="n">
        <f aca="false">BJ295/BDC!$K$14</f>
        <v>0.537614169600993</v>
      </c>
      <c r="BM295" s="35" t="n">
        <f aca="false">IF(BL295&lt;1.5,BDC!$C$14,0)</f>
        <v>14.68</v>
      </c>
      <c r="BN295" s="43" t="n">
        <f aca="false">MAX(0,1-BJ295*(1-CE_mig_hc)-p_bb_cush)*BDC!$Q$14</f>
        <v>0.230311529202363</v>
      </c>
      <c r="BO295" s="43" t="n">
        <f aca="false">MAX(0,BDC!$K$14-BJ295/1.5)</f>
        <v>0.312569756881729</v>
      </c>
      <c r="BP295" s="43" t="n">
        <f aca="false">MIN(MIN(1,BDC!$H$14*$CD$296),$CD$295)</f>
        <v>0</v>
      </c>
      <c r="BQ295" s="43" t="n">
        <f aca="false">BDC!$I$14*BDC!$J$14*BP295*(1-0.3)</f>
        <v>0</v>
      </c>
      <c r="BR295" s="45" t="n">
        <f aca="false">BDC!$C$14*($CD$294*MAX(BN295,BO295)+BQ295)</f>
        <v>4.58852403102378</v>
      </c>
      <c r="CC295" s="10" t="s">
        <v>981</v>
      </c>
      <c r="CD295" s="43" t="n">
        <f aca="false">p_red_rate+p_red_pan*$CD$290</f>
        <v>0.25</v>
      </c>
    </row>
    <row r="296" customFormat="false" ht="15" hidden="false" customHeight="true" outlineLevel="0" collapsed="false">
      <c r="A296" s="10" t="s">
        <v>514</v>
      </c>
      <c r="B296" s="35" t="n">
        <f aca="false">AY256</f>
        <v>-17.14502991394</v>
      </c>
      <c r="C296" s="39" t="n">
        <f aca="false">AZ256</f>
        <v>-0.112909158592408</v>
      </c>
      <c r="D296" s="44" t="n">
        <f aca="false">IF(C296&lt;Inputs_Banks!$I15,1,0)</f>
        <v>1</v>
      </c>
      <c r="E296" s="44" t="n">
        <f aca="false">IF(C296&lt;0.045,1,0)</f>
        <v>1</v>
      </c>
      <c r="F296" s="44" t="n">
        <f aca="false">IF(B296&lt;0,1,0)</f>
        <v>1</v>
      </c>
      <c r="G296" s="44" t="n">
        <f aca="false">MIN(6,MIN(3,INT(MAX(0,Inputs_Banks!$BA15-C296)/p_notch_step))+D296+2*E296)</f>
        <v>6</v>
      </c>
      <c r="H296" s="39" t="n">
        <f aca="false">C296-Inputs_Banks!$I15</f>
        <v>-0.192909158592408</v>
      </c>
      <c r="I296" s="44" t="n">
        <f aca="false">RANK(H296,$H$287:$H$310,1)</f>
        <v>1</v>
      </c>
      <c r="J296" s="44" t="n">
        <f aca="false">MAX(IF(I296&lt;=g_n_weak,1,0),E296)</f>
        <v>1</v>
      </c>
      <c r="K296" s="44" t="n">
        <f aca="false">IF(I296&gt;12,1,0)*(1-E296)</f>
        <v>0</v>
      </c>
      <c r="L296" s="35" t="n">
        <f aca="false">INDEX(Inputs_Banks!$AR15:$AX15,1,G296+1)</f>
        <v>1.65</v>
      </c>
      <c r="M296" s="35" t="n">
        <f aca="false">Inputs_Banks!$AI15*MIN(1,p_u_base+$CD$290*p_u_pan_all+J296*($CD$290*p_u_pan_weak+p_u_mda*D296)+p_u_notch*G296+p_u_fail*E296)</f>
        <v>232.74682</v>
      </c>
      <c r="N296" s="35" t="n">
        <f aca="false">Inputs_Banks!$AK15*MIN(1,p_w_base+p_w_pan*$CD$290+p_w_notch*G296+0.5*D296+1*E296)</f>
        <v>4.372</v>
      </c>
      <c r="O296" s="35" t="n">
        <f aca="false">Inputs_Banks!$AO15*MIN(1,p_cp_base+p_cp_pan*$CD$290+p_cp_notch*G296)</f>
        <v>0</v>
      </c>
      <c r="P296" s="35" t="n">
        <f aca="false">Inputs_Banks!$AN15*(p_dh+p_dh_pan*$CD$290+MIN(1,0.5*$CD$297+0.25*G296))</f>
        <v>0.076848062953995</v>
      </c>
      <c r="Q296" s="35" t="n">
        <f aca="false">Modules!$Y15</f>
        <v>9.3479398</v>
      </c>
      <c r="R296" s="35" t="n">
        <f aca="false">Inputs_Banks!$AJ15*K296</f>
        <v>0</v>
      </c>
      <c r="S296" s="35" t="n">
        <f aca="false">p_liq_on*$CD$298*SUM($M$287:$M$310)*R296/MAX(0.000000001,SUM($R$287:$R$310))</f>
        <v>0</v>
      </c>
      <c r="T296" s="35" t="n">
        <f aca="false">p_liq_on*(L296+M296+N296+O296+P296+Q296)</f>
        <v>248.193607862954</v>
      </c>
      <c r="U296" s="35" t="n">
        <f aca="false">g_usable*Inputs_Banks!$AG15+p_cb_on*Inputs_Banks!$AQ15+S296</f>
        <v>131.22555</v>
      </c>
      <c r="V296" s="35" t="n">
        <f aca="false">MAX(0,T296-U296)</f>
        <v>116.968057862954</v>
      </c>
      <c r="W296" s="44" t="n">
        <f aca="false">IF(V296&gt;0.9*Inputs_Banks!$BB15,1,0)</f>
        <v>1</v>
      </c>
      <c r="X296" s="43" t="n">
        <f aca="false">MAX(p_htm_forced,(1-p_cb_on)*MIN(1,T296/Inputs_Banks!$AG15)*g_theta_sell)</f>
        <v>0.25</v>
      </c>
      <c r="Y296" s="35" t="n">
        <f aca="false">MAX(0,Modules!$V15-B296/(Inputs_Banks!$I15+g_del_buf))</f>
        <v>353.554234281647</v>
      </c>
      <c r="Z296" s="35" t="n">
        <f aca="false">MIN(g_del_cap*Inputs_Banks!$BB15,Y296)</f>
        <v>4.0175</v>
      </c>
      <c r="AA296" s="35" t="n">
        <f aca="false">MIN(Inputs_Banks!$BB15,V296+Z296)</f>
        <v>16.07</v>
      </c>
      <c r="AB296" s="35" t="n">
        <f aca="false">$AA296*Holdings!Q15</f>
        <v>0</v>
      </c>
      <c r="AC296" s="35" t="n">
        <f aca="false">$AA296*Holdings!R15</f>
        <v>0</v>
      </c>
      <c r="AD296" s="35" t="n">
        <f aca="false">$AA296*Holdings!S15</f>
        <v>0</v>
      </c>
      <c r="AE296" s="35" t="n">
        <f aca="false">$AA296*Holdings!T15</f>
        <v>0.03</v>
      </c>
      <c r="AF296" s="35" t="n">
        <f aca="false">$AA296*Holdings!U15</f>
        <v>0.12</v>
      </c>
      <c r="AG296" s="35" t="n">
        <f aca="false">$AA296*Holdings!V15</f>
        <v>0</v>
      </c>
      <c r="AH296" s="35" t="n">
        <f aca="false">$AA296*Holdings!W15</f>
        <v>0</v>
      </c>
      <c r="AI296" s="35" t="n">
        <f aca="false">$AA296*Holdings!X15</f>
        <v>4.01</v>
      </c>
      <c r="AJ296" s="35" t="n">
        <f aca="false">$AA296*Holdings!Y15</f>
        <v>11.79</v>
      </c>
      <c r="AK296" s="35" t="n">
        <f aca="false">$AA296*Holdings!Z15</f>
        <v>0</v>
      </c>
      <c r="AL296" s="35" t="n">
        <f aca="false">$AA296*Holdings!AA15</f>
        <v>0</v>
      </c>
      <c r="AM296" s="35" t="n">
        <f aca="false">$AA296*Holdings!AB15</f>
        <v>0</v>
      </c>
      <c r="AN296" s="35" t="n">
        <f aca="false">$AA296*Holdings!AC15</f>
        <v>0.12</v>
      </c>
      <c r="AO296" s="43" t="n">
        <f aca="false">MIN(1,$CD$297+0.5*G296)</f>
        <v>1</v>
      </c>
      <c r="AP296" s="35" t="n">
        <f aca="false">p_liq_on*Inputs_Banks!$AP15*AO296*p_mb_psi</f>
        <v>0</v>
      </c>
      <c r="AQ296" s="44" t="n">
        <f aca="false">MAX(F296,E296,W296*(1-p_cb_on))</f>
        <v>1</v>
      </c>
      <c r="AR296" s="35" t="n">
        <f aca="false">p_ib_on*p_lgd_ib*g_s_in*g_u_ib*SUMPRODUCT(Network!L$6:L$29,$AQ$287:$AQ$310)</f>
        <v>2.98883625010824</v>
      </c>
      <c r="AS296" s="35" t="n">
        <f aca="false">p_sw_M1*(SUMPRODUCT(BDC_EAD!L$106:L$127,$BF$287:$BF$308)+SUMPRODUCT(BDC_EAD!L$131:L$152,$BG$287:$BG$308)+(Inputs_Banks!$Y15+p_ccf_bl*Inputs_Banks!$Z15)*$CD$310+Modules!$E15)</f>
        <v>21.1544650700422</v>
      </c>
      <c r="AT296" s="35" t="n">
        <f aca="false">p_sw_M3*(Inputs_Banks!$U15+p_ccf_abf*Inputs_Banks!$V15)*$CD$311</f>
        <v>0</v>
      </c>
      <c r="AU296" s="35" t="n">
        <f aca="false">p_sw_M10*Inputs_Banks!$AC15*$CD$312</f>
        <v>0</v>
      </c>
      <c r="AV296" s="35" t="n">
        <f aca="false">p_sw_M8*(Modules!$M15+Modules!$N15*IF(p_liq_on&gt;0,X296,p_htm_forced))</f>
        <v>3.383275</v>
      </c>
      <c r="AW296" s="35" t="n">
        <f aca="false">SUMPRODUCT(Holdings!$C15:$O15,Holdings!$C$32:$O$32,$AB$312:$AN$312)+Inputs_Banks!$P15*$AL$312</f>
        <v>2.55458359378958</v>
      </c>
      <c r="AX296" s="35" t="n">
        <f aca="false">Modules!$T15+AS296+AT296+AU296+AV296+AW296+AR296</f>
        <v>32.54502991394</v>
      </c>
      <c r="AY296" s="35" t="n">
        <f aca="false">Modules!$U15-(1-p_tax)*AX296</f>
        <v>-17.14502991394</v>
      </c>
      <c r="AZ296" s="39" t="n">
        <f aca="false">AY296/Modules!$V15</f>
        <v>-0.112909158592408</v>
      </c>
      <c r="BA296" s="48" t="s">
        <v>654</v>
      </c>
      <c r="BB296" s="43" t="n">
        <f aca="false">INDEX($BJ$287:$BJ$320,BDC_EAD!$B15)</f>
        <v>0.402673902876419</v>
      </c>
      <c r="BC296" s="43" t="n">
        <f aca="false">INDEX($BK$287:$BK$320,BDC_EAD!$B15)</f>
        <v>0.0617434368424848</v>
      </c>
      <c r="BD296" s="22" t="n">
        <f aca="false">INDEX(BDC!$Q$6:$Q$39,BDC_EAD!$B15)</f>
        <v>0.211491525423729</v>
      </c>
      <c r="BE296" s="43" t="n">
        <f aca="false">BB296*(1-$AK$312)-BC296-p_c_liq</f>
        <v>0.109727209739546</v>
      </c>
      <c r="BF296" s="43" t="n">
        <f aca="false">p_phi*MAX(0,p_a_spv-BE296)/p_a_spv+(1-p_phi)*MAX(0,p_a_spv-BB296)/p_a_spv</f>
        <v>0.759547788047257</v>
      </c>
      <c r="BG296" s="43" t="n">
        <f aca="false">IF(BD296&gt;0,p_phi*MAX(0,BD296-BE296)/BD296+(1-p_phi)*MAX(0,BD296-BB296)/BD296,0)</f>
        <v>0.384939549630826</v>
      </c>
      <c r="BI296" s="12" t="str">
        <f aca="false">BDC!$A$15</f>
        <v>BXSL</v>
      </c>
      <c r="BJ296" s="43" t="n">
        <f aca="false">1-((1-BDC!$D$15)*$CD$303+BDC!$D$15*$CD$304)-p_gap-$CD$293*(1-BDC!$M$15)</f>
        <v>0.48930871061707</v>
      </c>
      <c r="BK296" s="43" t="n">
        <f aca="false">(1-BDC!$D$15)*$CD$305+BDC!$D$15*$CD$306</f>
        <v>0.0620042590793056</v>
      </c>
      <c r="BL296" s="45" t="n">
        <f aca="false">BJ296/BDC!$K$15</f>
        <v>0.874591159921849</v>
      </c>
      <c r="BM296" s="35" t="n">
        <f aca="false">IF(BL296&lt;1.5,BDC!$C$15,0)</f>
        <v>13.36</v>
      </c>
      <c r="BN296" s="43" t="n">
        <f aca="false">MAX(0,1-BJ296*(1-CE_mig_hc)-p_bb_cush)*BDC!$Q$15</f>
        <v>0.0982736463037332</v>
      </c>
      <c r="BO296" s="43" t="n">
        <f aca="false">MAX(0,BDC!$K$15-BJ296/1.5)</f>
        <v>0.23326555856072</v>
      </c>
      <c r="BP296" s="43" t="n">
        <f aca="false">MIN(MIN(1,BDC!$H$15*$CD$296),$CD$295)</f>
        <v>0</v>
      </c>
      <c r="BQ296" s="43" t="n">
        <f aca="false">BDC!$I$15*BDC!$J$15*BP296*(1-0.3)</f>
        <v>0</v>
      </c>
      <c r="BR296" s="45" t="n">
        <f aca="false">BDC!$C$15*($CD$294*MAX(BN296,BO296)+BQ296)</f>
        <v>3.11642786237122</v>
      </c>
      <c r="CC296" s="10" t="s">
        <v>982</v>
      </c>
      <c r="CD296" s="45" t="n">
        <f aca="false">1+p_req_pan*$CD$290</f>
        <v>3</v>
      </c>
    </row>
    <row r="297" customFormat="false" ht="15" hidden="false" customHeight="true" outlineLevel="0" collapsed="false">
      <c r="A297" s="10" t="s">
        <v>516</v>
      </c>
      <c r="B297" s="35" t="n">
        <f aca="false">AY257</f>
        <v>6.93301753118636</v>
      </c>
      <c r="C297" s="39" t="n">
        <f aca="false">AZ257</f>
        <v>0.0334695551461126</v>
      </c>
      <c r="D297" s="44" t="n">
        <f aca="false">IF(C297&lt;Inputs_Banks!$I16,1,0)</f>
        <v>1</v>
      </c>
      <c r="E297" s="44" t="n">
        <f aca="false">IF(C297&lt;0.045,1,0)</f>
        <v>1</v>
      </c>
      <c r="F297" s="44" t="n">
        <f aca="false">IF(B297&lt;0,1,0)</f>
        <v>0</v>
      </c>
      <c r="G297" s="44" t="n">
        <f aca="false">MIN(6,MIN(3,INT(MAX(0,Inputs_Banks!$BA16-C297)/p_notch_step))+D297+2*E297)</f>
        <v>6</v>
      </c>
      <c r="H297" s="39" t="n">
        <f aca="false">C297-Inputs_Banks!$I16</f>
        <v>-0.0515304448538874</v>
      </c>
      <c r="I297" s="44" t="n">
        <f aca="false">RANK(H297,$H$287:$H$310,1)</f>
        <v>16</v>
      </c>
      <c r="J297" s="44" t="n">
        <f aca="false">MAX(IF(I297&lt;=g_n_weak,1,0),E297)</f>
        <v>1</v>
      </c>
      <c r="K297" s="44" t="n">
        <f aca="false">IF(I297&gt;12,1,0)*(1-E297)</f>
        <v>0</v>
      </c>
      <c r="L297" s="35" t="n">
        <f aca="false">INDEX(Inputs_Banks!$AR16:$AX16,1,G297+1)</f>
        <v>0.099</v>
      </c>
      <c r="M297" s="35" t="n">
        <f aca="false">Inputs_Banks!$AI16*MIN(1,p_u_base+$CD$290*p_u_pan_all+J297*($CD$290*p_u_pan_weak+p_u_mda*D297)+p_u_notch*G297+p_u_fail*E297)</f>
        <v>238.80042</v>
      </c>
      <c r="N297" s="35" t="n">
        <f aca="false">Inputs_Banks!$AK16*MIN(1,p_w_base+p_w_pan*$CD$290+p_w_notch*G297+0.5*D297+1*E297)</f>
        <v>5.217</v>
      </c>
      <c r="O297" s="35" t="n">
        <f aca="false">Inputs_Banks!$AO16*MIN(1,p_cp_base+p_cp_pan*$CD$290+p_cp_notch*G297)</f>
        <v>0</v>
      </c>
      <c r="P297" s="35" t="n">
        <f aca="false">Inputs_Banks!$AN16*(p_dh+p_dh_pan*$CD$290+MIN(1,0.5*$CD$297+0.25*G297))</f>
        <v>5.66399469476295</v>
      </c>
      <c r="Q297" s="35" t="n">
        <f aca="false">Modules!$Y16</f>
        <v>2.4536497</v>
      </c>
      <c r="R297" s="35" t="n">
        <f aca="false">Inputs_Banks!$AJ16*K297</f>
        <v>0</v>
      </c>
      <c r="S297" s="35" t="n">
        <f aca="false">p_liq_on*$CD$298*SUM($M$287:$M$310)*R297/MAX(0.000000001,SUM($R$287:$R$310))</f>
        <v>0</v>
      </c>
      <c r="T297" s="35" t="n">
        <f aca="false">p_liq_on*(L297+M297+N297+O297+P297+Q297)</f>
        <v>252.234064394763</v>
      </c>
      <c r="U297" s="35" t="n">
        <f aca="false">g_usable*Inputs_Banks!$AG16+p_cb_on*Inputs_Banks!$AQ16+S297</f>
        <v>166.7</v>
      </c>
      <c r="V297" s="35" t="n">
        <f aca="false">MAX(0,T297-U297)</f>
        <v>85.534064394763</v>
      </c>
      <c r="W297" s="44" t="n">
        <f aca="false">IF(V297&gt;0.9*Inputs_Banks!$BB16,1,0)</f>
        <v>1</v>
      </c>
      <c r="X297" s="43" t="n">
        <f aca="false">MAX(p_htm_forced,(1-p_cb_on)*MIN(1,T297/Inputs_Banks!$AG16)*g_theta_sell)</f>
        <v>0.25</v>
      </c>
      <c r="Y297" s="35" t="n">
        <f aca="false">MAX(0,Modules!$V16-B297/(Inputs_Banks!$I16+g_del_buf))</f>
        <v>130.110471875707</v>
      </c>
      <c r="Z297" s="35" t="n">
        <f aca="false">MIN(g_del_cap*Inputs_Banks!$BB16,Y297)</f>
        <v>6.73</v>
      </c>
      <c r="AA297" s="35" t="n">
        <f aca="false">MIN(Inputs_Banks!$BB16,V297+Z297)</f>
        <v>26.92</v>
      </c>
      <c r="AB297" s="35" t="n">
        <f aca="false">$AA297*Holdings!Q16</f>
        <v>0</v>
      </c>
      <c r="AC297" s="35" t="n">
        <f aca="false">$AA297*Holdings!R16</f>
        <v>0</v>
      </c>
      <c r="AD297" s="35" t="n">
        <f aca="false">$AA297*Holdings!S16</f>
        <v>0</v>
      </c>
      <c r="AE297" s="35" t="n">
        <f aca="false">$AA297*Holdings!T16</f>
        <v>0.01</v>
      </c>
      <c r="AF297" s="35" t="n">
        <f aca="false">$AA297*Holdings!U16</f>
        <v>8.57</v>
      </c>
      <c r="AG297" s="35" t="n">
        <f aca="false">$AA297*Holdings!V16</f>
        <v>0</v>
      </c>
      <c r="AH297" s="35" t="n">
        <f aca="false">$AA297*Holdings!W16</f>
        <v>0</v>
      </c>
      <c r="AI297" s="35" t="n">
        <f aca="false">$AA297*Holdings!X16</f>
        <v>8.85</v>
      </c>
      <c r="AJ297" s="35" t="n">
        <f aca="false">$AA297*Holdings!Y16</f>
        <v>3.8</v>
      </c>
      <c r="AK297" s="35" t="n">
        <f aca="false">$AA297*Holdings!Z16</f>
        <v>0</v>
      </c>
      <c r="AL297" s="35" t="n">
        <f aca="false">$AA297*Holdings!AA16</f>
        <v>0</v>
      </c>
      <c r="AM297" s="35" t="n">
        <f aca="false">$AA297*Holdings!AB16</f>
        <v>0</v>
      </c>
      <c r="AN297" s="35" t="n">
        <f aca="false">$AA297*Holdings!AC16</f>
        <v>5.69</v>
      </c>
      <c r="AO297" s="43" t="n">
        <f aca="false">MIN(1,$CD$297+0.5*G297)</f>
        <v>1</v>
      </c>
      <c r="AP297" s="35" t="n">
        <f aca="false">p_liq_on*Inputs_Banks!$AP16*AO297*p_mb_psi</f>
        <v>0.42</v>
      </c>
      <c r="AQ297" s="44" t="n">
        <f aca="false">MAX(F297,E297,W297*(1-p_cb_on))</f>
        <v>1</v>
      </c>
      <c r="AR297" s="35" t="n">
        <f aca="false">p_ib_on*p_lgd_ib*g_s_in*g_u_ib*SUMPRODUCT(Network!M$6:M$29,$AQ$287:$AQ$310)</f>
        <v>2.72751307306586</v>
      </c>
      <c r="AS297" s="35" t="n">
        <f aca="false">p_sw_M1*(SUMPRODUCT(BDC_EAD!M$106:M$127,$BF$287:$BF$308)+SUMPRODUCT(BDC_EAD!M$131:M$152,$BG$287:$BG$308)+(Inputs_Banks!$Y16+p_ccf_bl*Inputs_Banks!$Z16)*$CD$310+Modules!$E16)</f>
        <v>0.407121874997196</v>
      </c>
      <c r="AT297" s="35" t="n">
        <f aca="false">p_sw_M3*(Inputs_Banks!$U16+p_ccf_abf*Inputs_Banks!$V16)*$CD$311</f>
        <v>0</v>
      </c>
      <c r="AU297" s="35" t="n">
        <f aca="false">p_sw_M10*Inputs_Banks!$AC16*$CD$312</f>
        <v>0</v>
      </c>
      <c r="AV297" s="35" t="n">
        <f aca="false">p_sw_M8*(Modules!$M16+Modules!$N16*IF(p_liq_on&gt;0,X297,p_htm_forced))</f>
        <v>4.143335</v>
      </c>
      <c r="AW297" s="35" t="n">
        <f aca="false">SUMPRODUCT(Holdings!$C16:$O16,Holdings!$C$32:$O$32,$AB$312:$AN$312)+Inputs_Banks!$P16*$AL$312</f>
        <v>3.32048302075058</v>
      </c>
      <c r="AX297" s="35" t="n">
        <f aca="false">Modules!$T16+AS297+AT297+AU297+AV297+AW297+AR297</f>
        <v>14.0669824688136</v>
      </c>
      <c r="AY297" s="35" t="n">
        <f aca="false">Modules!$U16-(1-p_tax)*AX297</f>
        <v>6.93301753118636</v>
      </c>
      <c r="AZ297" s="39" t="n">
        <f aca="false">AY297/Modules!$V16</f>
        <v>0.0334695551461126</v>
      </c>
      <c r="BA297" s="48" t="s">
        <v>635</v>
      </c>
      <c r="BB297" s="43" t="n">
        <f aca="false">INDEX($BJ$287:$BJ$320,BDC_EAD!$B16)</f>
        <v>0.412682242137413</v>
      </c>
      <c r="BC297" s="43" t="n">
        <f aca="false">INDEX($BK$287:$BK$320,BDC_EAD!$B16)</f>
        <v>0.0624886432334012</v>
      </c>
      <c r="BD297" s="22" t="n">
        <f aca="false">INDEX(BDC!$Q$6:$Q$39,BDC_EAD!$B16)</f>
        <v>0.274</v>
      </c>
      <c r="BE297" s="43" t="n">
        <f aca="false">BB297*(1-$AK$312)-BC297-p_c_liq</f>
        <v>0.114486589942176</v>
      </c>
      <c r="BF297" s="43" t="n">
        <f aca="false">p_phi*MAX(0,p_a_spv-BE297)/p_a_spv+(1-p_phi)*MAX(0,p_a_spv-BB297)/p_a_spv</f>
        <v>0.751248970883967</v>
      </c>
      <c r="BG297" s="43" t="n">
        <f aca="false">IF(BD297&gt;0,p_phi*MAX(0,BD297-BE297)/BD297+(1-p_phi)*MAX(0,BD297-BB297)/BD297,0)</f>
        <v>0.465732584110435</v>
      </c>
      <c r="BI297" s="12" t="str">
        <f aca="false">BDC!$A$16</f>
        <v>FSK</v>
      </c>
      <c r="BJ297" s="43" t="n">
        <f aca="false">1-((1-BDC!$D$16)*$CD$303+BDC!$D$16*$CD$304)-p_gap-$CD$293*(1-BDC!$M$16)</f>
        <v>0.329896338848212</v>
      </c>
      <c r="BK297" s="43" t="n">
        <f aca="false">(1-BDC!$D$16)*$CD$305+BDC!$D$16*$CD$306</f>
        <v>0.0624513829138554</v>
      </c>
      <c r="BL297" s="45" t="n">
        <f aca="false">BJ297/BDC!$K$16</f>
        <v>0.591718829997586</v>
      </c>
      <c r="BM297" s="35" t="n">
        <f aca="false">IF(BL297&lt;1.5,BDC!$C$16,0)</f>
        <v>11.42</v>
      </c>
      <c r="BN297" s="43" t="n">
        <f aca="false">MAX(0,1-BJ297*(1-CE_mig_hc)-p_bb_cush)*BDC!$Q$16</f>
        <v>0.113991293243687</v>
      </c>
      <c r="BO297" s="43" t="n">
        <f aca="false">MAX(0,BDC!$K$16-BJ297/1.5)</f>
        <v>0.337591231328331</v>
      </c>
      <c r="BP297" s="43" t="n">
        <f aca="false">MIN(MIN(1,BDC!$H$16*$CD$296),$CD$295)</f>
        <v>0</v>
      </c>
      <c r="BQ297" s="43" t="n">
        <f aca="false">BDC!$I$16*BDC!$J$16*BP297*(1-0.3)</f>
        <v>0</v>
      </c>
      <c r="BR297" s="45" t="n">
        <f aca="false">BDC!$C$16*($CD$294*MAX(BN297,BO297)+BQ297)</f>
        <v>3.85529186176954</v>
      </c>
      <c r="CC297" s="10" t="s">
        <v>983</v>
      </c>
      <c r="CD297" s="43" t="n">
        <f aca="false">p_pull_base+p_pull_pan*$CD$290</f>
        <v>1.25</v>
      </c>
    </row>
    <row r="298" customFormat="false" ht="15" hidden="false" customHeight="true" outlineLevel="0" collapsed="false">
      <c r="A298" s="10" t="s">
        <v>518</v>
      </c>
      <c r="B298" s="35" t="n">
        <f aca="false">AY258</f>
        <v>11.8616115947604</v>
      </c>
      <c r="C298" s="39" t="n">
        <f aca="false">AZ258</f>
        <v>0.0594960655409115</v>
      </c>
      <c r="D298" s="44" t="n">
        <f aca="false">IF(C298&lt;Inputs_Banks!$I17,1,0)</f>
        <v>1</v>
      </c>
      <c r="E298" s="44" t="n">
        <f aca="false">IF(C298&lt;0.045,1,0)</f>
        <v>0</v>
      </c>
      <c r="F298" s="44" t="n">
        <f aca="false">IF(B298&lt;0,1,0)</f>
        <v>0</v>
      </c>
      <c r="G298" s="44" t="n">
        <f aca="false">MIN(6,MIN(3,INT(MAX(0,Inputs_Banks!$BA17-C298)/p_notch_step))+D298+2*E298)</f>
        <v>2</v>
      </c>
      <c r="H298" s="39" t="n">
        <f aca="false">C298-Inputs_Banks!$I17</f>
        <v>-0.0105039344590885</v>
      </c>
      <c r="I298" s="44" t="n">
        <f aca="false">RANK(H298,$H$287:$H$310,1)</f>
        <v>24</v>
      </c>
      <c r="J298" s="44" t="n">
        <f aca="false">MAX(IF(I298&lt;=g_n_weak,1,0),E298)</f>
        <v>0</v>
      </c>
      <c r="K298" s="44" t="n">
        <f aca="false">IF(I298&gt;12,1,0)*(1-E298)</f>
        <v>1</v>
      </c>
      <c r="L298" s="35" t="n">
        <f aca="false">INDEX(Inputs_Banks!$AR17:$AX17,1,G298+1)</f>
        <v>0.11828</v>
      </c>
      <c r="M298" s="35" t="n">
        <f aca="false">Inputs_Banks!$AI17*MIN(1,p_u_base+$CD$290*p_u_pan_all+J298*($CD$290*p_u_pan_weak+p_u_mda*D298)+p_u_notch*G298+p_u_fail*E298)</f>
        <v>14.9638</v>
      </c>
      <c r="N298" s="35" t="n">
        <f aca="false">Inputs_Banks!$AK17*MIN(1,p_w_base+p_w_pan*$CD$290+p_w_notch*G298+0.5*D298+1*E298)</f>
        <v>0</v>
      </c>
      <c r="O298" s="35" t="n">
        <f aca="false">Inputs_Banks!$AO17*MIN(1,p_cp_base+p_cp_pan*$CD$290+p_cp_notch*G298)</f>
        <v>0</v>
      </c>
      <c r="P298" s="35" t="n">
        <f aca="false">Inputs_Banks!$AN17*(p_dh+p_dh_pan*$CD$290+MIN(1,0.5*$CD$297+0.25*G298))</f>
        <v>0.020748</v>
      </c>
      <c r="Q298" s="35" t="n">
        <f aca="false">Modules!$Y17</f>
        <v>9.4376065</v>
      </c>
      <c r="R298" s="35" t="n">
        <f aca="false">Inputs_Banks!$AJ17*K298</f>
        <v>173.427</v>
      </c>
      <c r="S298" s="35" t="n">
        <f aca="false">p_liq_on*$CD$298*SUM($M$287:$M$310)*R298/MAX(0.000000001,SUM($R$287:$R$310))</f>
        <v>35.9134013977626</v>
      </c>
      <c r="T298" s="35" t="n">
        <f aca="false">p_liq_on*(L298+M298+N298+O298+P298+Q298)</f>
        <v>24.5404345</v>
      </c>
      <c r="U298" s="35" t="n">
        <f aca="false">g_usable*Inputs_Banks!$AG17+p_cb_on*Inputs_Banks!$AQ17+S298</f>
        <v>101.442401397763</v>
      </c>
      <c r="V298" s="35" t="n">
        <f aca="false">MAX(0,T298-U298)</f>
        <v>0</v>
      </c>
      <c r="W298" s="44" t="n">
        <f aca="false">IF(V298&gt;0.9*Inputs_Banks!$BB17,1,0)</f>
        <v>0</v>
      </c>
      <c r="X298" s="43" t="n">
        <f aca="false">MAX(p_htm_forced,(1-p_cb_on)*MIN(1,T298/Inputs_Banks!$AG17)*g_theta_sell)</f>
        <v>0.103738732245519</v>
      </c>
      <c r="Y298" s="35" t="n">
        <f aca="false">MAX(0,Modules!$V17-B298/(Inputs_Banks!$I17+g_del_buf))</f>
        <v>41.2131787365274</v>
      </c>
      <c r="Z298" s="35" t="n">
        <f aca="false">MIN(g_del_cap*Inputs_Banks!$BB17,Y298)</f>
        <v>0.04</v>
      </c>
      <c r="AA298" s="35" t="n">
        <f aca="false">MIN(Inputs_Banks!$BB17,V298+Z298)</f>
        <v>0.04</v>
      </c>
      <c r="AB298" s="35" t="n">
        <f aca="false">$AA298*Holdings!Q17</f>
        <v>0</v>
      </c>
      <c r="AC298" s="35" t="n">
        <f aca="false">$AA298*Holdings!R17</f>
        <v>0</v>
      </c>
      <c r="AD298" s="35" t="n">
        <f aca="false">$AA298*Holdings!S17</f>
        <v>0</v>
      </c>
      <c r="AE298" s="35" t="n">
        <f aca="false">$AA298*Holdings!T17</f>
        <v>0.0025</v>
      </c>
      <c r="AF298" s="35" t="n">
        <f aca="false">$AA298*Holdings!U17</f>
        <v>0.0325</v>
      </c>
      <c r="AG298" s="35" t="n">
        <f aca="false">$AA298*Holdings!V17</f>
        <v>0</v>
      </c>
      <c r="AH298" s="35" t="n">
        <f aca="false">$AA298*Holdings!W17</f>
        <v>0</v>
      </c>
      <c r="AI298" s="35" t="n">
        <f aca="false">$AA298*Holdings!X17</f>
        <v>0</v>
      </c>
      <c r="AJ298" s="35" t="n">
        <f aca="false">$AA298*Holdings!Y17</f>
        <v>0.005</v>
      </c>
      <c r="AK298" s="35" t="n">
        <f aca="false">$AA298*Holdings!Z17</f>
        <v>0</v>
      </c>
      <c r="AL298" s="35" t="n">
        <f aca="false">$AA298*Holdings!AA17</f>
        <v>0</v>
      </c>
      <c r="AM298" s="35" t="n">
        <f aca="false">$AA298*Holdings!AB17</f>
        <v>0</v>
      </c>
      <c r="AN298" s="35" t="n">
        <f aca="false">$AA298*Holdings!AC17</f>
        <v>0</v>
      </c>
      <c r="AO298" s="43" t="n">
        <f aca="false">MIN(1,$CD$297+0.5*G298)</f>
        <v>1</v>
      </c>
      <c r="AP298" s="35" t="n">
        <f aca="false">p_liq_on*Inputs_Banks!$AP17*AO298*p_mb_psi</f>
        <v>0</v>
      </c>
      <c r="AQ298" s="44" t="n">
        <f aca="false">MAX(F298,E298,W298*(1-p_cb_on))</f>
        <v>0</v>
      </c>
      <c r="AR298" s="35" t="n">
        <f aca="false">p_ib_on*p_lgd_ib*g_s_in*g_u_ib*SUMPRODUCT(Network!N$6:N$29,$AQ$287:$AQ$310)</f>
        <v>0.21536570652345</v>
      </c>
      <c r="AS298" s="35" t="n">
        <f aca="false">p_sw_M1*(SUMPRODUCT(BDC_EAD!N$106:N$127,$BF$287:$BF$308)+SUMPRODUCT(BDC_EAD!N$131:N$152,$BG$287:$BG$308)+(Inputs_Banks!$Y17+p_ccf_bl*Inputs_Banks!$Z17)*$CD$310+Modules!$E17)</f>
        <v>2.93860692950688</v>
      </c>
      <c r="AT298" s="35" t="n">
        <f aca="false">p_sw_M3*(Inputs_Banks!$U17+p_ccf_abf*Inputs_Banks!$V17)*$CD$311</f>
        <v>0</v>
      </c>
      <c r="AU298" s="35" t="n">
        <f aca="false">p_sw_M10*Inputs_Banks!$AC17*$CD$312</f>
        <v>0</v>
      </c>
      <c r="AV298" s="35" t="n">
        <f aca="false">p_sw_M8*(Modules!$M17+Modules!$N17*IF(p_liq_on&gt;0,X298,p_htm_forced))</f>
        <v>0.326326261781778</v>
      </c>
      <c r="AW298" s="35" t="n">
        <f aca="false">SUMPRODUCT(Holdings!$C17:$O17,Holdings!$C$32:$O$32,$AB$312:$AN$312)+Inputs_Banks!$P17*$AL$312</f>
        <v>0.0407895074274526</v>
      </c>
      <c r="AX298" s="35" t="n">
        <f aca="false">Modules!$T17+AS298+AT298+AU298+AV298+AW298+AR298</f>
        <v>8.02338840523956</v>
      </c>
      <c r="AY298" s="35" t="n">
        <f aca="false">Modules!$U17-(1-p_tax)*AX298</f>
        <v>11.8616115947604</v>
      </c>
      <c r="AZ298" s="39" t="n">
        <f aca="false">AY298/Modules!$V17</f>
        <v>0.0594960655409115</v>
      </c>
      <c r="BA298" s="48" t="s">
        <v>651</v>
      </c>
      <c r="BB298" s="43" t="n">
        <f aca="false">INDEX($BJ$287:$BJ$320,BDC_EAD!$B17)</f>
        <v>0.49422228775433</v>
      </c>
      <c r="BC298" s="43" t="n">
        <f aca="false">INDEX($BK$287:$BK$320,BDC_EAD!$B17)</f>
        <v>0.0568250746624368</v>
      </c>
      <c r="BD298" s="22" t="n">
        <f aca="false">INDEX(BDC!$Q$6:$Q$39,BDC_EAD!$B17)</f>
        <v>0.253694581280788</v>
      </c>
      <c r="BE298" s="43" t="n">
        <f aca="false">BB298*(1-$AK$312)-BC298-p_c_liq</f>
        <v>0.164997183602445</v>
      </c>
      <c r="BF298" s="43" t="n">
        <f aca="false">p_phi*MAX(0,p_a_spv-BE298)/p_a_spv+(1-p_phi)*MAX(0,p_a_spv-BB298)/p_a_spv</f>
        <v>0.670225422238826</v>
      </c>
      <c r="BG298" s="43" t="n">
        <f aca="false">IF(BD298&gt;0,p_phi*MAX(0,BD298-BE298)/BD298+(1-p_phi)*MAX(0,BD298-BB298)/BD298,0)</f>
        <v>0.279698201610932</v>
      </c>
      <c r="BI298" s="12" t="str">
        <f aca="false">BDC!$A$17</f>
        <v>GCRED</v>
      </c>
      <c r="BJ298" s="43" t="n">
        <f aca="false">1-((1-BDC!$D$17)*$CD$303+BDC!$D$17*$CD$304)-p_gap-$CD$293*(1-BDC!$M$17)</f>
        <v>0.405048197461641</v>
      </c>
      <c r="BK298" s="43" t="n">
        <f aca="false">(1-BDC!$D$17)*$CD$305+BDC!$D$17*$CD$306</f>
        <v>0.0612217923688434</v>
      </c>
      <c r="BL298" s="45" t="n">
        <f aca="false">BJ298/BDC!$K$17</f>
        <v>0.757264021341329</v>
      </c>
      <c r="BM298" s="35" t="n">
        <f aca="false">IF(BL298&lt;1.5,BDC!$C$17,0)</f>
        <v>9.62</v>
      </c>
      <c r="BN298" s="43" t="n">
        <f aca="false">MAX(0,1-BJ298*(1-CE_mig_hc)-p_bb_cush)*BDC!$Q$17</f>
        <v>0.180836754320013</v>
      </c>
      <c r="BO298" s="43" t="n">
        <f aca="false">MAX(0,BDC!$K$17-BJ298/1.5)</f>
        <v>0.264851589289138</v>
      </c>
      <c r="BP298" s="43" t="n">
        <f aca="false">MIN(MIN(1,BDC!$H$17*$CD$296),$CD$295)</f>
        <v>0.15</v>
      </c>
      <c r="BQ298" s="43" t="n">
        <f aca="false">BDC!$I$17*BDC!$J$17*BP298*(1-0.3)</f>
        <v>0.0488372093023256</v>
      </c>
      <c r="BR298" s="45" t="n">
        <f aca="false">BDC!$C$17*($CD$294*MAX(BN298,BO298)+BQ298)</f>
        <v>3.01768624244988</v>
      </c>
      <c r="CC298" s="10" t="s">
        <v>984</v>
      </c>
      <c r="CD298" s="43" t="n">
        <f aca="false">p_recyc*(1-p_rec_pan*$CD$290)</f>
        <v>0.225</v>
      </c>
    </row>
    <row r="299" customFormat="false" ht="15" hidden="false" customHeight="true" outlineLevel="0" collapsed="false">
      <c r="A299" s="10" t="s">
        <v>520</v>
      </c>
      <c r="B299" s="35" t="n">
        <f aca="false">AY259</f>
        <v>7.58803884672162</v>
      </c>
      <c r="C299" s="39" t="n">
        <f aca="false">AZ259</f>
        <v>0.0396275346594056</v>
      </c>
      <c r="D299" s="44" t="n">
        <f aca="false">IF(C299&lt;Inputs_Banks!$I18,1,0)</f>
        <v>1</v>
      </c>
      <c r="E299" s="44" t="n">
        <f aca="false">IF(C299&lt;0.045,1,0)</f>
        <v>1</v>
      </c>
      <c r="F299" s="44" t="n">
        <f aca="false">IF(B299&lt;0,1,0)</f>
        <v>0</v>
      </c>
      <c r="G299" s="44" t="n">
        <f aca="false">MIN(6,MIN(3,INT(MAX(0,Inputs_Banks!$BA18-C299)/p_notch_step))+D299+2*E299)</f>
        <v>5</v>
      </c>
      <c r="H299" s="39" t="n">
        <f aca="false">C299-Inputs_Banks!$I18</f>
        <v>-0.0503724653405944</v>
      </c>
      <c r="I299" s="44" t="n">
        <f aca="false">RANK(H299,$H$287:$H$310,1)</f>
        <v>17</v>
      </c>
      <c r="J299" s="44" t="n">
        <f aca="false">MAX(IF(I299&lt;=g_n_weak,1,0),E299)</f>
        <v>1</v>
      </c>
      <c r="K299" s="44" t="n">
        <f aca="false">IF(I299&gt;12,1,0)*(1-E299)</f>
        <v>0</v>
      </c>
      <c r="L299" s="35" t="n">
        <f aca="false">INDEX(Inputs_Banks!$AR18:$AX18,1,G299+1)</f>
        <v>0.2565</v>
      </c>
      <c r="M299" s="35" t="n">
        <f aca="false">Inputs_Banks!$AI18*MIN(1,p_u_base+$CD$290*p_u_pan_all+J299*($CD$290*p_u_pan_weak+p_u_mda*D299)+p_u_notch*G299+p_u_fail*E299)</f>
        <v>80.6553</v>
      </c>
      <c r="N299" s="35" t="n">
        <f aca="false">Inputs_Banks!$AK18*MIN(1,p_w_base+p_w_pan*$CD$290+p_w_notch*G299+0.5*D299+1*E299)</f>
        <v>1.159</v>
      </c>
      <c r="O299" s="35" t="n">
        <f aca="false">Inputs_Banks!$AO18*MIN(1,p_cp_base+p_cp_pan*$CD$290+p_cp_notch*G299)</f>
        <v>0</v>
      </c>
      <c r="P299" s="35" t="n">
        <f aca="false">Inputs_Banks!$AN18*(p_dh+p_dh_pan*$CD$290+MIN(1,0.5*$CD$297+0.25*G299))</f>
        <v>0</v>
      </c>
      <c r="Q299" s="35" t="n">
        <f aca="false">Modules!$Y18</f>
        <v>9.1258367</v>
      </c>
      <c r="R299" s="35" t="n">
        <f aca="false">Inputs_Banks!$AJ18*K299</f>
        <v>0</v>
      </c>
      <c r="S299" s="35" t="n">
        <f aca="false">p_liq_on*$CD$298*SUM($M$287:$M$310)*R299/MAX(0.000000001,SUM($R$287:$R$310))</f>
        <v>0</v>
      </c>
      <c r="T299" s="35" t="n">
        <f aca="false">p_liq_on*(L299+M299+N299+O299+P299+Q299)</f>
        <v>91.1966367</v>
      </c>
      <c r="U299" s="35" t="n">
        <f aca="false">g_usable*Inputs_Banks!$AG18+p_cb_on*Inputs_Banks!$AQ18+S299</f>
        <v>82.755</v>
      </c>
      <c r="V299" s="35" t="n">
        <f aca="false">MAX(0,T299-U299)</f>
        <v>8.44163670000003</v>
      </c>
      <c r="W299" s="44" t="n">
        <f aca="false">IF(V299&gt;0.9*Inputs_Banks!$BB18,1,0)</f>
        <v>1</v>
      </c>
      <c r="X299" s="43" t="n">
        <f aca="false">MAX(p_htm_forced,(1-p_cb_on)*MIN(1,T299/Inputs_Banks!$AG18)*g_theta_sell)</f>
        <v>0.25</v>
      </c>
      <c r="Y299" s="35" t="n">
        <f aca="false">MAX(0,Modules!$V18-B299/(Inputs_Banks!$I18+g_del_buf))</f>
        <v>111.609906876615</v>
      </c>
      <c r="Z299" s="35" t="n">
        <f aca="false">MIN(g_del_cap*Inputs_Banks!$BB18,Y299)</f>
        <v>0.1825</v>
      </c>
      <c r="AA299" s="35" t="n">
        <f aca="false">MIN(Inputs_Banks!$BB18,V299+Z299)</f>
        <v>0.73</v>
      </c>
      <c r="AB299" s="35" t="n">
        <f aca="false">$AA299*Holdings!Q18</f>
        <v>0</v>
      </c>
      <c r="AC299" s="35" t="n">
        <f aca="false">$AA299*Holdings!R18</f>
        <v>0</v>
      </c>
      <c r="AD299" s="35" t="n">
        <f aca="false">$AA299*Holdings!S18</f>
        <v>0</v>
      </c>
      <c r="AE299" s="35" t="n">
        <f aca="false">$AA299*Holdings!T18</f>
        <v>0</v>
      </c>
      <c r="AF299" s="35" t="n">
        <f aca="false">$AA299*Holdings!U18</f>
        <v>0</v>
      </c>
      <c r="AG299" s="35" t="n">
        <f aca="false">$AA299*Holdings!V18</f>
        <v>0</v>
      </c>
      <c r="AH299" s="35" t="n">
        <f aca="false">$AA299*Holdings!W18</f>
        <v>0.15</v>
      </c>
      <c r="AI299" s="35" t="n">
        <f aca="false">$AA299*Holdings!X18</f>
        <v>0.04</v>
      </c>
      <c r="AJ299" s="35" t="n">
        <f aca="false">$AA299*Holdings!Y18</f>
        <v>0.54</v>
      </c>
      <c r="AK299" s="35" t="n">
        <f aca="false">$AA299*Holdings!Z18</f>
        <v>0</v>
      </c>
      <c r="AL299" s="35" t="n">
        <f aca="false">$AA299*Holdings!AA18</f>
        <v>0</v>
      </c>
      <c r="AM299" s="35" t="n">
        <f aca="false">$AA299*Holdings!AB18</f>
        <v>0</v>
      </c>
      <c r="AN299" s="35" t="n">
        <f aca="false">$AA299*Holdings!AC18</f>
        <v>0</v>
      </c>
      <c r="AO299" s="43" t="n">
        <f aca="false">MIN(1,$CD$297+0.5*G299)</f>
        <v>1</v>
      </c>
      <c r="AP299" s="35" t="n">
        <f aca="false">p_liq_on*Inputs_Banks!$AP18*AO299*p_mb_psi</f>
        <v>0</v>
      </c>
      <c r="AQ299" s="44" t="n">
        <f aca="false">MAX(F299,E299,W299*(1-p_cb_on))</f>
        <v>1</v>
      </c>
      <c r="AR299" s="35" t="n">
        <f aca="false">p_ib_on*p_lgd_ib*g_s_in*g_u_ib*SUMPRODUCT(Network!O$6:O$29,$AQ$287:$AQ$310)</f>
        <v>0.211388228855768</v>
      </c>
      <c r="AS299" s="35" t="n">
        <f aca="false">p_sw_M1*(SUMPRODUCT(BDC_EAD!O$106:O$127,$BF$287:$BF$308)+SUMPRODUCT(BDC_EAD!O$131:O$152,$BG$287:$BG$308)+(Inputs_Banks!$Y18+p_ccf_bl*Inputs_Banks!$Z18)*$CD$310+Modules!$E18)</f>
        <v>7.14534260130844</v>
      </c>
      <c r="AT299" s="35" t="n">
        <f aca="false">p_sw_M3*(Inputs_Banks!$U18+p_ccf_abf*Inputs_Banks!$V18)*$CD$311</f>
        <v>0</v>
      </c>
      <c r="AU299" s="35" t="n">
        <f aca="false">p_sw_M10*Inputs_Banks!$AC18*$CD$312</f>
        <v>0</v>
      </c>
      <c r="AV299" s="35" t="n">
        <f aca="false">p_sw_M8*(Modules!$M18+Modules!$N18*IF(p_liq_on&gt;0,X299,p_htm_forced))</f>
        <v>0.93737</v>
      </c>
      <c r="AW299" s="35" t="n">
        <f aca="false">SUMPRODUCT(Holdings!$C18:$O18,Holdings!$C$32:$O$32,$AB$312:$AN$312)+Inputs_Banks!$P18*$AL$312</f>
        <v>0.18056032311418</v>
      </c>
      <c r="AX299" s="35" t="n">
        <f aca="false">Modules!$T18+AS299+AT299+AU299+AV299+AW299+AR299</f>
        <v>11.1119611532784</v>
      </c>
      <c r="AY299" s="35" t="n">
        <f aca="false">Modules!$U18-(1-p_tax)*AX299</f>
        <v>7.58803884672162</v>
      </c>
      <c r="AZ299" s="39" t="n">
        <f aca="false">AY299/Modules!$V18</f>
        <v>0.0396275346594056</v>
      </c>
      <c r="BA299" s="48" t="s">
        <v>648</v>
      </c>
      <c r="BB299" s="43" t="n">
        <f aca="false">INDEX($BJ$287:$BJ$320,BDC_EAD!$B18)</f>
        <v>0.556417298789294</v>
      </c>
      <c r="BC299" s="43" t="n">
        <f aca="false">INDEX($BK$287:$BK$320,BDC_EAD!$B18)</f>
        <v>0.0671461831766286</v>
      </c>
      <c r="BD299" s="22" t="n">
        <f aca="false">INDEX(BDC!$Q$6:$Q$39,BDC_EAD!$B18)</f>
        <v>0.103555555555556</v>
      </c>
      <c r="BE299" s="43" t="n">
        <f aca="false">BB299*(1-$AK$312)-BC299-p_c_liq</f>
        <v>0.188883331157483</v>
      </c>
      <c r="BF299" s="43" t="n">
        <f aca="false">p_phi*MAX(0,p_a_spv-BE299)/p_a_spv+(1-p_phi)*MAX(0,p_a_spv-BB299)/p_a_spv</f>
        <v>0.625156964737364</v>
      </c>
      <c r="BG299" s="43" t="n">
        <f aca="false">IF(BD299&gt;0,p_phi*MAX(0,BD299-BE299)/BD299+(1-p_phi)*MAX(0,BD299-BB299)/BD299,0)</f>
        <v>0</v>
      </c>
      <c r="BI299" s="12" t="str">
        <f aca="false">BDC!$A$18</f>
        <v>SSLP</v>
      </c>
      <c r="BJ299" s="43" t="n">
        <f aca="false">1-((1-BDC!$D$18)*$CD$303+BDC!$D$18*$CD$304)-p_gap-$CD$293*(1-BDC!$M$18)</f>
        <v>0.432216415278359</v>
      </c>
      <c r="BK299" s="43" t="n">
        <f aca="false">(1-BDC!$D$18)*$CD$305+BDC!$D$18*$CD$306</f>
        <v>0.0657302910338875</v>
      </c>
      <c r="BL299" s="45" t="n">
        <f aca="false">BJ299/BDC!$K$18</f>
        <v>0.90717950899084</v>
      </c>
      <c r="BM299" s="35" t="n">
        <f aca="false">IF(BL299&lt;1.5,BDC!$C$18,0)</f>
        <v>8.65</v>
      </c>
      <c r="BN299" s="43" t="n">
        <f aca="false">MAX(0,1-BJ299*(1-CE_mig_hc)-p_bb_cush)*BDC!$Q$18</f>
        <v>0.139067200512426</v>
      </c>
      <c r="BO299" s="43" t="n">
        <f aca="false">MAX(0,BDC!$K$18-BJ299/1.5)</f>
        <v>0.188295513723677</v>
      </c>
      <c r="BP299" s="43" t="n">
        <f aca="false">MIN(MIN(1,BDC!$H$18*$CD$296),$CD$295)</f>
        <v>0</v>
      </c>
      <c r="BQ299" s="43" t="n">
        <f aca="false">BDC!$I$18*BDC!$J$18*BP299*(1-0.3)</f>
        <v>0</v>
      </c>
      <c r="BR299" s="45" t="n">
        <f aca="false">BDC!$C$18*($CD$294*MAX(BN299,BO299)+BQ299)</f>
        <v>1.62875619370981</v>
      </c>
      <c r="CC299" s="10" t="s">
        <v>985</v>
      </c>
      <c r="CD299" s="45" t="n">
        <f aca="false">p_dealer_mult*(1+p_dm_pan*$CD$290)</f>
        <v>10</v>
      </c>
    </row>
    <row r="300" customFormat="false" ht="15" hidden="false" customHeight="true" outlineLevel="0" collapsed="false">
      <c r="A300" s="10" t="s">
        <v>522</v>
      </c>
      <c r="B300" s="35" t="n">
        <f aca="false">AY260</f>
        <v>-11.0481129610457</v>
      </c>
      <c r="C300" s="39" t="n">
        <f aca="false">AZ260</f>
        <v>-0.0211494340470956</v>
      </c>
      <c r="D300" s="44" t="n">
        <f aca="false">IF(C300&lt;Inputs_Banks!$I19,1,0)</f>
        <v>1</v>
      </c>
      <c r="E300" s="44" t="n">
        <f aca="false">IF(C300&lt;0.045,1,0)</f>
        <v>1</v>
      </c>
      <c r="F300" s="44" t="n">
        <f aca="false">IF(B300&lt;0,1,0)</f>
        <v>1</v>
      </c>
      <c r="G300" s="44" t="n">
        <f aca="false">MIN(6,MIN(3,INT(MAX(0,Inputs_Banks!$BA19-C300)/p_notch_step))+D300+2*E300)</f>
        <v>6</v>
      </c>
      <c r="H300" s="39" t="n">
        <f aca="false">C300-Inputs_Banks!$I19</f>
        <v>-0.143149434047096</v>
      </c>
      <c r="I300" s="44" t="n">
        <f aca="false">RANK(H300,$H$287:$H$310,1)</f>
        <v>2</v>
      </c>
      <c r="J300" s="44" t="n">
        <f aca="false">MAX(IF(I300&lt;=g_n_weak,1,0),E300)</f>
        <v>1</v>
      </c>
      <c r="K300" s="44" t="n">
        <f aca="false">IF(I300&gt;12,1,0)*(1-E300)</f>
        <v>0</v>
      </c>
      <c r="L300" s="35" t="n">
        <f aca="false">INDEX(Inputs_Banks!$AR19:$AX19,1,G300+1)</f>
        <v>14.916375</v>
      </c>
      <c r="M300" s="35" t="n">
        <f aca="false">Inputs_Banks!$AI19*MIN(1,p_u_base+$CD$290*p_u_pan_all+J300*($CD$290*p_u_pan_weak+p_u_mda*D300)+p_u_notch*G300+p_u_fail*E300)</f>
        <v>333.3485112849</v>
      </c>
      <c r="N300" s="35" t="n">
        <f aca="false">Inputs_Banks!$AK19*MIN(1,p_w_base+p_w_pan*$CD$290+p_w_notch*G300+0.5*D300+1*E300)</f>
        <v>103.81797</v>
      </c>
      <c r="O300" s="35" t="n">
        <f aca="false">Inputs_Banks!$AO19*MIN(1,p_cp_base+p_cp_pan*$CD$290+p_cp_notch*G300)</f>
        <v>30.26</v>
      </c>
      <c r="P300" s="35" t="n">
        <f aca="false">Inputs_Banks!$AN19*(p_dh+p_dh_pan*$CD$290+MIN(1,0.5*$CD$297+0.25*G300))</f>
        <v>159.617894592383</v>
      </c>
      <c r="Q300" s="35" t="n">
        <f aca="false">Modules!$Y19</f>
        <v>26.8418486</v>
      </c>
      <c r="R300" s="35" t="n">
        <f aca="false">Inputs_Banks!$AJ19*K300</f>
        <v>0</v>
      </c>
      <c r="S300" s="35" t="n">
        <f aca="false">p_liq_on*$CD$298*SUM($M$287:$M$310)*R300/MAX(0.000000001,SUM($R$287:$R$310))</f>
        <v>0</v>
      </c>
      <c r="T300" s="35" t="n">
        <f aca="false">p_liq_on*(L300+M300+N300+O300+P300+Q300)</f>
        <v>668.802599477283</v>
      </c>
      <c r="U300" s="35" t="n">
        <f aca="false">g_usable*Inputs_Banks!$AG19+p_cb_on*Inputs_Banks!$AQ19+S300</f>
        <v>591.841983</v>
      </c>
      <c r="V300" s="35" t="n">
        <f aca="false">MAX(0,T300-U300)</f>
        <v>76.9606164772833</v>
      </c>
      <c r="W300" s="44" t="n">
        <f aca="false">IF(V300&gt;0.9*Inputs_Banks!$BB19,1,0)</f>
        <v>0</v>
      </c>
      <c r="X300" s="43" t="n">
        <f aca="false">MAX(p_htm_forced,(1-p_cb_on)*MIN(1,T300/Inputs_Banks!$AG19)*g_theta_sell)</f>
        <v>0.25</v>
      </c>
      <c r="Y300" s="35" t="n">
        <f aca="false">MAX(0,Modules!$V19-B300/(Inputs_Banks!$I19+g_del_buf))</f>
        <v>609.376401041305</v>
      </c>
      <c r="Z300" s="35" t="n">
        <f aca="false">MIN(g_del_cap*Inputs_Banks!$BB19,Y300)</f>
        <v>55.795</v>
      </c>
      <c r="AA300" s="35" t="n">
        <f aca="false">MIN(Inputs_Banks!$BB19,V300+Z300)</f>
        <v>132.755616477283</v>
      </c>
      <c r="AB300" s="35" t="n">
        <f aca="false">$AA300*Holdings!Q19</f>
        <v>0</v>
      </c>
      <c r="AC300" s="35" t="n">
        <f aca="false">$AA300*Holdings!R19</f>
        <v>0</v>
      </c>
      <c r="AD300" s="35" t="n">
        <f aca="false">$AA300*Holdings!S19</f>
        <v>0</v>
      </c>
      <c r="AE300" s="35" t="n">
        <f aca="false">$AA300*Holdings!T19</f>
        <v>0</v>
      </c>
      <c r="AF300" s="35" t="n">
        <f aca="false">$AA300*Holdings!U19</f>
        <v>35.993558352184</v>
      </c>
      <c r="AG300" s="35" t="n">
        <f aca="false">$AA300*Holdings!V19</f>
        <v>0</v>
      </c>
      <c r="AH300" s="35" t="n">
        <f aca="false">$AA300*Holdings!W19</f>
        <v>9.66014522623479</v>
      </c>
      <c r="AI300" s="35" t="n">
        <f aca="false">$AA300*Holdings!X19</f>
        <v>0</v>
      </c>
      <c r="AJ300" s="35" t="n">
        <f aca="false">$AA300*Holdings!Y19</f>
        <v>21.2832509972094</v>
      </c>
      <c r="AK300" s="35" t="n">
        <f aca="false">$AA300*Holdings!Z19</f>
        <v>0</v>
      </c>
      <c r="AL300" s="35" t="n">
        <f aca="false">$AA300*Holdings!AA19</f>
        <v>65.6521076736167</v>
      </c>
      <c r="AM300" s="35" t="n">
        <f aca="false">$AA300*Holdings!AB19</f>
        <v>0</v>
      </c>
      <c r="AN300" s="35" t="n">
        <f aca="false">$AA300*Holdings!AC19</f>
        <v>0.166554228038531</v>
      </c>
      <c r="AO300" s="43" t="n">
        <f aca="false">MIN(1,$CD$297+0.5*G300)</f>
        <v>1</v>
      </c>
      <c r="AP300" s="35" t="n">
        <f aca="false">p_liq_on*Inputs_Banks!$AP19*AO300*p_mb_psi</f>
        <v>1.692</v>
      </c>
      <c r="AQ300" s="44" t="n">
        <f aca="false">MAX(F300,E300,W300*(1-p_cb_on))</f>
        <v>1</v>
      </c>
      <c r="AR300" s="35" t="n">
        <f aca="false">p_ib_on*p_lgd_ib*g_s_in*g_u_ib*SUMPRODUCT(Network!P$6:P$29,$AQ$287:$AQ$310)</f>
        <v>7.22507743441053</v>
      </c>
      <c r="AS300" s="35" t="n">
        <f aca="false">p_sw_M1*(SUMPRODUCT(BDC_EAD!P$106:P$127,$BF$287:$BF$308)+SUMPRODUCT(BDC_EAD!P$131:P$152,$BG$287:$BG$308)+(Inputs_Banks!$Y19+p_ccf_bl*Inputs_Banks!$Z19)*$CD$310+Modules!$E19)</f>
        <v>20.643374291426</v>
      </c>
      <c r="AT300" s="35" t="n">
        <f aca="false">p_sw_M3*(Inputs_Banks!$U19+p_ccf_abf*Inputs_Banks!$V19)*$CD$311</f>
        <v>14.3395683697332</v>
      </c>
      <c r="AU300" s="35" t="n">
        <f aca="false">p_sw_M10*Inputs_Banks!$AC19*$CD$312</f>
        <v>0</v>
      </c>
      <c r="AV300" s="35" t="n">
        <f aca="false">p_sw_M8*(Modules!$M19+Modules!$N19*IF(p_liq_on&gt;0,X300,p_htm_forced))</f>
        <v>2.742</v>
      </c>
      <c r="AW300" s="35" t="n">
        <f aca="false">SUMPRODUCT(Holdings!$C19:$O19,Holdings!$C$32:$O$32,$AB$312:$AN$312)+Inputs_Banks!$P19*$AL$312</f>
        <v>16.082128119204</v>
      </c>
      <c r="AX300" s="35" t="n">
        <f aca="false">Modules!$T19+AS300+AT300+AU300+AV300+AW300+AR300</f>
        <v>80.2600929610457</v>
      </c>
      <c r="AY300" s="35" t="n">
        <f aca="false">Modules!$U19-(1-p_tax)*AX300</f>
        <v>-11.0481129610457</v>
      </c>
      <c r="AZ300" s="39" t="n">
        <f aca="false">AY300/Modules!$V19</f>
        <v>-0.0211494340470956</v>
      </c>
      <c r="BA300" s="48" t="s">
        <v>652</v>
      </c>
      <c r="BB300" s="43" t="n">
        <f aca="false">INDEX($BJ$287:$BJ$320,BDC_EAD!$B19)</f>
        <v>0.363449670124075</v>
      </c>
      <c r="BC300" s="43" t="n">
        <f aca="false">INDEX($BK$287:$BK$320,BDC_EAD!$B19)</f>
        <v>0.0611472717297517</v>
      </c>
      <c r="BD300" s="22" t="n">
        <f aca="false">INDEX(BDC!$Q$6:$Q$39,BDC_EAD!$B19)</f>
        <v>0.238909090909091</v>
      </c>
      <c r="BE300" s="43" t="n">
        <f aca="false">BB300*(1-$AK$312)-BC300-p_c_liq</f>
        <v>0.0887500468384897</v>
      </c>
      <c r="BF300" s="43" t="n">
        <f aca="false">p_phi*MAX(0,p_a_spv-BE300)/p_a_spv+(1-p_phi)*MAX(0,p_a_spv-BB300)/p_a_spv</f>
        <v>0.794728612149133</v>
      </c>
      <c r="BG300" s="43" t="n">
        <f aca="false">IF(BD300&gt;0,p_phi*MAX(0,BD300-BE300)/BD300+(1-p_phi)*MAX(0,BD300-BB300)/BD300,0)</f>
        <v>0.502815672686945</v>
      </c>
      <c r="BI300" s="12" t="str">
        <f aca="false">BDC!$A$19</f>
        <v>GBDC</v>
      </c>
      <c r="BJ300" s="43" t="n">
        <f aca="false">1-((1-BDC!$D$19)*$CD$303+BDC!$D$19*$CD$304)-p_gap-$CD$293*(1-BDC!$M$19)</f>
        <v>0.440432081141748</v>
      </c>
      <c r="BK300" s="43" t="n">
        <f aca="false">(1-BDC!$D$19)*$CD$305+BDC!$D$19*$CD$306</f>
        <v>0.0593587763915524</v>
      </c>
      <c r="BL300" s="45" t="n">
        <f aca="false">BJ300/BDC!$K$19</f>
        <v>0.798506943858616</v>
      </c>
      <c r="BM300" s="35" t="n">
        <f aca="false">IF(BL300&lt;1.5,BDC!$C$19,0)</f>
        <v>8.2</v>
      </c>
      <c r="BN300" s="43" t="n">
        <f aca="false">MAX(0,1-BJ300*(1-CE_mig_hc)-p_bb_cush)*BDC!$Q$19</f>
        <v>0.115814435932283</v>
      </c>
      <c r="BO300" s="43" t="n">
        <f aca="false">MAX(0,BDC!$K$19-BJ300/1.5)</f>
        <v>0.257948119298626</v>
      </c>
      <c r="BP300" s="43" t="n">
        <f aca="false">MIN(MIN(1,BDC!$H$19*$CD$296),$CD$295)</f>
        <v>0</v>
      </c>
      <c r="BQ300" s="43" t="n">
        <f aca="false">BDC!$I$19*BDC!$J$19*BP300*(1-0.3)</f>
        <v>0</v>
      </c>
      <c r="BR300" s="45" t="n">
        <f aca="false">BDC!$C$19*($CD$294*MAX(BN300,BO300)+BQ300)</f>
        <v>2.11517457824873</v>
      </c>
      <c r="CC300" s="10" t="s">
        <v>871</v>
      </c>
      <c r="CD300" s="35" t="n">
        <f aca="false">MIN(1,p_ins_run+p_ins_pan*$CD$290)*(g_fabr+g_fabn_6m)</f>
        <v>47.3</v>
      </c>
    </row>
    <row r="301" customFormat="false" ht="15" hidden="false" customHeight="true" outlineLevel="0" collapsed="false">
      <c r="A301" s="10" t="s">
        <v>525</v>
      </c>
      <c r="B301" s="35" t="n">
        <f aca="false">AY261</f>
        <v>73.9341946596885</v>
      </c>
      <c r="C301" s="39" t="n">
        <f aca="false">AZ261</f>
        <v>0.0755269060545672</v>
      </c>
      <c r="D301" s="44" t="n">
        <f aca="false">IF(C301&lt;Inputs_Banks!$I20,1,0)</f>
        <v>1</v>
      </c>
      <c r="E301" s="44" t="n">
        <f aca="false">IF(C301&lt;0.045,1,0)</f>
        <v>0</v>
      </c>
      <c r="F301" s="44" t="n">
        <f aca="false">IF(B301&lt;0,1,0)</f>
        <v>0</v>
      </c>
      <c r="G301" s="44" t="n">
        <f aca="false">MIN(6,MIN(3,INT(MAX(0,Inputs_Banks!$BA20-C301)/p_notch_step))+D301+2*E301)</f>
        <v>3</v>
      </c>
      <c r="H301" s="39" t="n">
        <f aca="false">C301-Inputs_Banks!$I20</f>
        <v>-0.0364730939454328</v>
      </c>
      <c r="I301" s="44" t="n">
        <f aca="false">RANK(H301,$H$287:$H$310,1)</f>
        <v>18</v>
      </c>
      <c r="J301" s="44" t="n">
        <f aca="false">MAX(IF(I301&lt;=g_n_weak,1,0),E301)</f>
        <v>0</v>
      </c>
      <c r="K301" s="44" t="n">
        <f aca="false">IF(I301&gt;12,1,0)*(1-E301)</f>
        <v>1</v>
      </c>
      <c r="L301" s="35" t="n">
        <f aca="false">INDEX(Inputs_Banks!$AR20:$AX20,1,G301+1)</f>
        <v>0.18</v>
      </c>
      <c r="M301" s="35" t="n">
        <f aca="false">Inputs_Banks!$AI20*MIN(1,p_u_base+$CD$290*p_u_pan_all+J301*($CD$290*p_u_pan_weak+p_u_mda*D301)+p_u_notch*G301+p_u_fail*E301)</f>
        <v>256.5027</v>
      </c>
      <c r="N301" s="35" t="n">
        <f aca="false">Inputs_Banks!$AK20*MIN(1,p_w_base+p_w_pan*$CD$290+p_w_notch*G301+0.5*D301+1*E301)</f>
        <v>0</v>
      </c>
      <c r="O301" s="35" t="n">
        <f aca="false">Inputs_Banks!$AO20*MIN(1,p_cp_base+p_cp_pan*$CD$290+p_cp_notch*G301)</f>
        <v>0</v>
      </c>
      <c r="P301" s="35" t="n">
        <f aca="false">Inputs_Banks!$AN20*(p_dh+p_dh_pan*$CD$290+MIN(1,0.5*$CD$297+0.25*G301))</f>
        <v>143.147499934354</v>
      </c>
      <c r="Q301" s="35" t="n">
        <f aca="false">Modules!$Y20</f>
        <v>5.4922829</v>
      </c>
      <c r="R301" s="35" t="n">
        <f aca="false">Inputs_Banks!$AJ20*K301</f>
        <v>1919.104</v>
      </c>
      <c r="S301" s="35" t="n">
        <f aca="false">p_liq_on*$CD$298*SUM($M$287:$M$310)*R301/MAX(0.000000001,SUM($R$287:$R$310))</f>
        <v>397.409586027849</v>
      </c>
      <c r="T301" s="35" t="n">
        <f aca="false">p_liq_on*(L301+M301+N301+O301+P301+Q301)</f>
        <v>405.322482834355</v>
      </c>
      <c r="U301" s="35" t="n">
        <f aca="false">g_usable*Inputs_Banks!$AG20+p_cb_on*Inputs_Banks!$AQ20+S301</f>
        <v>1182.44548602785</v>
      </c>
      <c r="V301" s="35" t="n">
        <f aca="false">MAX(0,T301-U301)</f>
        <v>0</v>
      </c>
      <c r="W301" s="44" t="n">
        <f aca="false">IF(V301&gt;0.9*Inputs_Banks!$BB20,1,0)</f>
        <v>0</v>
      </c>
      <c r="X301" s="43" t="n">
        <f aca="false">MAX(p_htm_forced,(1-p_cb_on)*MIN(1,T301/Inputs_Banks!$AG20)*g_theta_sell)</f>
        <v>0.14198545923753</v>
      </c>
      <c r="Y301" s="35" t="n">
        <f aca="false">MAX(0,Modules!$V20-B301/(Inputs_Banks!$I20+g_del_buf))</f>
        <v>346.995806327449</v>
      </c>
      <c r="Z301" s="35" t="n">
        <f aca="false">MIN(g_del_cap*Inputs_Banks!$BB20,Y301)</f>
        <v>81.9675</v>
      </c>
      <c r="AA301" s="35" t="n">
        <f aca="false">MIN(Inputs_Banks!$BB20,V301+Z301)</f>
        <v>81.9675</v>
      </c>
      <c r="AB301" s="35" t="n">
        <f aca="false">$AA301*Holdings!Q20</f>
        <v>0</v>
      </c>
      <c r="AC301" s="35" t="n">
        <f aca="false">$AA301*Holdings!R20</f>
        <v>0</v>
      </c>
      <c r="AD301" s="35" t="n">
        <f aca="false">$AA301*Holdings!S20</f>
        <v>0</v>
      </c>
      <c r="AE301" s="35" t="n">
        <f aca="false">$AA301*Holdings!T20</f>
        <v>0</v>
      </c>
      <c r="AF301" s="35" t="n">
        <f aca="false">$AA301*Holdings!U20</f>
        <v>0</v>
      </c>
      <c r="AG301" s="35" t="n">
        <f aca="false">$AA301*Holdings!V20</f>
        <v>0</v>
      </c>
      <c r="AH301" s="35" t="n">
        <f aca="false">$AA301*Holdings!W20</f>
        <v>0</v>
      </c>
      <c r="AI301" s="35" t="n">
        <f aca="false">$AA301*Holdings!X20</f>
        <v>0.0525</v>
      </c>
      <c r="AJ301" s="35" t="n">
        <f aca="false">$AA301*Holdings!Y20</f>
        <v>0.02</v>
      </c>
      <c r="AK301" s="35" t="n">
        <f aca="false">$AA301*Holdings!Z20</f>
        <v>0</v>
      </c>
      <c r="AL301" s="35" t="n">
        <f aca="false">$AA301*Holdings!AA20</f>
        <v>44.0775</v>
      </c>
      <c r="AM301" s="35" t="n">
        <f aca="false">$AA301*Holdings!AB20</f>
        <v>0</v>
      </c>
      <c r="AN301" s="35" t="n">
        <f aca="false">$AA301*Holdings!AC20</f>
        <v>37.8175</v>
      </c>
      <c r="AO301" s="43" t="n">
        <f aca="false">MIN(1,$CD$297+0.5*G301)</f>
        <v>1</v>
      </c>
      <c r="AP301" s="35" t="n">
        <f aca="false">p_liq_on*Inputs_Banks!$AP20*AO301*p_mb_psi</f>
        <v>1.272</v>
      </c>
      <c r="AQ301" s="44" t="n">
        <f aca="false">MAX(F301,E301,W301*(1-p_cb_on))</f>
        <v>0</v>
      </c>
      <c r="AR301" s="35" t="n">
        <f aca="false">p_ib_on*p_lgd_ib*g_s_in*g_u_ib*SUMPRODUCT(Network!Q$6:Q$29,$AQ$287:$AQ$310)</f>
        <v>10.8845927122174</v>
      </c>
      <c r="AS301" s="35" t="n">
        <f aca="false">p_sw_M1*(SUMPRODUCT(BDC_EAD!Q$106:Q$127,$BF$287:$BF$308)+SUMPRODUCT(BDC_EAD!Q$131:Q$152,$BG$287:$BG$308)+(Inputs_Banks!$Y20+p_ccf_bl*Inputs_Banks!$Z20)*$CD$310+Modules!$E20)</f>
        <v>16.3815151661489</v>
      </c>
      <c r="AT301" s="35" t="n">
        <f aca="false">p_sw_M3*(Inputs_Banks!$U20+p_ccf_abf*Inputs_Banks!$V20)*$CD$311</f>
        <v>6.71968055027487</v>
      </c>
      <c r="AU301" s="35" t="n">
        <f aca="false">p_sw_M10*Inputs_Banks!$AC20*$CD$312</f>
        <v>0</v>
      </c>
      <c r="AV301" s="35" t="n">
        <f aca="false">p_sw_M8*(Modules!$M20+Modules!$N20*IF(p_liq_on&gt;0,X301,p_htm_forced))</f>
        <v>4.87915345185631</v>
      </c>
      <c r="AW301" s="35" t="n">
        <f aca="false">SUMPRODUCT(Holdings!$C20:$O20,Holdings!$C$32:$O$32,$AB$312:$AN$312)+Inputs_Banks!$P20*$AL$312</f>
        <v>6.49948178004504</v>
      </c>
      <c r="AX301" s="35" t="n">
        <f aca="false">Modules!$T20+AS301+AT301+AU301+AV301+AW301+AR301</f>
        <v>53.7658053403115</v>
      </c>
      <c r="AY301" s="35" t="n">
        <f aca="false">Modules!$U20-(1-p_tax)*AX301</f>
        <v>73.9341946596885</v>
      </c>
      <c r="AZ301" s="39" t="n">
        <f aca="false">AY301/Modules!$V20</f>
        <v>0.0755269060545672</v>
      </c>
      <c r="BA301" s="48" t="s">
        <v>647</v>
      </c>
      <c r="BB301" s="43" t="n">
        <f aca="false">INDEX($BJ$287:$BJ$320,BDC_EAD!$B20)</f>
        <v>0.401231175123755</v>
      </c>
      <c r="BC301" s="43" t="n">
        <f aca="false">INDEX($BK$287:$BK$320,BDC_EAD!$B20)</f>
        <v>0.0605883669365645</v>
      </c>
      <c r="BD301" s="22" t="n">
        <f aca="false">INDEX(BDC!$Q$6:$Q$39,BDC_EAD!$B20)</f>
        <v>0.244897959183673</v>
      </c>
      <c r="BE301" s="43" t="n">
        <f aca="false">BB301*(1-$AK$312)-BC301-p_c_liq</f>
        <v>0.110088779381501</v>
      </c>
      <c r="BF301" s="43" t="n">
        <f aca="false">p_phi*MAX(0,p_a_spv-BE301)/p_a_spv+(1-p_phi)*MAX(0,p_a_spv-BB301)/p_a_spv</f>
        <v>0.75954677352864</v>
      </c>
      <c r="BG301" s="43" t="n">
        <f aca="false">IF(BD301&gt;0,p_phi*MAX(0,BD301-BE301)/BD301+(1-p_phi)*MAX(0,BD301-BB301)/BD301,0)</f>
        <v>0.44037665402043</v>
      </c>
      <c r="BI301" s="12" t="str">
        <f aca="false">BDC!$A$20</f>
        <v>OSCF</v>
      </c>
      <c r="BJ301" s="43" t="n">
        <f aca="false">1-((1-BDC!$D$20)*$CD$303+BDC!$D$20*$CD$304)-p_gap-$CD$293*(1-BDC!$M$20)</f>
        <v>0.413355834314687</v>
      </c>
      <c r="BK301" s="43" t="n">
        <f aca="false">(1-BDC!$D$20)*$CD$305+BDC!$D$20*$CD$306</f>
        <v>0.0626004241920387</v>
      </c>
      <c r="BL301" s="45" t="n">
        <f aca="false">BJ301/BDC!$K$20</f>
        <v>1.09098834958467</v>
      </c>
      <c r="BM301" s="35" t="n">
        <f aca="false">IF(BL301&lt;1.5,BDC!$C$20,0)</f>
        <v>6.8</v>
      </c>
      <c r="BN301" s="43" t="n">
        <f aca="false">MAX(0,1-BJ301*(1-CE_mig_hc)-p_bb_cush)*BDC!$Q$20</f>
        <v>0.129350577017109</v>
      </c>
      <c r="BO301" s="43" t="n">
        <f aca="false">MAX(0,BDC!$K$20-BJ301/1.5)</f>
        <v>0.103311431367848</v>
      </c>
      <c r="BP301" s="43" t="n">
        <f aca="false">MIN(MIN(1,BDC!$H$20*$CD$296),$CD$295)</f>
        <v>0.114</v>
      </c>
      <c r="BQ301" s="43" t="n">
        <f aca="false">BDC!$I$20*BDC!$J$20*BP301*(1-0.3)</f>
        <v>0.0495652173913043</v>
      </c>
      <c r="BR301" s="45" t="n">
        <f aca="false">BDC!$C$20*($CD$294*MAX(BN301,BO301)+BQ301)</f>
        <v>1.21662740197721</v>
      </c>
      <c r="CC301" s="10" t="s">
        <v>986</v>
      </c>
      <c r="CD301" s="43" t="n">
        <f aca="false">SUMPRODUCT(CreditEngine!$B$6:$B$10,$BU$287:$BU$291)</f>
        <v>0.790768304625863</v>
      </c>
    </row>
    <row r="302" customFormat="false" ht="15" hidden="false" customHeight="true" outlineLevel="0" collapsed="false">
      <c r="A302" s="10" t="s">
        <v>527</v>
      </c>
      <c r="B302" s="35" t="n">
        <f aca="false">AY262</f>
        <v>-9.28772691434693</v>
      </c>
      <c r="C302" s="39" t="n">
        <f aca="false">AZ262</f>
        <v>-0.0205130863573704</v>
      </c>
      <c r="D302" s="44" t="n">
        <f aca="false">IF(C302&lt;Inputs_Banks!$I21,1,0)</f>
        <v>1</v>
      </c>
      <c r="E302" s="44" t="n">
        <f aca="false">IF(C302&lt;0.045,1,0)</f>
        <v>1</v>
      </c>
      <c r="F302" s="44" t="n">
        <f aca="false">IF(B302&lt;0,1,0)</f>
        <v>1</v>
      </c>
      <c r="G302" s="44" t="n">
        <f aca="false">MIN(6,MIN(3,INT(MAX(0,Inputs_Banks!$BA21-C302)/p_notch_step))+D302+2*E302)</f>
        <v>6</v>
      </c>
      <c r="H302" s="39" t="n">
        <f aca="false">C302-Inputs_Banks!$I21</f>
        <v>-0.13251308635737</v>
      </c>
      <c r="I302" s="44" t="n">
        <f aca="false">RANK(H302,$H$287:$H$310,1)</f>
        <v>3</v>
      </c>
      <c r="J302" s="44" t="n">
        <f aca="false">MAX(IF(I302&lt;=g_n_weak,1,0),E302)</f>
        <v>1</v>
      </c>
      <c r="K302" s="44" t="n">
        <f aca="false">IF(I302&gt;12,1,0)*(1-E302)</f>
        <v>0</v>
      </c>
      <c r="L302" s="35" t="n">
        <f aca="false">INDEX(Inputs_Banks!$AR21:$AX21,1,G302+1)</f>
        <v>0.9076515</v>
      </c>
      <c r="M302" s="35" t="n">
        <f aca="false">Inputs_Banks!$AI21*MIN(1,p_u_base+$CD$290*p_u_pan_all+J302*($CD$290*p_u_pan_weak+p_u_mda*D302)+p_u_notch*G302+p_u_fail*E302)</f>
        <v>279.352366202</v>
      </c>
      <c r="N302" s="35" t="n">
        <f aca="false">Inputs_Banks!$AK21*MIN(1,p_w_base+p_w_pan*$CD$290+p_w_notch*G302+0.5*D302+1*E302)</f>
        <v>28.371245</v>
      </c>
      <c r="O302" s="35" t="n">
        <f aca="false">Inputs_Banks!$AO21*MIN(1,p_cp_base+p_cp_pan*$CD$290+p_cp_notch*G302)</f>
        <v>5.15</v>
      </c>
      <c r="P302" s="35" t="n">
        <f aca="false">Inputs_Banks!$AN21*(p_dh+p_dh_pan*$CD$290+MIN(1,0.5*$CD$297+0.25*G302))</f>
        <v>44.8565902707607</v>
      </c>
      <c r="Q302" s="35" t="n">
        <f aca="false">Modules!$Y21</f>
        <v>9.2558384</v>
      </c>
      <c r="R302" s="35" t="n">
        <f aca="false">Inputs_Banks!$AJ21*K302</f>
        <v>0</v>
      </c>
      <c r="S302" s="35" t="n">
        <f aca="false">p_liq_on*$CD$298*SUM($M$287:$M$310)*R302/MAX(0.000000001,SUM($R$287:$R$310))</f>
        <v>0</v>
      </c>
      <c r="T302" s="35" t="n">
        <f aca="false">p_liq_on*(L302+M302+N302+O302+P302+Q302)</f>
        <v>367.893691372761</v>
      </c>
      <c r="U302" s="35" t="n">
        <f aca="false">g_usable*Inputs_Banks!$AG21+p_cb_on*Inputs_Banks!$AQ21+S302</f>
        <v>309.53302303</v>
      </c>
      <c r="V302" s="35" t="n">
        <f aca="false">MAX(0,T302-U302)</f>
        <v>58.3606683427607</v>
      </c>
      <c r="W302" s="44" t="n">
        <f aca="false">IF(V302&gt;0.9*Inputs_Banks!$BB21,1,0)</f>
        <v>0</v>
      </c>
      <c r="X302" s="43" t="n">
        <f aca="false">MAX(p_htm_forced,(1-p_cb_on)*MIN(1,T302/Inputs_Banks!$AG21)*g_theta_sell)</f>
        <v>0.25</v>
      </c>
      <c r="Y302" s="35" t="n">
        <f aca="false">MAX(0,Modules!$V21-B302/(Inputs_Banks!$I21+g_del_buf))</f>
        <v>532.153100519205</v>
      </c>
      <c r="Z302" s="35" t="n">
        <f aca="false">MIN(g_del_cap*Inputs_Banks!$BB21,Y302)</f>
        <v>21.8225</v>
      </c>
      <c r="AA302" s="35" t="n">
        <f aca="false">MIN(Inputs_Banks!$BB21,V302+Z302)</f>
        <v>80.1831683427607</v>
      </c>
      <c r="AB302" s="35" t="n">
        <f aca="false">$AA302*Holdings!Q21</f>
        <v>0</v>
      </c>
      <c r="AC302" s="35" t="n">
        <f aca="false">$AA302*Holdings!R21</f>
        <v>0</v>
      </c>
      <c r="AD302" s="35" t="n">
        <f aca="false">$AA302*Holdings!S21</f>
        <v>0</v>
      </c>
      <c r="AE302" s="35" t="n">
        <f aca="false">$AA302*Holdings!T21</f>
        <v>1.42380468474372</v>
      </c>
      <c r="AF302" s="35" t="n">
        <f aca="false">$AA302*Holdings!U21</f>
        <v>63.4006447361364</v>
      </c>
      <c r="AG302" s="35" t="n">
        <f aca="false">$AA302*Holdings!V21</f>
        <v>0</v>
      </c>
      <c r="AH302" s="35" t="n">
        <f aca="false">$AA302*Holdings!W21</f>
        <v>13.420507383294</v>
      </c>
      <c r="AI302" s="35" t="n">
        <f aca="false">$AA302*Holdings!X21</f>
        <v>0</v>
      </c>
      <c r="AJ302" s="35" t="n">
        <f aca="false">$AA302*Holdings!Y21</f>
        <v>0</v>
      </c>
      <c r="AK302" s="35" t="n">
        <f aca="false">$AA302*Holdings!Z21</f>
        <v>0</v>
      </c>
      <c r="AL302" s="35" t="n">
        <f aca="false">$AA302*Holdings!AA21</f>
        <v>1.93821153858661</v>
      </c>
      <c r="AM302" s="35" t="n">
        <f aca="false">$AA302*Holdings!AB21</f>
        <v>0</v>
      </c>
      <c r="AN302" s="35" t="n">
        <f aca="false">$AA302*Holdings!AC21</f>
        <v>0</v>
      </c>
      <c r="AO302" s="43" t="n">
        <f aca="false">MIN(1,$CD$297+0.5*G302)</f>
        <v>1</v>
      </c>
      <c r="AP302" s="35" t="n">
        <f aca="false">p_liq_on*Inputs_Banks!$AP21*AO302*p_mb_psi</f>
        <v>0</v>
      </c>
      <c r="AQ302" s="44" t="n">
        <f aca="false">MAX(F302,E302,W302*(1-p_cb_on))</f>
        <v>1</v>
      </c>
      <c r="AR302" s="35" t="n">
        <f aca="false">p_ib_on*p_lgd_ib*g_s_in*g_u_ib*SUMPRODUCT(Network!R$6:R$29,$AQ$287:$AQ$310)</f>
        <v>4.21649398828672</v>
      </c>
      <c r="AS302" s="35" t="n">
        <f aca="false">p_sw_M1*(SUMPRODUCT(BDC_EAD!R$106:R$127,$BF$287:$BF$308)+SUMPRODUCT(BDC_EAD!R$131:R$152,$BG$287:$BG$308)+(Inputs_Banks!$Y21+p_ccf_bl*Inputs_Banks!$Z21)*$CD$310+Modules!$E21)</f>
        <v>28.674151775399</v>
      </c>
      <c r="AT302" s="35" t="n">
        <f aca="false">p_sw_M3*(Inputs_Banks!$U21+p_ccf_abf*Inputs_Banks!$V21)*$CD$311</f>
        <v>10.6062570749984</v>
      </c>
      <c r="AU302" s="35" t="n">
        <f aca="false">p_sw_M10*Inputs_Banks!$AC21*$CD$312</f>
        <v>0</v>
      </c>
      <c r="AV302" s="35" t="n">
        <f aca="false">p_sw_M8*(Modules!$M21+Modules!$N21*IF(p_liq_on&gt;0,X302,p_htm_forced))</f>
        <v>2.171</v>
      </c>
      <c r="AW302" s="35" t="n">
        <f aca="false">SUMPRODUCT(Holdings!$C21:$O21,Holdings!$C$32:$O$32,$AB$312:$AN$312)+Inputs_Banks!$P21*$AL$312</f>
        <v>10.5166125128823</v>
      </c>
      <c r="AX302" s="35" t="n">
        <f aca="false">Modules!$T21+AS302+AT302+AU302+AV302+AW302+AR302</f>
        <v>67.6274552143469</v>
      </c>
      <c r="AY302" s="35" t="n">
        <f aca="false">Modules!$U21-(1-p_tax)*AX302</f>
        <v>-9.28772691434693</v>
      </c>
      <c r="AZ302" s="39" t="n">
        <f aca="false">AY302/Modules!$V21</f>
        <v>-0.0205130863573704</v>
      </c>
      <c r="BA302" s="48" t="s">
        <v>659</v>
      </c>
      <c r="BB302" s="43" t="n">
        <f aca="false">INDEX($BJ$287:$BJ$320,BDC_EAD!$B21)</f>
        <v>0.361123826355913</v>
      </c>
      <c r="BC302" s="43" t="n">
        <f aca="false">INDEX($BK$287:$BK$320,BDC_EAD!$B21)</f>
        <v>0.0628985067484052</v>
      </c>
      <c r="BD302" s="22" t="n">
        <f aca="false">INDEX(BDC!$Q$6:$Q$39,BDC_EAD!$B21)</f>
        <v>0.239316017316017</v>
      </c>
      <c r="BE302" s="43" t="n">
        <f aca="false">BB302*(1-$AK$312)-BC302-p_c_liq</f>
        <v>0.085719597747347</v>
      </c>
      <c r="BF302" s="43" t="n">
        <f aca="false">p_phi*MAX(0,p_a_spv-BE302)/p_a_spv+(1-p_phi)*MAX(0,p_a_spv-BB302)/p_a_spv</f>
        <v>0.798856509329914</v>
      </c>
      <c r="BG302" s="43" t="n">
        <f aca="false">IF(BD302&gt;0,p_phi*MAX(0,BD302-BE302)/BD302+(1-p_phi)*MAX(0,BD302-BB302)/BD302,0)</f>
        <v>0.513451364572379</v>
      </c>
      <c r="BI302" s="12" t="str">
        <f aca="false">BDC!$A$21</f>
        <v>PSEC</v>
      </c>
      <c r="BJ302" s="43" t="n">
        <f aca="false">1-((1-BDC!$D$21)*$CD$303+BDC!$D$21*$CD$304)-p_gap-$CD$293*(1-BDC!$M$21)</f>
        <v>0.113624404509291</v>
      </c>
      <c r="BK302" s="43" t="n">
        <f aca="false">(1-BDC!$D$21)*$CD$305+BDC!$D$21*$CD$306</f>
        <v>0.0681894721239115</v>
      </c>
      <c r="BL302" s="45" t="n">
        <f aca="false">BJ302/BDC!$K$21</f>
        <v>0.293980602143086</v>
      </c>
      <c r="BM302" s="35" t="n">
        <f aca="false">IF(BL302&lt;1.5,BDC!$C$21,0)</f>
        <v>6.34</v>
      </c>
      <c r="BN302" s="43" t="n">
        <f aca="false">MAX(0,1-BJ302*(1-CE_mig_hc)-p_bb_cush)*BDC!$Q$21</f>
        <v>0.168253607408428</v>
      </c>
      <c r="BO302" s="43" t="n">
        <f aca="false">MAX(0,BDC!$K$21-BJ302/1.5)</f>
        <v>0.310753464478469</v>
      </c>
      <c r="BP302" s="43" t="n">
        <f aca="false">MIN(MIN(1,BDC!$H$21*$CD$296),$CD$295)</f>
        <v>0</v>
      </c>
      <c r="BQ302" s="43" t="n">
        <f aca="false">BDC!$I$21*BDC!$J$21*BP302*(1-0.3)</f>
        <v>0</v>
      </c>
      <c r="BR302" s="45" t="n">
        <f aca="false">BDC!$C$21*($CD$294*MAX(BN302,BO302)+BQ302)</f>
        <v>1.97017696479349</v>
      </c>
      <c r="CC302" s="10" t="s">
        <v>987</v>
      </c>
      <c r="CD302" s="43" t="n">
        <f aca="false">SUMPRODUCT(CreditEngine!$B$6:$B$10,$BV$287:$BV$291)</f>
        <v>0.924318714457985</v>
      </c>
    </row>
    <row r="303" customFormat="false" ht="15" hidden="false" customHeight="true" outlineLevel="0" collapsed="false">
      <c r="A303" s="10" t="s">
        <v>530</v>
      </c>
      <c r="B303" s="35" t="n">
        <f aca="false">AY263</f>
        <v>36.664953036146</v>
      </c>
      <c r="C303" s="39" t="n">
        <f aca="false">AZ263</f>
        <v>0.0374031559348759</v>
      </c>
      <c r="D303" s="44" t="n">
        <f aca="false">IF(C303&lt;Inputs_Banks!$I22,1,0)</f>
        <v>1</v>
      </c>
      <c r="E303" s="44" t="n">
        <f aca="false">IF(C303&lt;0.045,1,0)</f>
        <v>1</v>
      </c>
      <c r="F303" s="44" t="n">
        <f aca="false">IF(B303&lt;0,1,0)</f>
        <v>0</v>
      </c>
      <c r="G303" s="44" t="n">
        <f aca="false">MIN(6,MIN(3,INT(MAX(0,Inputs_Banks!$BA22-C303)/p_notch_step))+D303+2*E303)</f>
        <v>6</v>
      </c>
      <c r="H303" s="39" t="n">
        <f aca="false">C303-Inputs_Banks!$I22</f>
        <v>-0.0668968440651241</v>
      </c>
      <c r="I303" s="44" t="n">
        <f aca="false">RANK(H303,$H$287:$H$310,1)</f>
        <v>10</v>
      </c>
      <c r="J303" s="44" t="n">
        <f aca="false">MAX(IF(I303&lt;=g_n_weak,1,0),E303)</f>
        <v>1</v>
      </c>
      <c r="K303" s="44" t="n">
        <f aca="false">IF(I303&gt;12,1,0)*(1-E303)</f>
        <v>0</v>
      </c>
      <c r="L303" s="35" t="n">
        <f aca="false">INDEX(Inputs_Banks!$AR22:$AX22,1,G303+1)</f>
        <v>2.945586</v>
      </c>
      <c r="M303" s="35" t="n">
        <f aca="false">Inputs_Banks!$AI22*MIN(1,p_u_base+$CD$290*p_u_pan_all+J303*($CD$290*p_u_pan_weak+p_u_mda*D303)+p_u_notch*G303+p_u_fail*E303)</f>
        <v>546.513203124</v>
      </c>
      <c r="N303" s="35" t="n">
        <f aca="false">Inputs_Banks!$AK22*MIN(1,p_w_base+p_w_pan*$CD$290+p_w_notch*G303+0.5*D303+1*E303)</f>
        <v>28.3758118</v>
      </c>
      <c r="O303" s="35" t="n">
        <f aca="false">Inputs_Banks!$AO22*MIN(1,p_cp_base+p_cp_pan*$CD$290+p_cp_notch*G303)</f>
        <v>6.01</v>
      </c>
      <c r="P303" s="35" t="n">
        <f aca="false">Inputs_Banks!$AN22*(p_dh+p_dh_pan*$CD$290+MIN(1,0.5*$CD$297+0.25*G303))</f>
        <v>327.022854105455</v>
      </c>
      <c r="Q303" s="35" t="n">
        <f aca="false">Modules!$Y22</f>
        <v>9.7948712</v>
      </c>
      <c r="R303" s="35" t="n">
        <f aca="false">Inputs_Banks!$AJ22*K303</f>
        <v>0</v>
      </c>
      <c r="S303" s="35" t="n">
        <f aca="false">p_liq_on*$CD$298*SUM($M$287:$M$310)*R303/MAX(0.000000001,SUM($R$287:$R$310))</f>
        <v>0</v>
      </c>
      <c r="T303" s="35" t="n">
        <f aca="false">p_liq_on*(L303+M303+N303+O303+P303+Q303)</f>
        <v>920.662326229455</v>
      </c>
      <c r="U303" s="35" t="n">
        <f aca="false">g_usable*Inputs_Banks!$AG22+p_cb_on*Inputs_Banks!$AQ22+S303</f>
        <v>714.7042</v>
      </c>
      <c r="V303" s="35" t="n">
        <f aca="false">MAX(0,T303-U303)</f>
        <v>205.958126229456</v>
      </c>
      <c r="W303" s="44" t="n">
        <f aca="false">IF(V303&gt;0.9*Inputs_Banks!$BB22,1,0)</f>
        <v>0</v>
      </c>
      <c r="X303" s="43" t="n">
        <f aca="false">MAX(p_htm_forced,(1-p_cb_on)*MIN(1,T303/Inputs_Banks!$AG22)*g_theta_sell)</f>
        <v>0.25</v>
      </c>
      <c r="Y303" s="35" t="n">
        <f aca="false">MAX(0,Modules!$V22-B303/(Inputs_Banks!$I22+g_del_buf))</f>
        <v>644.811167702233</v>
      </c>
      <c r="Z303" s="35" t="n">
        <f aca="false">MIN(g_del_cap*Inputs_Banks!$BB22,Y303)</f>
        <v>88.1275</v>
      </c>
      <c r="AA303" s="35" t="n">
        <f aca="false">MIN(Inputs_Banks!$BB22,V303+Z303)</f>
        <v>294.085626229456</v>
      </c>
      <c r="AB303" s="35" t="n">
        <f aca="false">$AA303*Holdings!Q22</f>
        <v>0</v>
      </c>
      <c r="AC303" s="35" t="n">
        <f aca="false">$AA303*Holdings!R22</f>
        <v>0</v>
      </c>
      <c r="AD303" s="35" t="n">
        <f aca="false">$AA303*Holdings!S22</f>
        <v>0</v>
      </c>
      <c r="AE303" s="35" t="n">
        <f aca="false">$AA303*Holdings!T22</f>
        <v>0</v>
      </c>
      <c r="AF303" s="35" t="n">
        <f aca="false">$AA303*Holdings!U22</f>
        <v>121.243267027678</v>
      </c>
      <c r="AG303" s="35" t="n">
        <f aca="false">$AA303*Holdings!V22</f>
        <v>0</v>
      </c>
      <c r="AH303" s="35" t="n">
        <f aca="false">$AA303*Holdings!W22</f>
        <v>11.2291637940724</v>
      </c>
      <c r="AI303" s="35" t="n">
        <f aca="false">$AA303*Holdings!X22</f>
        <v>0</v>
      </c>
      <c r="AJ303" s="35" t="n">
        <f aca="false">$AA303*Holdings!Y22</f>
        <v>0</v>
      </c>
      <c r="AK303" s="35" t="n">
        <f aca="false">$AA303*Holdings!Z22</f>
        <v>0</v>
      </c>
      <c r="AL303" s="35" t="n">
        <f aca="false">$AA303*Holdings!AA22</f>
        <v>161.613195407705</v>
      </c>
      <c r="AM303" s="35" t="n">
        <f aca="false">$AA303*Holdings!AB22</f>
        <v>0</v>
      </c>
      <c r="AN303" s="35" t="n">
        <f aca="false">$AA303*Holdings!AC22</f>
        <v>0</v>
      </c>
      <c r="AO303" s="43" t="n">
        <f aca="false">MIN(1,$CD$297+0.5*G303)</f>
        <v>1</v>
      </c>
      <c r="AP303" s="35" t="n">
        <f aca="false">p_liq_on*Inputs_Banks!$AP22*AO303*p_mb_psi</f>
        <v>11.592</v>
      </c>
      <c r="AQ303" s="44" t="n">
        <f aca="false">MAX(F303,E303,W303*(1-p_cb_on))</f>
        <v>1</v>
      </c>
      <c r="AR303" s="35" t="n">
        <f aca="false">p_ib_on*p_lgd_ib*g_s_in*g_u_ib*SUMPRODUCT(Network!S$6:S$29,$AQ$287:$AQ$310)</f>
        <v>12.8576723198117</v>
      </c>
      <c r="AS303" s="35" t="n">
        <f aca="false">p_sw_M1*(SUMPRODUCT(BDC_EAD!S$106:S$127,$BF$287:$BF$308)+SUMPRODUCT(BDC_EAD!S$131:S$152,$BG$287:$BG$308)+(Inputs_Banks!$Y22+p_ccf_bl*Inputs_Banks!$Z22)*$CD$310+Modules!$E22)</f>
        <v>23.7487346889017</v>
      </c>
      <c r="AT303" s="35" t="n">
        <f aca="false">p_sw_M3*(Inputs_Banks!$U22+p_ccf_abf*Inputs_Banks!$V22)*$CD$311</f>
        <v>3.81118170894942</v>
      </c>
      <c r="AU303" s="35" t="n">
        <f aca="false">p_sw_M10*Inputs_Banks!$AC22*$CD$312</f>
        <v>0</v>
      </c>
      <c r="AV303" s="35" t="n">
        <f aca="false">p_sw_M8*(Modules!$M22+Modules!$N22*IF(p_liq_on&gt;0,X303,p_htm_forced))</f>
        <v>4.40625</v>
      </c>
      <c r="AW303" s="35" t="n">
        <f aca="false">SUMPRODUCT(Holdings!$C22:$O22,Holdings!$C$32:$O$32,$AB$312:$AN$312)+Inputs_Banks!$P22*$AL$312</f>
        <v>16.3242704898486</v>
      </c>
      <c r="AX303" s="35" t="n">
        <f aca="false">Modules!$T22+AS303+AT303+AU303+AV303+AW303+AR303</f>
        <v>81.1584869638541</v>
      </c>
      <c r="AY303" s="35" t="n">
        <f aca="false">Modules!$U22-(1-p_tax)*AX303</f>
        <v>36.664953036146</v>
      </c>
      <c r="AZ303" s="39" t="n">
        <f aca="false">AY303/Modules!$V22</f>
        <v>0.0374031559348759</v>
      </c>
      <c r="BA303" s="48" t="s">
        <v>638</v>
      </c>
      <c r="BB303" s="43" t="n">
        <f aca="false">INDEX($BJ$287:$BJ$320,BDC_EAD!$B22)</f>
        <v>0.393709594067855</v>
      </c>
      <c r="BC303" s="43" t="n">
        <f aca="false">INDEX($BK$287:$BK$320,BDC_EAD!$B22)</f>
        <v>0.0647242624061503</v>
      </c>
      <c r="BD303" s="22" t="n">
        <f aca="false">INDEX(BDC!$Q$6:$Q$39,BDC_EAD!$B22)</f>
        <v>0.177509433962264</v>
      </c>
      <c r="BE303" s="43" t="n">
        <f aca="false">BB303*(1-$AK$312)-BC303-p_c_liq</f>
        <v>0.10181601433117</v>
      </c>
      <c r="BF303" s="43" t="n">
        <f aca="false">p_phi*MAX(0,p_a_spv-BE303)/p_a_spv+(1-p_phi)*MAX(0,p_a_spv-BB303)/p_a_spv</f>
        <v>0.771150385316419</v>
      </c>
      <c r="BG303" s="43" t="n">
        <f aca="false">IF(BD303&gt;0,p_phi*MAX(0,BD303-BE303)/BD303+(1-p_phi)*MAX(0,BD303-BB303)/BD303,0)</f>
        <v>0.341135309561905</v>
      </c>
      <c r="BI303" s="12" t="str">
        <f aca="false">BDC!$A$22</f>
        <v>NHPIF</v>
      </c>
      <c r="BJ303" s="43" t="n">
        <f aca="false">1-((1-BDC!$D$22)*$CD$303+BDC!$D$22*$CD$304)-p_gap-$CD$293*(1-BDC!$M$22)</f>
        <v>0.401231175123755</v>
      </c>
      <c r="BK303" s="43" t="n">
        <f aca="false">(1-BDC!$D$22)*$CD$305+BDC!$D$22*$CD$306</f>
        <v>0.0605883669365645</v>
      </c>
      <c r="BL303" s="45" t="n">
        <f aca="false">BJ303/BDC!$K$22</f>
        <v>0.819180315877667</v>
      </c>
      <c r="BM303" s="35" t="n">
        <f aca="false">IF(BL303&lt;1.5,BDC!$C$22,0)</f>
        <v>5.98</v>
      </c>
      <c r="BN303" s="43" t="n">
        <f aca="false">MAX(0,1-BJ303*(1-CE_mig_hc)-p_bb_cush)*BDC!$Q$22</f>
        <v>0.151630856363478</v>
      </c>
      <c r="BO303" s="43" t="n">
        <f aca="false">MAX(0,BDC!$K$22-BJ303/1.5)</f>
        <v>0.222308468284843</v>
      </c>
      <c r="BP303" s="43" t="n">
        <f aca="false">MIN(MIN(1,BDC!$H$22*$CD$296),$CD$295)</f>
        <v>0.25</v>
      </c>
      <c r="BQ303" s="43" t="n">
        <f aca="false">BDC!$I$22*BDC!$J$22*BP303*(1-0.3)</f>
        <v>0.0892857142857143</v>
      </c>
      <c r="BR303" s="45" t="n">
        <f aca="false">BDC!$C$22*($CD$294*MAX(BN303,BO303)+BQ303)</f>
        <v>1.86333321177194</v>
      </c>
      <c r="CC303" s="10" t="s">
        <v>988</v>
      </c>
      <c r="CD303" s="43" t="n">
        <f aca="false">$CD$301*p_lgd_gen-CE_PDb*g_lgd_gen_b</f>
        <v>0.332131634197048</v>
      </c>
    </row>
    <row r="304" customFormat="false" ht="15" hidden="false" customHeight="true" outlineLevel="0" collapsed="false">
      <c r="A304" s="10" t="s">
        <v>532</v>
      </c>
      <c r="B304" s="35" t="n">
        <f aca="false">AY264</f>
        <v>23.6598018358836</v>
      </c>
      <c r="C304" s="39" t="n">
        <f aca="false">AZ264</f>
        <v>0.0472616971280715</v>
      </c>
      <c r="D304" s="44" t="n">
        <f aca="false">IF(C304&lt;Inputs_Banks!$I23,1,0)</f>
        <v>1</v>
      </c>
      <c r="E304" s="44" t="n">
        <f aca="false">IF(C304&lt;0.045,1,0)</f>
        <v>0</v>
      </c>
      <c r="F304" s="44" t="n">
        <f aca="false">IF(B304&lt;0,1,0)</f>
        <v>0</v>
      </c>
      <c r="G304" s="44" t="n">
        <f aca="false">MIN(6,MIN(3,INT(MAX(0,Inputs_Banks!$BA23-C304)/p_notch_step))+D304+2*E304)</f>
        <v>4</v>
      </c>
      <c r="H304" s="39" t="n">
        <f aca="false">C304-Inputs_Banks!$I23</f>
        <v>-0.0553383028719285</v>
      </c>
      <c r="I304" s="44" t="n">
        <f aca="false">RANK(H304,$H$287:$H$310,1)</f>
        <v>13</v>
      </c>
      <c r="J304" s="44" t="n">
        <f aca="false">MAX(IF(I304&lt;=g_n_weak,1,0),E304)</f>
        <v>0</v>
      </c>
      <c r="K304" s="44" t="n">
        <f aca="false">IF(I304&gt;12,1,0)*(1-E304)</f>
        <v>1</v>
      </c>
      <c r="L304" s="35" t="n">
        <f aca="false">INDEX(Inputs_Banks!$AR23:$AX23,1,G304+1)</f>
        <v>1.2010684</v>
      </c>
      <c r="M304" s="35" t="n">
        <f aca="false">Inputs_Banks!$AI23*MIN(1,p_u_base+$CD$290*p_u_pan_all+J304*($CD$290*p_u_pan_weak+p_u_mda*D304)+p_u_notch*G304+p_u_fail*E304)</f>
        <v>85.2942480453</v>
      </c>
      <c r="N304" s="35" t="n">
        <f aca="false">Inputs_Banks!$AK23*MIN(1,p_w_base+p_w_pan*$CD$290+p_w_notch*G304+0.5*D304+1*E304)</f>
        <v>0</v>
      </c>
      <c r="O304" s="35" t="n">
        <f aca="false">Inputs_Banks!$AO23*MIN(1,p_cp_base+p_cp_pan*$CD$290+p_cp_notch*G304)</f>
        <v>3.8</v>
      </c>
      <c r="P304" s="35" t="n">
        <f aca="false">Inputs_Banks!$AN23*(p_dh+p_dh_pan*$CD$290+MIN(1,0.5*$CD$297+0.25*G304))</f>
        <v>128.300227265032</v>
      </c>
      <c r="Q304" s="35" t="n">
        <f aca="false">Modules!$Y23</f>
        <v>3.506521</v>
      </c>
      <c r="R304" s="35" t="n">
        <f aca="false">Inputs_Banks!$AJ23*K304</f>
        <v>611.4283014</v>
      </c>
      <c r="S304" s="35" t="n">
        <f aca="false">p_liq_on*$CD$298*SUM($M$287:$M$310)*R304/MAX(0.000000001,SUM($R$287:$R$310))</f>
        <v>126.615060020241</v>
      </c>
      <c r="T304" s="35" t="n">
        <f aca="false">p_liq_on*(L304+M304+N304+O304+P304+Q304)</f>
        <v>222.102064710332</v>
      </c>
      <c r="U304" s="35" t="n">
        <f aca="false">g_usable*Inputs_Banks!$AG23+p_cb_on*Inputs_Banks!$AQ23+S304</f>
        <v>563.372395020241</v>
      </c>
      <c r="V304" s="35" t="n">
        <f aca="false">MAX(0,T304-U304)</f>
        <v>0</v>
      </c>
      <c r="W304" s="44" t="n">
        <f aca="false">IF(V304&gt;0.9*Inputs_Banks!$BB23,1,0)</f>
        <v>0</v>
      </c>
      <c r="X304" s="43" t="n">
        <f aca="false">MAX(p_htm_forced,(1-p_cb_on)*MIN(1,T304/Inputs_Banks!$AG23)*g_theta_sell)</f>
        <v>0.184920413117464</v>
      </c>
      <c r="Y304" s="35" t="n">
        <f aca="false">MAX(0,Modules!$V23-B304/(Inputs_Banks!$I23+g_del_buf))</f>
        <v>280.725981837513</v>
      </c>
      <c r="Z304" s="35" t="n">
        <f aca="false">MIN(g_del_cap*Inputs_Banks!$BB23,Y304)</f>
        <v>40.9075</v>
      </c>
      <c r="AA304" s="35" t="n">
        <f aca="false">MIN(Inputs_Banks!$BB23,V304+Z304)</f>
        <v>40.9075</v>
      </c>
      <c r="AB304" s="35" t="n">
        <f aca="false">$AA304*Holdings!Q23</f>
        <v>0</v>
      </c>
      <c r="AC304" s="35" t="n">
        <f aca="false">$AA304*Holdings!R23</f>
        <v>0</v>
      </c>
      <c r="AD304" s="35" t="n">
        <f aca="false">$AA304*Holdings!S23</f>
        <v>0</v>
      </c>
      <c r="AE304" s="35" t="n">
        <f aca="false">$AA304*Holdings!T23</f>
        <v>0</v>
      </c>
      <c r="AF304" s="35" t="n">
        <f aca="false">$AA304*Holdings!U23</f>
        <v>6.4975</v>
      </c>
      <c r="AG304" s="35" t="n">
        <f aca="false">$AA304*Holdings!V23</f>
        <v>0</v>
      </c>
      <c r="AH304" s="35" t="n">
        <f aca="false">$AA304*Holdings!W23</f>
        <v>2.6375</v>
      </c>
      <c r="AI304" s="35" t="n">
        <f aca="false">$AA304*Holdings!X23</f>
        <v>0</v>
      </c>
      <c r="AJ304" s="35" t="n">
        <f aca="false">$AA304*Holdings!Y23</f>
        <v>0</v>
      </c>
      <c r="AK304" s="35" t="n">
        <f aca="false">$AA304*Holdings!Z23</f>
        <v>0</v>
      </c>
      <c r="AL304" s="35" t="n">
        <f aca="false">$AA304*Holdings!AA23</f>
        <v>31.7725</v>
      </c>
      <c r="AM304" s="35" t="n">
        <f aca="false">$AA304*Holdings!AB23</f>
        <v>0</v>
      </c>
      <c r="AN304" s="35" t="n">
        <f aca="false">$AA304*Holdings!AC23</f>
        <v>0</v>
      </c>
      <c r="AO304" s="43" t="n">
        <f aca="false">MIN(1,$CD$297+0.5*G304)</f>
        <v>1</v>
      </c>
      <c r="AP304" s="35" t="n">
        <f aca="false">p_liq_on*Inputs_Banks!$AP23*AO304*p_mb_psi</f>
        <v>5.856</v>
      </c>
      <c r="AQ304" s="44" t="n">
        <f aca="false">MAX(F304,E304,W304*(1-p_cb_on))</f>
        <v>0</v>
      </c>
      <c r="AR304" s="35" t="n">
        <f aca="false">p_ib_on*p_lgd_ib*g_s_in*g_u_ib*SUMPRODUCT(Network!T$6:T$29,$AQ$287:$AQ$310)</f>
        <v>9.57333551838029</v>
      </c>
      <c r="AS304" s="35" t="n">
        <f aca="false">p_sw_M1*(SUMPRODUCT(BDC_EAD!T$106:T$127,$BF$287:$BF$308)+SUMPRODUCT(BDC_EAD!T$131:T$152,$BG$287:$BG$308)+(Inputs_Banks!$Y23+p_ccf_bl*Inputs_Banks!$Z23)*$CD$310+Modules!$E23)</f>
        <v>11.9173703231754</v>
      </c>
      <c r="AT304" s="35" t="n">
        <f aca="false">p_sw_M3*(Inputs_Banks!$U23+p_ccf_abf*Inputs_Banks!$V23)*$CD$311</f>
        <v>0</v>
      </c>
      <c r="AU304" s="35" t="n">
        <f aca="false">p_sw_M10*Inputs_Banks!$AC23*$CD$312</f>
        <v>0</v>
      </c>
      <c r="AV304" s="35" t="n">
        <f aca="false">p_sw_M8*(Modules!$M23+Modules!$N23*IF(p_liq_on&gt;0,X304,p_htm_forced))</f>
        <v>1.51600832932119</v>
      </c>
      <c r="AW304" s="35" t="n">
        <f aca="false">SUMPRODUCT(Holdings!$C23:$O23,Holdings!$C$32:$O$32,$AB$312:$AN$312)+Inputs_Banks!$P23*$AL$312</f>
        <v>6.94276181715746</v>
      </c>
      <c r="AX304" s="35" t="n">
        <f aca="false">Modules!$T23+AS304+AT304+AU304+AV304+AW304+AR304</f>
        <v>37.4211481641164</v>
      </c>
      <c r="AY304" s="35" t="n">
        <f aca="false">Modules!$U23-(1-p_tax)*AX304</f>
        <v>23.6598018358836</v>
      </c>
      <c r="AZ304" s="39" t="n">
        <f aca="false">AY304/Modules!$V23</f>
        <v>0.0472616971280715</v>
      </c>
      <c r="BA304" s="48" t="s">
        <v>631</v>
      </c>
      <c r="BB304" s="43" t="n">
        <f aca="false">INDEX($BJ$287:$BJ$320,BDC_EAD!$B23)</f>
        <v>0.421663471167733</v>
      </c>
      <c r="BC304" s="43" t="n">
        <f aca="false">INDEX($BK$287:$BK$320,BDC_EAD!$B23)</f>
        <v>0.063979056015234</v>
      </c>
      <c r="BD304" s="22" t="n">
        <f aca="false">INDEX(BDC!$Q$6:$Q$39,BDC_EAD!$B23)</f>
        <v>0.276335078534031</v>
      </c>
      <c r="BE304" s="43" t="n">
        <f aca="false">BB304*(1-$AK$312)-BC304-p_c_liq</f>
        <v>0.117935853127019</v>
      </c>
      <c r="BF304" s="43" t="n">
        <f aca="false">p_phi*MAX(0,p_a_spv-BE304)/p_a_spv+(1-p_phi)*MAX(0,p_a_spv-BB304)/p_a_spv</f>
        <v>0.74474089037834</v>
      </c>
      <c r="BG304" s="43" t="n">
        <f aca="false">IF(BD304&gt;0,p_phi*MAX(0,BD304-BE304)/BD304+(1-p_phi)*MAX(0,BD304-BB304)/BD304,0)</f>
        <v>0.458571459685326</v>
      </c>
      <c r="BI304" s="12" t="str">
        <f aca="false">BDC!$A$23</f>
        <v>MAIN</v>
      </c>
      <c r="BJ304" s="43" t="n">
        <f aca="false">1-((1-BDC!$D$23)*$CD$303+BDC!$D$23*$CD$304)-p_gap-$CD$293*(1-BDC!$M$23)</f>
        <v>0.556417298789294</v>
      </c>
      <c r="BK304" s="43" t="n">
        <f aca="false">(1-BDC!$D$23)*$CD$305+BDC!$D$23*$CD$306</f>
        <v>0.0671461831766286</v>
      </c>
      <c r="BL304" s="45" t="n">
        <f aca="false">BJ304/BDC!$K$23</f>
        <v>1.25193892227591</v>
      </c>
      <c r="BM304" s="35" t="n">
        <f aca="false">IF(BL304&lt;1.5,BDC!$C$23,0)</f>
        <v>5.75</v>
      </c>
      <c r="BN304" s="43" t="n">
        <f aca="false">MAX(0,1-BJ304*(1-CE_mig_hc)-p_bb_cush)*BDC!$Q$23</f>
        <v>0.050065278117532</v>
      </c>
      <c r="BO304" s="43" t="n">
        <f aca="false">MAX(0,BDC!$K$23-BJ304/1.5)</f>
        <v>0.0734995785849151</v>
      </c>
      <c r="BP304" s="43" t="n">
        <f aca="false">MIN(MIN(1,BDC!$H$23*$CD$296),$CD$295)</f>
        <v>0</v>
      </c>
      <c r="BQ304" s="43" t="n">
        <f aca="false">BDC!$I$23*BDC!$J$23*BP304*(1-0.3)</f>
        <v>0</v>
      </c>
      <c r="BR304" s="45" t="n">
        <f aca="false">BDC!$C$23*($CD$294*MAX(BN304,BO304)+BQ304)</f>
        <v>0.422622576863262</v>
      </c>
      <c r="CC304" s="10" t="s">
        <v>989</v>
      </c>
      <c r="CD304" s="43" t="n">
        <f aca="false">$CD$302*p_lgd_sw-CE_PDb*g_lgd_sw_b</f>
        <v>0.556662359955042</v>
      </c>
    </row>
    <row r="305" customFormat="false" ht="15" hidden="false" customHeight="true" outlineLevel="0" collapsed="false">
      <c r="A305" s="10" t="s">
        <v>534</v>
      </c>
      <c r="B305" s="35" t="n">
        <f aca="false">AY265</f>
        <v>43.1850972513385</v>
      </c>
      <c r="C305" s="39" t="n">
        <f aca="false">AZ265</f>
        <v>0.0793534454428393</v>
      </c>
      <c r="D305" s="44" t="n">
        <f aca="false">IF(C305&lt;Inputs_Banks!$I24,1,0)</f>
        <v>1</v>
      </c>
      <c r="E305" s="44" t="n">
        <f aca="false">IF(C305&lt;0.045,1,0)</f>
        <v>0</v>
      </c>
      <c r="F305" s="44" t="n">
        <f aca="false">IF(B305&lt;0,1,0)</f>
        <v>0</v>
      </c>
      <c r="G305" s="44" t="n">
        <f aca="false">MIN(6,MIN(3,INT(MAX(0,Inputs_Banks!$BA24-C305)/p_notch_step))+D305+2*E305)</f>
        <v>3</v>
      </c>
      <c r="H305" s="39" t="n">
        <f aca="false">C305-Inputs_Banks!$I24</f>
        <v>-0.0289465545571607</v>
      </c>
      <c r="I305" s="44" t="n">
        <f aca="false">RANK(H305,$H$287:$H$310,1)</f>
        <v>20</v>
      </c>
      <c r="J305" s="44" t="n">
        <f aca="false">MAX(IF(I305&lt;=g_n_weak,1,0),E305)</f>
        <v>0</v>
      </c>
      <c r="K305" s="44" t="n">
        <f aca="false">IF(I305&gt;12,1,0)*(1-E305)</f>
        <v>1</v>
      </c>
      <c r="L305" s="35" t="n">
        <f aca="false">INDEX(Inputs_Banks!$AR24:$AX24,1,G305+1)</f>
        <v>1.0254</v>
      </c>
      <c r="M305" s="35" t="n">
        <f aca="false">Inputs_Banks!$AI24*MIN(1,p_u_base+$CD$290*p_u_pan_all+J305*($CD$290*p_u_pan_weak+p_u_mda*D305)+p_u_notch*G305+p_u_fail*E305)</f>
        <v>98.681085</v>
      </c>
      <c r="N305" s="35" t="n">
        <f aca="false">Inputs_Banks!$AK24*MIN(1,p_w_base+p_w_pan*$CD$290+p_w_notch*G305+0.5*D305+1*E305)</f>
        <v>44.031</v>
      </c>
      <c r="O305" s="35" t="n">
        <f aca="false">Inputs_Banks!$AO24*MIN(1,p_cp_base+p_cp_pan*$CD$290+p_cp_notch*G305)</f>
        <v>6.29</v>
      </c>
      <c r="P305" s="35" t="n">
        <f aca="false">Inputs_Banks!$AN24*(p_dh+p_dh_pan*$CD$290+MIN(1,0.5*$CD$297+0.25*G305))</f>
        <v>21.26696</v>
      </c>
      <c r="Q305" s="35" t="n">
        <f aca="false">Modules!$Y24</f>
        <v>0.730916</v>
      </c>
      <c r="R305" s="35" t="n">
        <f aca="false">Inputs_Banks!$AJ24*K305</f>
        <v>812.19</v>
      </c>
      <c r="S305" s="35" t="n">
        <f aca="false">p_liq_on*$CD$298*SUM($M$287:$M$310)*R305/MAX(0.000000001,SUM($R$287:$R$310))</f>
        <v>168.188952592438</v>
      </c>
      <c r="T305" s="35" t="n">
        <f aca="false">p_liq_on*(L305+M305+N305+O305+P305+Q305)</f>
        <v>172.025361</v>
      </c>
      <c r="U305" s="35" t="n">
        <f aca="false">g_usable*Inputs_Banks!$AG24+p_cb_on*Inputs_Banks!$AQ24+S305</f>
        <v>544.168952592438</v>
      </c>
      <c r="V305" s="35" t="n">
        <f aca="false">MAX(0,T305-U305)</f>
        <v>0</v>
      </c>
      <c r="W305" s="44" t="n">
        <f aca="false">IF(V305&gt;0.9*Inputs_Banks!$BB24,1,0)</f>
        <v>0</v>
      </c>
      <c r="X305" s="43" t="n">
        <f aca="false">MAX(p_htm_forced,(1-p_cb_on)*MIN(1,T305/Inputs_Banks!$AG24)*g_theta_sell)</f>
        <v>0.125823113662961</v>
      </c>
      <c r="Y305" s="35" t="n">
        <f aca="false">MAX(0,Modules!$V24-B305/(Inputs_Banks!$I24+g_del_buf))</f>
        <v>163.05491922914</v>
      </c>
      <c r="Z305" s="35" t="n">
        <f aca="false">MIN(g_del_cap*Inputs_Banks!$BB24,Y305)</f>
        <v>63.9425</v>
      </c>
      <c r="AA305" s="35" t="n">
        <f aca="false">MIN(Inputs_Banks!$BB24,V305+Z305)</f>
        <v>63.9425</v>
      </c>
      <c r="AB305" s="35" t="n">
        <f aca="false">$AA305*Holdings!Q24</f>
        <v>0</v>
      </c>
      <c r="AC305" s="35" t="n">
        <f aca="false">$AA305*Holdings!R24</f>
        <v>0</v>
      </c>
      <c r="AD305" s="35" t="n">
        <f aca="false">$AA305*Holdings!S24</f>
        <v>0</v>
      </c>
      <c r="AE305" s="35" t="n">
        <f aca="false">$AA305*Holdings!T24</f>
        <v>0</v>
      </c>
      <c r="AF305" s="35" t="n">
        <f aca="false">$AA305*Holdings!U24</f>
        <v>10.3475</v>
      </c>
      <c r="AG305" s="35" t="n">
        <f aca="false">$AA305*Holdings!V24</f>
        <v>0</v>
      </c>
      <c r="AH305" s="35" t="n">
        <f aca="false">$AA305*Holdings!W24</f>
        <v>0.915</v>
      </c>
      <c r="AI305" s="35" t="n">
        <f aca="false">$AA305*Holdings!X24</f>
        <v>0</v>
      </c>
      <c r="AJ305" s="35" t="n">
        <f aca="false">$AA305*Holdings!Y24</f>
        <v>0.535</v>
      </c>
      <c r="AK305" s="35" t="n">
        <f aca="false">$AA305*Holdings!Z24</f>
        <v>0</v>
      </c>
      <c r="AL305" s="35" t="n">
        <f aca="false">$AA305*Holdings!AA24</f>
        <v>32.3075</v>
      </c>
      <c r="AM305" s="35" t="n">
        <f aca="false">$AA305*Holdings!AB24</f>
        <v>0</v>
      </c>
      <c r="AN305" s="35" t="n">
        <f aca="false">$AA305*Holdings!AC24</f>
        <v>19.8375</v>
      </c>
      <c r="AO305" s="43" t="n">
        <f aca="false">MIN(1,$CD$297+0.5*G305)</f>
        <v>1</v>
      </c>
      <c r="AP305" s="35" t="n">
        <f aca="false">p_liq_on*Inputs_Banks!$AP24*AO305*p_mb_psi</f>
        <v>0.18</v>
      </c>
      <c r="AQ305" s="44" t="n">
        <f aca="false">MAX(F305,E305,W305*(1-p_cb_on))</f>
        <v>0</v>
      </c>
      <c r="AR305" s="35" t="n">
        <f aca="false">p_ib_on*p_lgd_ib*g_s_in*g_u_ib*SUMPRODUCT(Network!U$6:U$29,$AQ$287:$AQ$310)</f>
        <v>10.91666863851</v>
      </c>
      <c r="AS305" s="35" t="n">
        <f aca="false">p_sw_M1*(SUMPRODUCT(BDC_EAD!U$106:U$127,$BF$287:$BF$308)+SUMPRODUCT(BDC_EAD!U$131:U$152,$BG$287:$BG$308)+(Inputs_Banks!$Y24+p_ccf_bl*Inputs_Banks!$Z24)*$CD$310+Modules!$E24)</f>
        <v>0.0607767881736133</v>
      </c>
      <c r="AT305" s="35" t="n">
        <f aca="false">p_sw_M3*(Inputs_Banks!$U24+p_ccf_abf*Inputs_Banks!$V24)*$CD$311</f>
        <v>0</v>
      </c>
      <c r="AU305" s="35" t="n">
        <f aca="false">p_sw_M10*Inputs_Banks!$AC24*$CD$312</f>
        <v>0</v>
      </c>
      <c r="AV305" s="35" t="n">
        <f aca="false">p_sw_M8*(Modules!$M24+Modules!$N24*IF(p_liq_on&gt;0,X305,p_htm_forced))</f>
        <v>0.542714787401624</v>
      </c>
      <c r="AW305" s="35" t="n">
        <f aca="false">SUMPRODUCT(Holdings!$C24:$O24,Holdings!$C$32:$O$32,$AB$312:$AN$312)+Inputs_Banks!$P24*$AL$312</f>
        <v>7.60623973690638</v>
      </c>
      <c r="AX305" s="35" t="n">
        <f aca="false">Modules!$T24+AS305+AT305+AU305+AV305+AW305+AR305</f>
        <v>29.2789027486616</v>
      </c>
      <c r="AY305" s="35" t="n">
        <f aca="false">Modules!$U24-(1-p_tax)*AX305</f>
        <v>43.1850972513385</v>
      </c>
      <c r="AZ305" s="39" t="n">
        <f aca="false">AY305/Modules!$V24</f>
        <v>0.0793534454428393</v>
      </c>
      <c r="BA305" s="48" t="s">
        <v>655</v>
      </c>
      <c r="BB305" s="43" t="n">
        <f aca="false">INDEX($BJ$287:$BJ$320,BDC_EAD!$B24)</f>
        <v>0.392098725301358</v>
      </c>
      <c r="BC305" s="43" t="n">
        <f aca="false">INDEX($BK$287:$BK$320,BDC_EAD!$B24)</f>
        <v>0.0620042590793056</v>
      </c>
      <c r="BD305" s="22" t="n">
        <f aca="false">INDEX(BDC!$Q$6:$Q$39,BDC_EAD!$B24)</f>
        <v>0.254901960784314</v>
      </c>
      <c r="BE305" s="43" t="n">
        <f aca="false">BB305*(1-$AK$312)-BC305-p_c_liq</f>
        <v>0.103650039836441</v>
      </c>
      <c r="BF305" s="43" t="n">
        <f aca="false">p_phi*MAX(0,p_a_spv-BE305)/p_a_spv+(1-p_phi)*MAX(0,p_a_spv-BB305)/p_a_spv</f>
        <v>0.769514604386537</v>
      </c>
      <c r="BG305" s="43" t="n">
        <f aca="false">IF(BD305&gt;0,p_phi*MAX(0,BD305-BE305)/BD305+(1-p_phi)*MAX(0,BD305-BB305)/BD305,0)</f>
        <v>0.474698336513323</v>
      </c>
      <c r="BI305" s="12" t="str">
        <f aca="false">BDC!$A$24</f>
        <v>OTIC</v>
      </c>
      <c r="BJ305" s="43" t="n">
        <f aca="false">1-((1-BDC!$D$24)*$CD$303+BDC!$D$24*$CD$304)-p_gap-$CD$293*(1-BDC!$M$24)</f>
        <v>0.384840432143422</v>
      </c>
      <c r="BK305" s="43" t="n">
        <f aca="false">(1-BDC!$D$24)*$CD$305+BDC!$D$24*$CD$306</f>
        <v>0.0578683636097197</v>
      </c>
      <c r="BL305" s="45" t="n">
        <f aca="false">BJ305/BDC!$K$24</f>
        <v>0.832329306728796</v>
      </c>
      <c r="BM305" s="35" t="n">
        <f aca="false">IF(BL305&lt;1.5,BDC!$C$24,0)</f>
        <v>5.06</v>
      </c>
      <c r="BN305" s="43" t="n">
        <f aca="false">MAX(0,1-BJ305*(1-CE_mig_hc)-p_bb_cush)*BDC!$Q$24</f>
        <v>0.270936849243253</v>
      </c>
      <c r="BO305" s="43" t="n">
        <f aca="false">MAX(0,BDC!$K$24-BJ305/1.5)</f>
        <v>0.205805303302235</v>
      </c>
      <c r="BP305" s="43" t="n">
        <f aca="false">MIN(MIN(1,BDC!$H$24*$CD$296),$CD$295)</f>
        <v>0.25</v>
      </c>
      <c r="BQ305" s="43" t="n">
        <f aca="false">BDC!$I$24*BDC!$J$24*BP305*(1-0.3)</f>
        <v>0.0940860215053764</v>
      </c>
      <c r="BR305" s="45" t="n">
        <f aca="false">BDC!$C$24*($CD$294*MAX(BN305,BO305)+BQ305)</f>
        <v>1.84701572598807</v>
      </c>
      <c r="CC305" s="10" t="s">
        <v>990</v>
      </c>
      <c r="CD305" s="43" t="n">
        <f aca="false">(1-$CD$301)*$CD$292/10000*g_dur_s</f>
        <v>0.0690464594734653</v>
      </c>
    </row>
    <row r="306" customFormat="false" ht="15" hidden="false" customHeight="true" outlineLevel="0" collapsed="false">
      <c r="A306" s="10" t="s">
        <v>535</v>
      </c>
      <c r="B306" s="35" t="n">
        <f aca="false">AY266</f>
        <v>2.33549298402798</v>
      </c>
      <c r="C306" s="39" t="n">
        <f aca="false">AZ266</f>
        <v>0.00281267876952754</v>
      </c>
      <c r="D306" s="44" t="n">
        <f aca="false">IF(C306&lt;Inputs_Banks!$I25,1,0)</f>
        <v>1</v>
      </c>
      <c r="E306" s="44" t="n">
        <f aca="false">IF(C306&lt;0.045,1,0)</f>
        <v>1</v>
      </c>
      <c r="F306" s="44" t="n">
        <f aca="false">IF(B306&lt;0,1,0)</f>
        <v>0</v>
      </c>
      <c r="G306" s="44" t="n">
        <f aca="false">MIN(6,MIN(3,INT(MAX(0,Inputs_Banks!$BA25-C306)/p_notch_step))+D306+2*E306)</f>
        <v>6</v>
      </c>
      <c r="H306" s="39" t="n">
        <f aca="false">C306-Inputs_Banks!$I25</f>
        <v>-0.0840873212304725</v>
      </c>
      <c r="I306" s="44" t="n">
        <f aca="false">RANK(H306,$H$287:$H$310,1)</f>
        <v>6</v>
      </c>
      <c r="J306" s="44" t="n">
        <f aca="false">MAX(IF(I306&lt;=g_n_weak,1,0),E306)</f>
        <v>1</v>
      </c>
      <c r="K306" s="44" t="n">
        <f aca="false">IF(I306&gt;12,1,0)*(1-E306)</f>
        <v>0</v>
      </c>
      <c r="L306" s="35" t="n">
        <f aca="false">INDEX(Inputs_Banks!$AR25:$AX25,1,G306+1)</f>
        <v>0.817907877744296</v>
      </c>
      <c r="M306" s="35" t="n">
        <f aca="false">Inputs_Banks!$AI25*MIN(1,p_u_base+$CD$290*p_u_pan_all+J306*($CD$290*p_u_pan_weak+p_u_mda*D306)+p_u_notch*G306+p_u_fail*E306)</f>
        <v>715.108384601193</v>
      </c>
      <c r="N306" s="35" t="n">
        <f aca="false">Inputs_Banks!$AK25*MIN(1,p_w_base+p_w_pan*$CD$290+p_w_notch*G306+0.5*D306+1*E306)</f>
        <v>111.414716192116</v>
      </c>
      <c r="O306" s="35" t="n">
        <f aca="false">Inputs_Banks!$AO25*MIN(1,p_cp_base+p_cp_pan*$CD$290+p_cp_notch*G306)</f>
        <v>32.9</v>
      </c>
      <c r="P306" s="35" t="n">
        <f aca="false">Inputs_Banks!$AN25*(p_dh+p_dh_pan*$CD$290+MIN(1,0.5*$CD$297+0.25*G306))</f>
        <v>76.0290509481086</v>
      </c>
      <c r="Q306" s="35" t="n">
        <f aca="false">Modules!$Y25</f>
        <v>21.0243399144764</v>
      </c>
      <c r="R306" s="35" t="n">
        <f aca="false">Inputs_Banks!$AJ25*K306</f>
        <v>0</v>
      </c>
      <c r="S306" s="35" t="n">
        <f aca="false">p_liq_on*$CD$298*SUM($M$287:$M$310)*R306/MAX(0.000000001,SUM($R$287:$R$310))</f>
        <v>0</v>
      </c>
      <c r="T306" s="35" t="n">
        <f aca="false">p_liq_on*(L306+M306+N306+O306+P306+Q306)</f>
        <v>957.294399533638</v>
      </c>
      <c r="U306" s="35" t="n">
        <f aca="false">g_usable*Inputs_Banks!$AG25+p_cb_on*Inputs_Banks!$AQ25+S306</f>
        <v>834.979565832359</v>
      </c>
      <c r="V306" s="35" t="n">
        <f aca="false">MAX(0,T306-U306)</f>
        <v>122.314833701279</v>
      </c>
      <c r="W306" s="44" t="n">
        <f aca="false">IF(V306&gt;0.9*Inputs_Banks!$BB25,1,0)</f>
        <v>0</v>
      </c>
      <c r="X306" s="43" t="n">
        <f aca="false">MAX(p_htm_forced,(1-p_cb_on)*MIN(1,T306/Inputs_Banks!$AG25)*g_theta_sell)</f>
        <v>0.25</v>
      </c>
      <c r="Y306" s="35" t="n">
        <f aca="false">MAX(0,Modules!$V25-B306/(Inputs_Banks!$I25+g_del_buf))</f>
        <v>804.93131006303</v>
      </c>
      <c r="Z306" s="35" t="n">
        <f aca="false">MIN(g_del_cap*Inputs_Banks!$BB25,Y306)</f>
        <v>34.975</v>
      </c>
      <c r="AA306" s="35" t="n">
        <f aca="false">MIN(Inputs_Banks!$BB25,V306+Z306)</f>
        <v>139.9</v>
      </c>
      <c r="AB306" s="35" t="n">
        <f aca="false">$AA306*Holdings!Q25</f>
        <v>0</v>
      </c>
      <c r="AC306" s="35" t="n">
        <f aca="false">$AA306*Holdings!R25</f>
        <v>0</v>
      </c>
      <c r="AD306" s="35" t="n">
        <f aca="false">$AA306*Holdings!S25</f>
        <v>0</v>
      </c>
      <c r="AE306" s="35" t="n">
        <f aca="false">$AA306*Holdings!T25</f>
        <v>0</v>
      </c>
      <c r="AF306" s="35" t="n">
        <f aca="false">$AA306*Holdings!U25</f>
        <v>24.89</v>
      </c>
      <c r="AG306" s="35" t="n">
        <f aca="false">$AA306*Holdings!V25</f>
        <v>0</v>
      </c>
      <c r="AH306" s="35" t="n">
        <f aca="false">$AA306*Holdings!W25</f>
        <v>0</v>
      </c>
      <c r="AI306" s="35" t="n">
        <f aca="false">$AA306*Holdings!X25</f>
        <v>42.43</v>
      </c>
      <c r="AJ306" s="35" t="n">
        <f aca="false">$AA306*Holdings!Y25</f>
        <v>0</v>
      </c>
      <c r="AK306" s="35" t="n">
        <f aca="false">$AA306*Holdings!Z25</f>
        <v>0</v>
      </c>
      <c r="AL306" s="35" t="n">
        <f aca="false">$AA306*Holdings!AA25</f>
        <v>33.46</v>
      </c>
      <c r="AM306" s="35" t="n">
        <f aca="false">$AA306*Holdings!AB25</f>
        <v>0</v>
      </c>
      <c r="AN306" s="35" t="n">
        <f aca="false">$AA306*Holdings!AC25</f>
        <v>39.12</v>
      </c>
      <c r="AO306" s="43" t="n">
        <f aca="false">MIN(1,$CD$297+0.5*G306)</f>
        <v>1</v>
      </c>
      <c r="AP306" s="35" t="n">
        <f aca="false">p_liq_on*Inputs_Banks!$AP25*AO306*p_mb_psi</f>
        <v>1.674</v>
      </c>
      <c r="AQ306" s="44" t="n">
        <f aca="false">MAX(F306,E306,W306*(1-p_cb_on))</f>
        <v>1</v>
      </c>
      <c r="AR306" s="35" t="n">
        <f aca="false">p_ib_on*p_lgd_ib*g_s_in*g_u_ib*SUMPRODUCT(Network!V$6:V$29,$AQ$287:$AQ$310)</f>
        <v>9.81310841621088</v>
      </c>
      <c r="AS306" s="35" t="n">
        <f aca="false">p_sw_M1*(SUMPRODUCT(BDC_EAD!V$106:V$127,$BF$287:$BF$308)+SUMPRODUCT(BDC_EAD!V$131:V$152,$BG$287:$BG$308)+(Inputs_Banks!$Y25+p_ccf_bl*Inputs_Banks!$Z25)*$CD$310+Modules!$E25)</f>
        <v>28.8226410800686</v>
      </c>
      <c r="AT306" s="35" t="n">
        <f aca="false">p_sw_M3*(Inputs_Banks!$U25+p_ccf_abf*Inputs_Banks!$V25)*$CD$311</f>
        <v>0</v>
      </c>
      <c r="AU306" s="35" t="n">
        <f aca="false">p_sw_M10*Inputs_Banks!$AC25*$CD$312</f>
        <v>0</v>
      </c>
      <c r="AV306" s="35" t="n">
        <f aca="false">p_sw_M8*(Modules!$M25+Modules!$N25*IF(p_liq_on&gt;0,X306,p_htm_forced))</f>
        <v>7.68041297429432</v>
      </c>
      <c r="AW306" s="35" t="n">
        <f aca="false">SUMPRODUCT(Holdings!$C25:$O25,Holdings!$C$32:$O$32,$AB$312:$AN$312)+Inputs_Banks!$P25*$AL$312</f>
        <v>22.2442070071431</v>
      </c>
      <c r="AX306" s="35" t="n">
        <f aca="false">Modules!$T25+AS306+AT306+AU306+AV306+AW306+AR306</f>
        <v>97.3022906701138</v>
      </c>
      <c r="AY306" s="35" t="n">
        <f aca="false">Modules!$U25-(1-p_tax)*AX306</f>
        <v>2.33549298402798</v>
      </c>
      <c r="AZ306" s="39" t="n">
        <f aca="false">AY306/Modules!$V25</f>
        <v>0.00281267876952754</v>
      </c>
      <c r="BA306" s="48" t="s">
        <v>645</v>
      </c>
      <c r="BB306" s="43" t="n">
        <f aca="false">INDEX($BJ$287:$BJ$320,BDC_EAD!$B25)</f>
        <v>0.413355834314687</v>
      </c>
      <c r="BC306" s="43" t="n">
        <f aca="false">INDEX($BK$287:$BK$320,BDC_EAD!$B25)</f>
        <v>0.0626004241920387</v>
      </c>
      <c r="BD306" s="22" t="n">
        <f aca="false">INDEX(BDC!$Q$6:$Q$39,BDC_EAD!$B25)</f>
        <v>0.212552795031056</v>
      </c>
      <c r="BE306" s="43" t="n">
        <f aca="false">BB306*(1-$AK$312)-BC306-p_c_liq</f>
        <v>0.114745284681039</v>
      </c>
      <c r="BF306" s="43" t="n">
        <f aca="false">p_phi*MAX(0,p_a_spv-BE306)/p_a_spv+(1-p_phi)*MAX(0,p_a_spv-BB306)/p_a_spv</f>
        <v>0.750760864846045</v>
      </c>
      <c r="BG306" s="43" t="n">
        <f aca="false">IF(BD306&gt;0,p_phi*MAX(0,BD306-BE306)/BD306+(1-p_phi)*MAX(0,BD306-BB306)/BD306,0)</f>
        <v>0.368125049913274</v>
      </c>
      <c r="BI306" s="12" t="str">
        <f aca="false">BDC!$A$25</f>
        <v>ASCF</v>
      </c>
      <c r="BJ306" s="43" t="n">
        <f aca="false">1-((1-BDC!$D$25)*$CD$303+BDC!$D$25*$CD$304)-p_gap-$CD$293*(1-BDC!$M$25)</f>
        <v>0.410212404154075</v>
      </c>
      <c r="BK306" s="43" t="n">
        <f aca="false">(1-BDC!$D$25)*$CD$305+BDC!$D$25*$CD$306</f>
        <v>0.0620787797183972</v>
      </c>
      <c r="BL306" s="45" t="n">
        <f aca="false">BJ306/BDC!$K$25</f>
        <v>0.760821296593456</v>
      </c>
      <c r="BM306" s="35" t="n">
        <f aca="false">IF(BL306&lt;1.5,BDC!$C$25,0)</f>
        <v>4.62</v>
      </c>
      <c r="BN306" s="43" t="n">
        <f aca="false">MAX(0,1-BJ306*(1-CE_mig_hc)-p_bb_cush)*BDC!$Q$25</f>
        <v>0.164799096707034</v>
      </c>
      <c r="BO306" s="43" t="n">
        <f aca="false">MAX(0,BDC!$K$25-BJ306/1.5)</f>
        <v>0.265695570809726</v>
      </c>
      <c r="BP306" s="43" t="n">
        <f aca="false">MIN(MIN(1,BDC!$H$25*$CD$296),$CD$295)</f>
        <v>0.25</v>
      </c>
      <c r="BQ306" s="43" t="n">
        <f aca="false">BDC!$I$25*BDC!$J$25*BP306*(1-0.3)</f>
        <v>0.0806451612903226</v>
      </c>
      <c r="BR306" s="45" t="n">
        <f aca="false">BDC!$C$25*($CD$294*MAX(BN306,BO306)+BQ306)</f>
        <v>1.60009418230222</v>
      </c>
      <c r="CC306" s="10" t="s">
        <v>991</v>
      </c>
      <c r="CD306" s="43" t="n">
        <f aca="false">(1-$CD$302)*($CD$292+p_ds_sw)/10000*g_dur_s</f>
        <v>0.0317861399276465</v>
      </c>
    </row>
    <row r="307" customFormat="false" ht="15" hidden="false" customHeight="true" outlineLevel="0" collapsed="false">
      <c r="A307" s="10" t="s">
        <v>537</v>
      </c>
      <c r="B307" s="35" t="n">
        <f aca="false">AY267</f>
        <v>31.4382369652748</v>
      </c>
      <c r="C307" s="39" t="n">
        <f aca="false">AZ267</f>
        <v>0.0463485337720714</v>
      </c>
      <c r="D307" s="44" t="n">
        <f aca="false">IF(C307&lt;Inputs_Banks!$I26,1,0)</f>
        <v>1</v>
      </c>
      <c r="E307" s="44" t="n">
        <f aca="false">IF(C307&lt;0.045,1,0)</f>
        <v>0</v>
      </c>
      <c r="F307" s="44" t="n">
        <f aca="false">IF(B307&lt;0,1,0)</f>
        <v>0</v>
      </c>
      <c r="G307" s="44" t="n">
        <f aca="false">MIN(6,MIN(3,INT(MAX(0,Inputs_Banks!$BA26-C307)/p_notch_step))+D307+2*E307)</f>
        <v>4</v>
      </c>
      <c r="H307" s="39" t="n">
        <f aca="false">C307-Inputs_Banks!$I26</f>
        <v>-0.0353514662279286</v>
      </c>
      <c r="I307" s="44" t="n">
        <f aca="false">RANK(H307,$H$287:$H$310,1)</f>
        <v>19</v>
      </c>
      <c r="J307" s="44" t="n">
        <f aca="false">MAX(IF(I307&lt;=g_n_weak,1,0),E307)</f>
        <v>0</v>
      </c>
      <c r="K307" s="44" t="n">
        <f aca="false">IF(I307&gt;12,1,0)*(1-E307)</f>
        <v>1</v>
      </c>
      <c r="L307" s="35" t="n">
        <f aca="false">INDEX(Inputs_Banks!$AR26:$AX26,1,G307+1)</f>
        <v>2.38995739499416</v>
      </c>
      <c r="M307" s="35" t="n">
        <f aca="false">Inputs_Banks!$AI26*MIN(1,p_u_base+$CD$290*p_u_pan_all+J307*($CD$290*p_u_pan_weak+p_u_mda*D307)+p_u_notch*G307+p_u_fail*E307)</f>
        <v>179.605346842138</v>
      </c>
      <c r="N307" s="35" t="n">
        <f aca="false">Inputs_Banks!$AK26*MIN(1,p_w_base+p_w_pan*$CD$290+p_w_notch*G307+0.5*D307+1*E307)</f>
        <v>142.213430908308</v>
      </c>
      <c r="O307" s="35" t="n">
        <f aca="false">Inputs_Banks!$AO26*MIN(1,p_cp_base+p_cp_pan*$CD$290+p_cp_notch*G307)</f>
        <v>24.02</v>
      </c>
      <c r="P307" s="35" t="n">
        <f aca="false">Inputs_Banks!$AN26*(p_dh+p_dh_pan*$CD$290+MIN(1,0.5*$CD$297+0.25*G307))</f>
        <v>30.3571427289411</v>
      </c>
      <c r="Q307" s="35" t="n">
        <f aca="false">Modules!$Y26</f>
        <v>5.08130839142734</v>
      </c>
      <c r="R307" s="35" t="n">
        <f aca="false">Inputs_Banks!$AJ26*K307</f>
        <v>1241.80817292909</v>
      </c>
      <c r="S307" s="35" t="n">
        <f aca="false">p_liq_on*$CD$298*SUM($M$287:$M$310)*R307/MAX(0.000000001,SUM($R$287:$R$310))</f>
        <v>257.154626289013</v>
      </c>
      <c r="T307" s="35" t="n">
        <f aca="false">p_liq_on*(L307+M307+N307+O307+P307+Q307)</f>
        <v>383.667186265808</v>
      </c>
      <c r="U307" s="35" t="n">
        <f aca="false">g_usable*Inputs_Banks!$AG26+p_cb_on*Inputs_Banks!$AQ26+S307</f>
        <v>914.392909912406</v>
      </c>
      <c r="V307" s="35" t="n">
        <f aca="false">MAX(0,T307-U307)</f>
        <v>0</v>
      </c>
      <c r="W307" s="44" t="n">
        <f aca="false">IF(V307&gt;0.9*Inputs_Banks!$BB26,1,0)</f>
        <v>0</v>
      </c>
      <c r="X307" s="43" t="n">
        <f aca="false">MAX(p_htm_forced,(1-p_cb_on)*MIN(1,T307/Inputs_Banks!$AG26)*g_theta_sell)</f>
        <v>0.160533065179075</v>
      </c>
      <c r="Y307" s="35" t="n">
        <f aca="false">MAX(0,Modules!$V26-B307/(Inputs_Banks!$I26+g_del_buf))</f>
        <v>315.691149022337</v>
      </c>
      <c r="Z307" s="35" t="n">
        <f aca="false">MIN(g_del_cap*Inputs_Banks!$BB26,Y307)</f>
        <v>9.4025</v>
      </c>
      <c r="AA307" s="35" t="n">
        <f aca="false">MIN(Inputs_Banks!$BB26,V307+Z307)</f>
        <v>9.4025</v>
      </c>
      <c r="AB307" s="35" t="n">
        <f aca="false">$AA307*Holdings!Q26</f>
        <v>0</v>
      </c>
      <c r="AC307" s="35" t="n">
        <f aca="false">$AA307*Holdings!R26</f>
        <v>0</v>
      </c>
      <c r="AD307" s="35" t="n">
        <f aca="false">$AA307*Holdings!S26</f>
        <v>0</v>
      </c>
      <c r="AE307" s="35" t="n">
        <f aca="false">$AA307*Holdings!T26</f>
        <v>0</v>
      </c>
      <c r="AF307" s="35" t="n">
        <f aca="false">$AA307*Holdings!U26</f>
        <v>0.78</v>
      </c>
      <c r="AG307" s="35" t="n">
        <f aca="false">$AA307*Holdings!V26</f>
        <v>0</v>
      </c>
      <c r="AH307" s="35" t="n">
        <f aca="false">$AA307*Holdings!W26</f>
        <v>0</v>
      </c>
      <c r="AI307" s="35" t="n">
        <f aca="false">$AA307*Holdings!X26</f>
        <v>0</v>
      </c>
      <c r="AJ307" s="35" t="n">
        <f aca="false">$AA307*Holdings!Y26</f>
        <v>0</v>
      </c>
      <c r="AK307" s="35" t="n">
        <f aca="false">$AA307*Holdings!Z26</f>
        <v>0</v>
      </c>
      <c r="AL307" s="35" t="n">
        <f aca="false">$AA307*Holdings!AA26</f>
        <v>0.6375</v>
      </c>
      <c r="AM307" s="35" t="n">
        <f aca="false">$AA307*Holdings!AB26</f>
        <v>0</v>
      </c>
      <c r="AN307" s="35" t="n">
        <f aca="false">$AA307*Holdings!AC26</f>
        <v>7.985</v>
      </c>
      <c r="AO307" s="43" t="n">
        <f aca="false">MIN(1,$CD$297+0.5*G307)</f>
        <v>1</v>
      </c>
      <c r="AP307" s="35" t="n">
        <f aca="false">p_liq_on*Inputs_Banks!$AP26*AO307*p_mb_psi</f>
        <v>0.468</v>
      </c>
      <c r="AQ307" s="44" t="n">
        <f aca="false">MAX(F307,E307,W307*(1-p_cb_on))</f>
        <v>0</v>
      </c>
      <c r="AR307" s="35" t="n">
        <f aca="false">p_ib_on*p_lgd_ib*g_s_in*g_u_ib*SUMPRODUCT(Network!W$6:W$29,$AQ$287:$AQ$310)</f>
        <v>12.0727499706953</v>
      </c>
      <c r="AS307" s="35" t="n">
        <f aca="false">p_sw_M1*(SUMPRODUCT(BDC_EAD!W$106:W$127,$BF$287:$BF$308)+SUMPRODUCT(BDC_EAD!W$131:W$152,$BG$287:$BG$308)+(Inputs_Banks!$Y26+p_ccf_bl*Inputs_Banks!$Z26)*$CD$310+Modules!$E26)</f>
        <v>7.70107823629907</v>
      </c>
      <c r="AT307" s="35" t="n">
        <f aca="false">p_sw_M3*(Inputs_Banks!$U26+p_ccf_abf*Inputs_Banks!$V26)*$CD$311</f>
        <v>0</v>
      </c>
      <c r="AU307" s="35" t="n">
        <f aca="false">p_sw_M10*Inputs_Banks!$AC26*$CD$312</f>
        <v>0</v>
      </c>
      <c r="AV307" s="35" t="n">
        <f aca="false">p_sw_M8*(Modules!$M26+Modules!$N26*IF(p_liq_on&gt;0,X307,p_htm_forced))</f>
        <v>2.24642856226028</v>
      </c>
      <c r="AW307" s="35" t="n">
        <f aca="false">SUMPRODUCT(Holdings!$C26:$O26,Holdings!$C$32:$O$32,$AB$312:$AN$312)+Inputs_Banks!$P26*$AL$312</f>
        <v>9.8988542345359</v>
      </c>
      <c r="AX307" s="35" t="n">
        <f aca="false">Modules!$T26+AS307+AT307+AU307+AV307+AW307+AR307</f>
        <v>47.8996942812661</v>
      </c>
      <c r="AY307" s="35" t="n">
        <f aca="false">Modules!$U26-(1-p_tax)*AX307</f>
        <v>31.4382369652748</v>
      </c>
      <c r="AZ307" s="39" t="n">
        <f aca="false">AY307/Modules!$V26</f>
        <v>0.0463485337720714</v>
      </c>
      <c r="BA307" s="48" t="s">
        <v>639</v>
      </c>
      <c r="BB307" s="43" t="n">
        <f aca="false">INDEX($BJ$287:$BJ$320,BDC_EAD!$B26)</f>
        <v>0.261914595446638</v>
      </c>
      <c r="BC307" s="43" t="n">
        <f aca="false">INDEX($BK$287:$BK$320,BDC_EAD!$B26)</f>
        <v>0.0568250746624368</v>
      </c>
      <c r="BD307" s="22" t="n">
        <f aca="false">INDEX(BDC!$Q$6:$Q$39,BDC_EAD!$B26)</f>
        <v>0.310820512820513</v>
      </c>
      <c r="BE307" s="43" t="n">
        <f aca="false">BB307*(1-$AK$312)-BC307-p_c_liq</f>
        <v>0.0372279528332139</v>
      </c>
      <c r="BF307" s="43" t="n">
        <f aca="false">p_phi*MAX(0,p_a_spv-BE307)/p_a_spv+(1-p_phi)*MAX(0,p_a_spv-BB307)/p_a_spv</f>
        <v>0.882621026634431</v>
      </c>
      <c r="BG307" s="43" t="n">
        <f aca="false">IF(BD307&gt;0,p_phi*MAX(0,BD307-BE307)/BD307+(1-p_phi)*MAX(0,BD307-BB307)/BD307,0)</f>
        <v>0.735650389962049</v>
      </c>
      <c r="BI307" s="12" t="str">
        <f aca="false">BDC!$A$26</f>
        <v>HTGC</v>
      </c>
      <c r="BJ307" s="43" t="n">
        <f aca="false">1-((1-BDC!$D$26)*$CD$303+BDC!$D$26*$CD$304)-p_gap-$CD$293*(1-BDC!$M$26)</f>
        <v>0.49422228775433</v>
      </c>
      <c r="BK307" s="43" t="n">
        <f aca="false">(1-BDC!$D$26)*$CD$305+BDC!$D$26*$CD$306</f>
        <v>0.0568250746624368</v>
      </c>
      <c r="BL307" s="45" t="n">
        <f aca="false">BJ307/BDC!$K$26</f>
        <v>0.974049751593485</v>
      </c>
      <c r="BM307" s="35" t="n">
        <f aca="false">IF(BL307&lt;1.5,BDC!$C$26,0)</f>
        <v>4.58</v>
      </c>
      <c r="BN307" s="43" t="n">
        <f aca="false">MAX(0,1-BJ307*(1-CE_mig_hc)-p_bb_cush)*BDC!$Q$26</f>
        <v>0.136448855252561</v>
      </c>
      <c r="BO307" s="43" t="n">
        <f aca="false">MAX(0,BDC!$K$26-BJ307/1.5)</f>
        <v>0.177907637392023</v>
      </c>
      <c r="BP307" s="43" t="n">
        <f aca="false">MIN(MIN(1,BDC!$H$26*$CD$296),$CD$295)</f>
        <v>0</v>
      </c>
      <c r="BQ307" s="43" t="n">
        <f aca="false">BDC!$I$26*BDC!$J$26*BP307*(1-0.3)</f>
        <v>0</v>
      </c>
      <c r="BR307" s="45" t="n">
        <f aca="false">BDC!$C$26*($CD$294*MAX(BN307,BO307)+BQ307)</f>
        <v>0.814816979255466</v>
      </c>
      <c r="CC307" s="10" t="s">
        <v>992</v>
      </c>
      <c r="CD307" s="43" t="n">
        <f aca="false">1-((1-CE_sw_sys)*$CD$303+CE_sw_sys*$CD$304)-p_gap-$CD$293*(1-CE_mk_sys)</f>
        <v>0.408146622487016</v>
      </c>
    </row>
    <row r="308" customFormat="false" ht="15" hidden="false" customHeight="true" outlineLevel="0" collapsed="false">
      <c r="A308" s="10" t="s">
        <v>538</v>
      </c>
      <c r="B308" s="35" t="n">
        <f aca="false">AY268</f>
        <v>37.3401194889872</v>
      </c>
      <c r="C308" s="39" t="n">
        <f aca="false">AZ268</f>
        <v>0.0683840792474054</v>
      </c>
      <c r="D308" s="44" t="n">
        <f aca="false">IF(C308&lt;Inputs_Banks!$I27,1,0)</f>
        <v>1</v>
      </c>
      <c r="E308" s="44" t="n">
        <f aca="false">IF(C308&lt;0.045,1,0)</f>
        <v>0</v>
      </c>
      <c r="F308" s="44" t="n">
        <f aca="false">IF(B308&lt;0,1,0)</f>
        <v>0</v>
      </c>
      <c r="G308" s="44" t="n">
        <f aca="false">MIN(6,MIN(3,INT(MAX(0,Inputs_Banks!$BA27-C308)/p_notch_step))+D308+2*E308)</f>
        <v>3</v>
      </c>
      <c r="H308" s="39" t="n">
        <f aca="false">C308-Inputs_Banks!$I27</f>
        <v>-0.0129159207525946</v>
      </c>
      <c r="I308" s="44" t="n">
        <f aca="false">RANK(H308,$H$287:$H$310,1)</f>
        <v>22</v>
      </c>
      <c r="J308" s="44" t="n">
        <f aca="false">MAX(IF(I308&lt;=g_n_weak,1,0),E308)</f>
        <v>0</v>
      </c>
      <c r="K308" s="44" t="n">
        <f aca="false">IF(I308&gt;12,1,0)*(1-E308)</f>
        <v>1</v>
      </c>
      <c r="L308" s="35" t="n">
        <f aca="false">INDEX(Inputs_Banks!$AR27:$AX27,1,G308+1)</f>
        <v>1.75265973802349</v>
      </c>
      <c r="M308" s="35" t="n">
        <f aca="false">Inputs_Banks!$AI27*MIN(1,p_u_base+$CD$290*p_u_pan_all+J308*($CD$290*p_u_pan_weak+p_u_mda*D308)+p_u_notch*G308+p_u_fail*E308)</f>
        <v>150.345736670561</v>
      </c>
      <c r="N308" s="35" t="n">
        <f aca="false">Inputs_Banks!$AK27*MIN(1,p_w_base+p_w_pan*$CD$290+p_w_notch*G308+0.5*D308+1*E308)</f>
        <v>37.6025029210996</v>
      </c>
      <c r="O308" s="35" t="n">
        <f aca="false">Inputs_Banks!$AO27*MIN(1,p_cp_base+p_cp_pan*$CD$290+p_cp_notch*G308)</f>
        <v>15.5</v>
      </c>
      <c r="P308" s="35" t="n">
        <f aca="false">Inputs_Banks!$AN27*(p_dh+p_dh_pan*$CD$290+MIN(1,0.5*$CD$297+0.25*G308))</f>
        <v>71.2624542599161</v>
      </c>
      <c r="Q308" s="35" t="n">
        <f aca="false">Modules!$Y27</f>
        <v>8.4308773</v>
      </c>
      <c r="R308" s="35" t="n">
        <f aca="false">Inputs_Banks!$AJ27*K308</f>
        <v>1101.02948773138</v>
      </c>
      <c r="S308" s="35" t="n">
        <f aca="false">p_liq_on*$CD$298*SUM($M$287:$M$310)*R308/MAX(0.000000001,SUM($R$287:$R$310))</f>
        <v>228.002063944311</v>
      </c>
      <c r="T308" s="35" t="n">
        <f aca="false">p_liq_on*(L308+M308+N308+O308+P308+Q308)</f>
        <v>284.894230889601</v>
      </c>
      <c r="U308" s="35" t="n">
        <f aca="false">g_usable*Inputs_Banks!$AG27+p_cb_on*Inputs_Banks!$AQ27+S308</f>
        <v>781.793806764555</v>
      </c>
      <c r="V308" s="35" t="n">
        <f aca="false">MAX(0,T308-U308)</f>
        <v>0</v>
      </c>
      <c r="W308" s="44" t="n">
        <f aca="false">IF(V308&gt;0.9*Inputs_Banks!$BB27,1,0)</f>
        <v>0</v>
      </c>
      <c r="X308" s="43" t="n">
        <f aca="false">MAX(p_htm_forced,(1-p_cb_on)*MIN(1,T308/Inputs_Banks!$AG27)*g_theta_sell)</f>
        <v>0.141471797856095</v>
      </c>
      <c r="Y308" s="35" t="n">
        <f aca="false">MAX(0,Modules!$V27-B308/(Inputs_Banks!$I27+g_del_buf))</f>
        <v>113.357180852337</v>
      </c>
      <c r="Z308" s="35" t="n">
        <f aca="false">MIN(g_del_cap*Inputs_Banks!$BB27,Y308)</f>
        <v>12.31</v>
      </c>
      <c r="AA308" s="35" t="n">
        <f aca="false">MIN(Inputs_Banks!$BB27,V308+Z308)</f>
        <v>12.31</v>
      </c>
      <c r="AB308" s="35" t="n">
        <f aca="false">$AA308*Holdings!Q27</f>
        <v>0</v>
      </c>
      <c r="AC308" s="35" t="n">
        <f aca="false">$AA308*Holdings!R27</f>
        <v>0</v>
      </c>
      <c r="AD308" s="35" t="n">
        <f aca="false">$AA308*Holdings!S27</f>
        <v>0</v>
      </c>
      <c r="AE308" s="35" t="n">
        <f aca="false">$AA308*Holdings!T27</f>
        <v>0</v>
      </c>
      <c r="AF308" s="35" t="n">
        <f aca="false">$AA308*Holdings!U27</f>
        <v>0</v>
      </c>
      <c r="AG308" s="35" t="n">
        <f aca="false">$AA308*Holdings!V27</f>
        <v>0</v>
      </c>
      <c r="AH308" s="35" t="n">
        <f aca="false">$AA308*Holdings!W27</f>
        <v>0</v>
      </c>
      <c r="AI308" s="35" t="n">
        <f aca="false">$AA308*Holdings!X27</f>
        <v>0</v>
      </c>
      <c r="AJ308" s="35" t="n">
        <f aca="false">$AA308*Holdings!Y27</f>
        <v>0</v>
      </c>
      <c r="AK308" s="35" t="n">
        <f aca="false">$AA308*Holdings!Z27</f>
        <v>0</v>
      </c>
      <c r="AL308" s="35" t="n">
        <f aca="false">$AA308*Holdings!AA27</f>
        <v>0</v>
      </c>
      <c r="AM308" s="35" t="n">
        <f aca="false">$AA308*Holdings!AB27</f>
        <v>0</v>
      </c>
      <c r="AN308" s="35" t="n">
        <f aca="false">$AA308*Holdings!AC27</f>
        <v>12.31</v>
      </c>
      <c r="AO308" s="43" t="n">
        <f aca="false">MIN(1,$CD$297+0.5*G308)</f>
        <v>1</v>
      </c>
      <c r="AP308" s="35" t="n">
        <f aca="false">p_liq_on*Inputs_Banks!$AP27*AO308*p_mb_psi</f>
        <v>4.374</v>
      </c>
      <c r="AQ308" s="44" t="n">
        <f aca="false">MAX(F308,E308,W308*(1-p_cb_on))</f>
        <v>0</v>
      </c>
      <c r="AR308" s="35" t="n">
        <f aca="false">p_ib_on*p_lgd_ib*g_s_in*g_u_ib*SUMPRODUCT(Network!X$6:X$29,$AQ$287:$AQ$310)</f>
        <v>3.61209531474899</v>
      </c>
      <c r="AS308" s="35" t="n">
        <f aca="false">p_sw_M1*(SUMPRODUCT(BDC_EAD!X$106:X$127,$BF$287:$BF$308)+SUMPRODUCT(BDC_EAD!X$131:X$152,$BG$287:$BG$308)+(Inputs_Banks!$Y27+p_ccf_bl*Inputs_Banks!$Z27)*$CD$310+Modules!$E27)</f>
        <v>7.83931301052684</v>
      </c>
      <c r="AT308" s="35" t="n">
        <f aca="false">p_sw_M3*(Inputs_Banks!$U27+p_ccf_abf*Inputs_Banks!$V27)*$CD$311</f>
        <v>0</v>
      </c>
      <c r="AU308" s="35" t="n">
        <f aca="false">p_sw_M10*Inputs_Banks!$AC27*$CD$312</f>
        <v>0</v>
      </c>
      <c r="AV308" s="35" t="n">
        <f aca="false">p_sw_M8*(Modules!$M27+Modules!$N27*IF(p_liq_on&gt;0,X308,p_htm_forced))</f>
        <v>1.7060801035343</v>
      </c>
      <c r="AW308" s="35" t="n">
        <f aca="false">SUMPRODUCT(Holdings!$C27:$O27,Holdings!$C$32:$O$32,$AB$312:$AN$312)+Inputs_Banks!$P27*$AL$312</f>
        <v>7.97620246435341</v>
      </c>
      <c r="AX308" s="35" t="n">
        <f aca="false">Modules!$T27+AS308+AT308+AU308+AV308+AW308+AR308</f>
        <v>30.9828618774724</v>
      </c>
      <c r="AY308" s="35" t="n">
        <f aca="false">Modules!$U27-(1-p_tax)*AX308</f>
        <v>37.3401194889872</v>
      </c>
      <c r="AZ308" s="39" t="n">
        <f aca="false">AY308/Modules!$V27</f>
        <v>0.0683840792474054</v>
      </c>
      <c r="BA308" s="48" t="s">
        <v>653</v>
      </c>
      <c r="BB308" s="43" t="n">
        <f aca="false">INDEX($BJ$287:$BJ$320,BDC_EAD!$B27)</f>
        <v>0.525207527908933</v>
      </c>
      <c r="BC308" s="43" t="n">
        <f aca="false">INDEX($BK$287:$BK$320,BDC_EAD!$B27)</f>
        <v>0.0619669987597598</v>
      </c>
      <c r="BD308" s="22" t="n">
        <f aca="false">INDEX(BDC!$Q$6:$Q$39,BDC_EAD!$B27)</f>
        <v>0.118607929515418</v>
      </c>
      <c r="BE308" s="43" t="n">
        <f aca="false">BB308*(1-$AK$312)-BC308-p_c_liq</f>
        <v>0.176897141590153</v>
      </c>
      <c r="BF308" s="43" t="n">
        <f aca="false">p_phi*MAX(0,p_a_spv-BE308)/p_a_spv+(1-p_phi)*MAX(0,p_a_spv-BB308)/p_a_spv</f>
        <v>0.647772544494415</v>
      </c>
      <c r="BG308" s="43" t="n">
        <f aca="false">IF(BD308&gt;0,p_phi*MAX(0,BD308-BE308)/BD308+(1-p_phi)*MAX(0,BD308-BB308)/BD308,0)</f>
        <v>0</v>
      </c>
      <c r="BI308" s="12" t="str">
        <f aca="false">BDC!$A$27</f>
        <v>MSDL</v>
      </c>
      <c r="BJ308" s="43" t="n">
        <f aca="false">1-((1-BDC!$D$27)*$CD$303+BDC!$D$27*$CD$304)-p_gap-$CD$293*(1-BDC!$M$27)</f>
        <v>0.363449670124075</v>
      </c>
      <c r="BK308" s="43" t="n">
        <f aca="false">(1-BDC!$D$27)*$CD$305+BDC!$D$27*$CD$306</f>
        <v>0.0611472717297517</v>
      </c>
      <c r="BL308" s="45" t="n">
        <f aca="false">BJ308/BDC!$K$27</f>
        <v>0.666324395227472</v>
      </c>
      <c r="BM308" s="35" t="n">
        <f aca="false">IF(BL308&lt;1.5,BDC!$C$27,0)</f>
        <v>3.55</v>
      </c>
      <c r="BN308" s="43" t="n">
        <f aca="false">MAX(0,1-BJ308*(1-CE_mig_hc)-p_bb_cush)*BDC!$Q$27</f>
        <v>0.155815521691545</v>
      </c>
      <c r="BO308" s="43" t="n">
        <f aca="false">MAX(0,BDC!$K$27-BJ308/1.5)</f>
        <v>0.303154765371829</v>
      </c>
      <c r="BP308" s="43" t="n">
        <f aca="false">MIN(MIN(1,BDC!$H$27*$CD$296),$CD$295)</f>
        <v>0</v>
      </c>
      <c r="BQ308" s="43" t="n">
        <f aca="false">BDC!$I$27*BDC!$J$27*BP308*(1-0.3)</f>
        <v>0</v>
      </c>
      <c r="BR308" s="45" t="n">
        <f aca="false">BDC!$C$27*($CD$294*MAX(BN308,BO308)+BQ308)</f>
        <v>1.07619941706999</v>
      </c>
      <c r="CC308" s="10" t="s">
        <v>845</v>
      </c>
      <c r="CD308" s="43" t="n">
        <f aca="false">(1-CE_sw_sys)*$CD$305+CE_sw_sys*$CD$306</f>
        <v>0.0617359683514154</v>
      </c>
    </row>
    <row r="309" customFormat="false" ht="15" hidden="false" customHeight="true" outlineLevel="0" collapsed="false">
      <c r="A309" s="10" t="s">
        <v>540</v>
      </c>
      <c r="B309" s="35" t="n">
        <f aca="false">AY269</f>
        <v>33.2268270772335</v>
      </c>
      <c r="C309" s="39" t="n">
        <f aca="false">AZ269</f>
        <v>0.0561728885356686</v>
      </c>
      <c r="D309" s="44" t="n">
        <f aca="false">IF(C309&lt;Inputs_Banks!$I28,1,0)</f>
        <v>1</v>
      </c>
      <c r="E309" s="44" t="n">
        <f aca="false">IF(C309&lt;0.045,1,0)</f>
        <v>0</v>
      </c>
      <c r="F309" s="44" t="n">
        <f aca="false">IF(B309&lt;0,1,0)</f>
        <v>0</v>
      </c>
      <c r="G309" s="44" t="n">
        <f aca="false">MIN(6,MIN(3,INT(MAX(0,Inputs_Banks!$BA28-C309)/p_notch_step))+D309+2*E309)</f>
        <v>4</v>
      </c>
      <c r="H309" s="39" t="n">
        <f aca="false">C309-Inputs_Banks!$I28</f>
        <v>-0.0548271114643314</v>
      </c>
      <c r="I309" s="44" t="n">
        <f aca="false">RANK(H309,$H$287:$H$310,1)</f>
        <v>14</v>
      </c>
      <c r="J309" s="44" t="n">
        <f aca="false">MAX(IF(I309&lt;=g_n_weak,1,0),E309)</f>
        <v>0</v>
      </c>
      <c r="K309" s="44" t="n">
        <f aca="false">IF(I309&gt;12,1,0)*(1-E309)</f>
        <v>1</v>
      </c>
      <c r="L309" s="35" t="n">
        <f aca="false">INDEX(Inputs_Banks!$AR28:$AX28,1,G309+1)</f>
        <v>1.06969376979937</v>
      </c>
      <c r="M309" s="35" t="n">
        <f aca="false">Inputs_Banks!$AI28*MIN(1,p_u_base+$CD$290*p_u_pan_all+J309*($CD$290*p_u_pan_weak+p_u_mda*D309)+p_u_notch*G309+p_u_fail*E309)</f>
        <v>118.306518831397</v>
      </c>
      <c r="N309" s="35" t="n">
        <f aca="false">Inputs_Banks!$AK28*MIN(1,p_w_base+p_w_pan*$CD$290+p_w_notch*G309+0.5*D309+1*E309)</f>
        <v>111.12284406899</v>
      </c>
      <c r="O309" s="35" t="n">
        <f aca="false">Inputs_Banks!$AO28*MIN(1,p_cp_base+p_cp_pan*$CD$290+p_cp_notch*G309)</f>
        <v>38.53</v>
      </c>
      <c r="P309" s="35" t="n">
        <f aca="false">Inputs_Banks!$AN28*(p_dh+p_dh_pan*$CD$290+MIN(1,0.5*$CD$297+0.25*G309))</f>
        <v>88.8900335264263</v>
      </c>
      <c r="Q309" s="35" t="n">
        <f aca="false">Modules!$Y28</f>
        <v>3.6692462</v>
      </c>
      <c r="R309" s="35" t="n">
        <f aca="false">Inputs_Banks!$AJ28*K309</f>
        <v>1157.74234424498</v>
      </c>
      <c r="S309" s="35" t="n">
        <f aca="false">p_liq_on*$CD$298*SUM($M$287:$M$310)*R309/MAX(0.000000001,SUM($R$287:$R$310))</f>
        <v>239.746207476671</v>
      </c>
      <c r="T309" s="35" t="n">
        <f aca="false">p_liq_on*(L309+M309+N309+O309+P309+Q309)</f>
        <v>361.588336396613</v>
      </c>
      <c r="U309" s="35" t="n">
        <f aca="false">g_usable*Inputs_Banks!$AG28+p_cb_on*Inputs_Banks!$AQ28+S309</f>
        <v>751.261061401345</v>
      </c>
      <c r="V309" s="35" t="n">
        <f aca="false">MAX(0,T309-U309)</f>
        <v>0</v>
      </c>
      <c r="W309" s="44" t="n">
        <f aca="false">IF(V309&gt;0.9*Inputs_Banks!$BB28,1,0)</f>
        <v>0</v>
      </c>
      <c r="X309" s="43" t="n">
        <f aca="false">MAX(p_htm_forced,(1-p_cb_on)*MIN(1,T309/Inputs_Banks!$AG28)*g_theta_sell)</f>
        <v>0.25</v>
      </c>
      <c r="Y309" s="35" t="n">
        <f aca="false">MAX(0,Modules!$V28-B309/(Inputs_Banks!$I28+g_del_buf))</f>
        <v>305.071867220077</v>
      </c>
      <c r="Z309" s="35" t="n">
        <f aca="false">MIN(g_del_cap*Inputs_Banks!$BB28,Y309)</f>
        <v>33.855</v>
      </c>
      <c r="AA309" s="35" t="n">
        <f aca="false">MIN(Inputs_Banks!$BB28,V309+Z309)</f>
        <v>33.855</v>
      </c>
      <c r="AB309" s="35" t="n">
        <f aca="false">$AA309*Holdings!Q28</f>
        <v>0</v>
      </c>
      <c r="AC309" s="35" t="n">
        <f aca="false">$AA309*Holdings!R28</f>
        <v>0</v>
      </c>
      <c r="AD309" s="35" t="n">
        <f aca="false">$AA309*Holdings!S28</f>
        <v>0</v>
      </c>
      <c r="AE309" s="35" t="n">
        <f aca="false">$AA309*Holdings!T28</f>
        <v>0</v>
      </c>
      <c r="AF309" s="35" t="n">
        <f aca="false">$AA309*Holdings!U28</f>
        <v>13.575</v>
      </c>
      <c r="AG309" s="35" t="n">
        <f aca="false">$AA309*Holdings!V28</f>
        <v>0.3625</v>
      </c>
      <c r="AH309" s="35" t="n">
        <f aca="false">$AA309*Holdings!W28</f>
        <v>0</v>
      </c>
      <c r="AI309" s="35" t="n">
        <f aca="false">$AA309*Holdings!X28</f>
        <v>0</v>
      </c>
      <c r="AJ309" s="35" t="n">
        <f aca="false">$AA309*Holdings!Y28</f>
        <v>2.83</v>
      </c>
      <c r="AK309" s="35" t="n">
        <f aca="false">$AA309*Holdings!Z28</f>
        <v>0</v>
      </c>
      <c r="AL309" s="35" t="n">
        <f aca="false">$AA309*Holdings!AA28</f>
        <v>17.0875</v>
      </c>
      <c r="AM309" s="35" t="n">
        <f aca="false">$AA309*Holdings!AB28</f>
        <v>0</v>
      </c>
      <c r="AN309" s="35" t="n">
        <f aca="false">$AA309*Holdings!AC28</f>
        <v>0</v>
      </c>
      <c r="AO309" s="43" t="n">
        <f aca="false">MIN(1,$CD$297+0.5*G309)</f>
        <v>1</v>
      </c>
      <c r="AP309" s="35" t="n">
        <f aca="false">p_liq_on*Inputs_Banks!$AP28*AO309*p_mb_psi</f>
        <v>1.278</v>
      </c>
      <c r="AQ309" s="44" t="n">
        <f aca="false">MAX(F309,E309,W309*(1-p_cb_on))</f>
        <v>0</v>
      </c>
      <c r="AR309" s="35" t="n">
        <f aca="false">p_ib_on*p_lgd_ib*g_s_in*g_u_ib*SUMPRODUCT(Network!Y$6:Y$29,$AQ$287:$AQ$310)</f>
        <v>4.28546748591128</v>
      </c>
      <c r="AS309" s="35" t="n">
        <f aca="false">p_sw_M1*(SUMPRODUCT(BDC_EAD!Y$106:Y$127,$BF$287:$BF$308)+SUMPRODUCT(BDC_EAD!Y$131:Y$152,$BG$287:$BG$308)+(Inputs_Banks!$Y28+p_ccf_bl*Inputs_Banks!$Z28)*$CD$310+Modules!$E28)</f>
        <v>9.5671959469054</v>
      </c>
      <c r="AT309" s="35" t="n">
        <f aca="false">p_sw_M3*(Inputs_Banks!$U28+p_ccf_abf*Inputs_Banks!$V28)*$CD$311</f>
        <v>7.41184916420829</v>
      </c>
      <c r="AU309" s="35" t="n">
        <f aca="false">p_sw_M10*Inputs_Banks!$AC28*$CD$312</f>
        <v>0</v>
      </c>
      <c r="AV309" s="35" t="n">
        <f aca="false">p_sw_M8*(Modules!$M28+Modules!$N28*IF(p_liq_on&gt;0,X309,p_htm_forced))</f>
        <v>4.53398609644492</v>
      </c>
      <c r="AW309" s="35" t="n">
        <f aca="false">SUMPRODUCT(Holdings!$C28:$O28,Holdings!$C$32:$O$32,$AB$312:$AN$312)+Inputs_Banks!$P28*$AL$312</f>
        <v>5.73840137991657</v>
      </c>
      <c r="AX309" s="35" t="n">
        <f aca="false">Modules!$T28+AS309+AT309+AU309+AV309+AW309+AR309</f>
        <v>40.6598325496584</v>
      </c>
      <c r="AY309" s="35" t="n">
        <f aca="false">Modules!$U28-(1-p_tax)*AX309</f>
        <v>33.2268270772335</v>
      </c>
      <c r="AZ309" s="39" t="n">
        <f aca="false">AY309/Modules!$V28</f>
        <v>0.0561728885356686</v>
      </c>
      <c r="BA309" s="44" t="n">
        <f aca="false">MAX(F309,E309)</f>
        <v>0</v>
      </c>
      <c r="BI309" s="12" t="str">
        <f aca="false">BDC!$A$28</f>
        <v>TSLX</v>
      </c>
      <c r="BJ309" s="43" t="n">
        <f aca="false">1-((1-BDC!$D$28)*$CD$303+BDC!$D$28*$CD$304)-p_gap-$CD$293*(1-BDC!$M$28)</f>
        <v>0.525207527908933</v>
      </c>
      <c r="BK309" s="43" t="n">
        <f aca="false">(1-BDC!$D$28)*$CD$305+BDC!$D$28*$CD$306</f>
        <v>0.0619669987597598</v>
      </c>
      <c r="BL309" s="45" t="n">
        <f aca="false">BJ309/BDC!$K$28</f>
        <v>0.938756762482896</v>
      </c>
      <c r="BM309" s="35" t="n">
        <f aca="false">IF(BL309&lt;1.5,BDC!$C$28,0)</f>
        <v>3.3</v>
      </c>
      <c r="BN309" s="43" t="n">
        <f aca="false">MAX(0,1-BJ309*(1-CE_mig_hc)-p_bb_cush)*BDC!$Q$28</f>
        <v>0.0605793713671617</v>
      </c>
      <c r="BO309" s="43" t="n">
        <f aca="false">MAX(0,BDC!$K$28-BJ309/1.5)</f>
        <v>0.209333013699478</v>
      </c>
      <c r="BP309" s="43" t="n">
        <f aca="false">MIN(MIN(1,BDC!$H$28*$CD$296),$CD$295)</f>
        <v>0</v>
      </c>
      <c r="BQ309" s="43" t="n">
        <f aca="false">BDC!$I$28*BDC!$J$28*BP309*(1-0.3)</f>
        <v>0</v>
      </c>
      <c r="BR309" s="45" t="n">
        <f aca="false">BDC!$C$28*($CD$294*MAX(BN309,BO309)+BQ309)</f>
        <v>0.690798945208277</v>
      </c>
      <c r="CC309" s="10" t="s">
        <v>993</v>
      </c>
      <c r="CD309" s="43" t="n">
        <f aca="false">$CD$307*(1-$AK$312)-$CD$308-p_c_liq</f>
        <v>0.112744674016444</v>
      </c>
    </row>
    <row r="310" customFormat="false" ht="15" hidden="false" customHeight="true" outlineLevel="0" collapsed="false">
      <c r="A310" s="10" t="s">
        <v>543</v>
      </c>
      <c r="B310" s="35" t="n">
        <f aca="false">AY270</f>
        <v>5.74718717276074</v>
      </c>
      <c r="C310" s="39" t="n">
        <f aca="false">AZ270</f>
        <v>0.0549360248218316</v>
      </c>
      <c r="D310" s="44" t="n">
        <f aca="false">IF(C310&lt;Inputs_Banks!$I29,1,0)</f>
        <v>1</v>
      </c>
      <c r="E310" s="44" t="n">
        <f aca="false">IF(C310&lt;0.045,1,0)</f>
        <v>0</v>
      </c>
      <c r="F310" s="44" t="n">
        <f aca="false">IF(B310&lt;0,1,0)</f>
        <v>0</v>
      </c>
      <c r="G310" s="44" t="n">
        <f aca="false">MIN(6,MIN(3,INT(MAX(0,Inputs_Banks!$BA29-C310)/p_notch_step))+D310+2*E310)</f>
        <v>2</v>
      </c>
      <c r="H310" s="39" t="n">
        <f aca="false">C310-Inputs_Banks!$I29</f>
        <v>-0.0125639751781684</v>
      </c>
      <c r="I310" s="44" t="n">
        <f aca="false">RANK(H310,$H$287:$H$310,1)</f>
        <v>23</v>
      </c>
      <c r="J310" s="44" t="n">
        <f aca="false">MAX(IF(I310&lt;=g_n_weak,1,0),E310)</f>
        <v>0</v>
      </c>
      <c r="K310" s="44" t="n">
        <f aca="false">IF(I310&gt;12,1,0)*(1-E310)</f>
        <v>1</v>
      </c>
      <c r="L310" s="35" t="n">
        <f aca="false">INDEX(Inputs_Banks!$AR29:$AX29,1,G310+1)</f>
        <v>0.8997</v>
      </c>
      <c r="M310" s="35" t="n">
        <f aca="false">Inputs_Banks!$AI29*MIN(1,p_u_base+$CD$290*p_u_pan_all+J310*($CD$290*p_u_pan_weak+p_u_mda*D310)+p_u_notch*G310+p_u_fail*E310)</f>
        <v>0</v>
      </c>
      <c r="N310" s="35" t="n">
        <f aca="false">Inputs_Banks!$AK29*MIN(1,p_w_base+p_w_pan*$CD$290+p_w_notch*G310+0.5*D310+1*E310)</f>
        <v>1.603</v>
      </c>
      <c r="O310" s="35" t="n">
        <f aca="false">Inputs_Banks!$AO29*MIN(1,p_cp_base+p_cp_pan*$CD$290+p_cp_notch*G310)</f>
        <v>0</v>
      </c>
      <c r="P310" s="35" t="n">
        <f aca="false">Inputs_Banks!$AN29*(p_dh+p_dh_pan*$CD$290+MIN(1,0.5*$CD$297+0.25*G310))</f>
        <v>15.8432978486056</v>
      </c>
      <c r="Q310" s="35" t="n">
        <f aca="false">Modules!$Y29</f>
        <v>0</v>
      </c>
      <c r="R310" s="35" t="n">
        <f aca="false">Inputs_Banks!$AJ29*K310</f>
        <v>0</v>
      </c>
      <c r="S310" s="35" t="n">
        <f aca="false">p_liq_on*$CD$298*SUM($M$287:$M$310)*R310/MAX(0.000000001,SUM($R$287:$R$310))</f>
        <v>0</v>
      </c>
      <c r="T310" s="35" t="n">
        <f aca="false">p_liq_on*(L310+M310+N310+O310+P310+Q310)</f>
        <v>18.3459978486056</v>
      </c>
      <c r="U310" s="35" t="n">
        <f aca="false">g_usable*Inputs_Banks!$AG29+p_cb_on*Inputs_Banks!$AQ29+S310</f>
        <v>16.4573</v>
      </c>
      <c r="V310" s="35" t="n">
        <f aca="false">MAX(0,T310-U310)</f>
        <v>1.88869784860557</v>
      </c>
      <c r="W310" s="44" t="n">
        <f aca="false">IF(V310&gt;0.9*Inputs_Banks!$BB29,1,0)</f>
        <v>0</v>
      </c>
      <c r="X310" s="43" t="n">
        <f aca="false">MAX(p_htm_forced,(1-p_cb_on)*MIN(1,T310/Inputs_Banks!$AG29)*g_theta_sell)</f>
        <v>0.25</v>
      </c>
      <c r="Y310" s="35" t="n">
        <f aca="false">MAX(0,Modules!$V29-B310/(Inputs_Banks!$I29+g_del_buf))</f>
        <v>25.3444527895071</v>
      </c>
      <c r="Z310" s="35" t="n">
        <f aca="false">MIN(g_del_cap*Inputs_Banks!$BB29,Y310)</f>
        <v>4.57</v>
      </c>
      <c r="AA310" s="35" t="n">
        <f aca="false">MIN(Inputs_Banks!$BB29,V310+Z310)</f>
        <v>6.45869784860557</v>
      </c>
      <c r="AB310" s="35" t="n">
        <f aca="false">$AA310*Holdings!Q29</f>
        <v>0</v>
      </c>
      <c r="AC310" s="35" t="n">
        <f aca="false">$AA310*Holdings!R29</f>
        <v>0</v>
      </c>
      <c r="AD310" s="35" t="n">
        <f aca="false">$AA310*Holdings!S29</f>
        <v>0</v>
      </c>
      <c r="AE310" s="35" t="n">
        <f aca="false">$AA310*Holdings!T29</f>
        <v>0.229658293303809</v>
      </c>
      <c r="AF310" s="35" t="n">
        <f aca="false">$AA310*Holdings!U29</f>
        <v>1.86199877801703</v>
      </c>
      <c r="AG310" s="35" t="n">
        <f aca="false">$AA310*Holdings!V29</f>
        <v>0</v>
      </c>
      <c r="AH310" s="35" t="n">
        <f aca="false">$AA310*Holdings!W29</f>
        <v>0.64657642576303</v>
      </c>
      <c r="AI310" s="35" t="n">
        <f aca="false">$AA310*Holdings!X29</f>
        <v>0.250857520378006</v>
      </c>
      <c r="AJ310" s="35" t="n">
        <f aca="false">$AA310*Holdings!Y29</f>
        <v>0.346254042211896</v>
      </c>
      <c r="AK310" s="35" t="n">
        <f aca="false">$AA310*Holdings!Z29</f>
        <v>0</v>
      </c>
      <c r="AL310" s="35" t="n">
        <f aca="false">$AA310*Holdings!AA29</f>
        <v>3.0597551077092</v>
      </c>
      <c r="AM310" s="35" t="n">
        <f aca="false">$AA310*Holdings!AB29</f>
        <v>0</v>
      </c>
      <c r="AN310" s="35" t="n">
        <f aca="false">$AA310*Holdings!AC29</f>
        <v>0.0635976812225931</v>
      </c>
      <c r="AO310" s="43" t="n">
        <f aca="false">MIN(1,$CD$297+0.5*G310)</f>
        <v>1</v>
      </c>
      <c r="AP310" s="35" t="n">
        <f aca="false">p_liq_on*Inputs_Banks!$AP29*AO310*p_mb_psi</f>
        <v>0</v>
      </c>
      <c r="AQ310" s="44" t="n">
        <f aca="false">MAX(F310,E310,W310*(1-p_cb_on))</f>
        <v>0</v>
      </c>
      <c r="AR310" s="35" t="n">
        <f aca="false">p_ib_on*p_lgd_ib*g_s_in*g_u_ib*SUMPRODUCT(Network!Z$6:Z$29,$AQ$287:$AQ$310)</f>
        <v>0.371741653794596</v>
      </c>
      <c r="AS310" s="35" t="n">
        <f aca="false">p_sw_M1*(SUMPRODUCT(BDC_EAD!Z$106:Z$127,$BF$287:$BF$308)+SUMPRODUCT(BDC_EAD!Z$131:Z$152,$BG$287:$BG$308)+(Inputs_Banks!$Y29+p_ccf_bl*Inputs_Banks!$Z29)*$CD$310+Modules!$E29)</f>
        <v>0</v>
      </c>
      <c r="AT310" s="35" t="n">
        <f aca="false">p_sw_M3*(Inputs_Banks!$U29+p_ccf_abf*Inputs_Banks!$V29)*$CD$311</f>
        <v>0</v>
      </c>
      <c r="AU310" s="35" t="n">
        <f aca="false">p_sw_M10*Inputs_Banks!$AC29*$CD$312</f>
        <v>0</v>
      </c>
      <c r="AV310" s="35" t="n">
        <f aca="false">p_sw_M8*(Modules!$M29+Modules!$N29*IF(p_liq_on&gt;0,X310,p_htm_forced))</f>
        <v>0</v>
      </c>
      <c r="AW310" s="35" t="n">
        <f aca="false">SUMPRODUCT(Holdings!$C29:$O29,Holdings!$C$32:$O$32,$AB$312:$AN$312)+Inputs_Banks!$P29*$AL$312</f>
        <v>1.44215757921998</v>
      </c>
      <c r="AX310" s="35" t="n">
        <f aca="false">Modules!$T29+AS310+AT310+AU310+AV310+AW310+AR310</f>
        <v>2.97081282723926</v>
      </c>
      <c r="AY310" s="35" t="n">
        <f aca="false">Modules!$U29-(1-p_tax)*AX310</f>
        <v>5.74718717276074</v>
      </c>
      <c r="AZ310" s="39" t="n">
        <f aca="false">AY310/Modules!$V29</f>
        <v>0.0549360248218316</v>
      </c>
      <c r="BA310" s="44" t="n">
        <f aca="false">MAX(F310,E310)</f>
        <v>0</v>
      </c>
      <c r="BI310" s="12" t="str">
        <f aca="false">BDC!$A$29</f>
        <v>GSBD</v>
      </c>
      <c r="BJ310" s="43" t="n">
        <f aca="false">1-((1-BDC!$D$29)*$CD$303+BDC!$D$29*$CD$304)-p_gap-$CD$293*(1-BDC!$M$29)</f>
        <v>0.402673902876419</v>
      </c>
      <c r="BK310" s="43" t="n">
        <f aca="false">(1-BDC!$D$29)*$CD$305+BDC!$D$29*$CD$306</f>
        <v>0.0617434368424848</v>
      </c>
      <c r="BL310" s="45" t="n">
        <f aca="false">BJ310/BDC!$K$29</f>
        <v>0.698757654991433</v>
      </c>
      <c r="BM310" s="35" t="n">
        <f aca="false">IF(BL310&lt;1.5,BDC!$C$29,0)</f>
        <v>3.2</v>
      </c>
      <c r="BN310" s="43" t="n">
        <f aca="false">MAX(0,1-BJ310*(1-CE_mig_hc)-p_bb_cush)*BDC!$Q$29</f>
        <v>0.130680147041233</v>
      </c>
      <c r="BO310" s="43" t="n">
        <f aca="false">MAX(0,BDC!$K$29-BJ310/1.5)</f>
        <v>0.307821917856399</v>
      </c>
      <c r="BP310" s="43" t="n">
        <f aca="false">MIN(MIN(1,BDC!$H$29*$CD$296),$CD$295)</f>
        <v>0</v>
      </c>
      <c r="BQ310" s="43" t="n">
        <f aca="false">BDC!$I$29*BDC!$J$29*BP310*(1-0.3)</f>
        <v>0</v>
      </c>
      <c r="BR310" s="45" t="n">
        <f aca="false">BDC!$C$29*($CD$294*MAX(BN310,BO310)+BQ310)</f>
        <v>0.985030137140476</v>
      </c>
      <c r="CC310" s="10" t="s">
        <v>994</v>
      </c>
      <c r="CD310" s="43" t="n">
        <f aca="false">p_phi*MAX(0,p_a_spv-$CD$309)/p_a_spv+(1-p_phi)*MAX(0,p_a_spv-$CD$307)/p_a_spv</f>
        <v>0.754535623270631</v>
      </c>
    </row>
    <row r="311" customFormat="false" ht="15" hidden="false" customHeight="true" outlineLevel="0" collapsed="false">
      <c r="AA311" s="7" t="s">
        <v>995</v>
      </c>
      <c r="AB311" s="47" t="n">
        <f aca="false">p_fs_on*(SUM(AB287:AB310)+$CD$300*Holdings!C$37+Holdings!C$36*SUM($AP$287:$AP$310))</f>
        <v>0</v>
      </c>
      <c r="AC311" s="47" t="n">
        <f aca="false">p_fs_on*(SUM(AC287:AC310)+$CD$300*Holdings!D$37+Holdings!D$36*SUM($AP$287:$AP$310))</f>
        <v>0</v>
      </c>
      <c r="AD311" s="47" t="n">
        <f aca="false">p_fs_on*(SUM(AD287:AD310)+$CD$300*Holdings!E$37+Holdings!E$36*SUM($AP$287:$AP$310))</f>
        <v>0</v>
      </c>
      <c r="AE311" s="47" t="n">
        <f aca="false">p_fs_on*(SUM(AE287:AE310)+$CD$300*Holdings!F$37+Holdings!F$36*SUM($AP$287:$AP$310))</f>
        <v>73.0743229780475</v>
      </c>
      <c r="AF311" s="47" t="n">
        <f aca="false">p_fs_on*(SUM(AF287:AF310)+$CD$300*Holdings!G$37+Holdings!G$36*SUM($AP$287:$AP$310))</f>
        <v>469.109968894015</v>
      </c>
      <c r="AG311" s="47" t="n">
        <f aca="false">p_fs_on*(SUM(AG287:AG310)+$CD$300*Holdings!H$37+Holdings!H$36*SUM($AP$287:$AP$310))</f>
        <v>8.84482</v>
      </c>
      <c r="AH311" s="47" t="n">
        <f aca="false">p_fs_on*(SUM(AH287:AH310)+$CD$300*Holdings!I$37+Holdings!I$36*SUM($AP$287:$AP$310))</f>
        <v>67.8038928293643</v>
      </c>
      <c r="AI311" s="47" t="n">
        <f aca="false">p_fs_on*(SUM(AI287:AI310)+$CD$300*Holdings!J$37+Holdings!J$36*SUM($AP$287:$AP$310))</f>
        <v>117.445857520378</v>
      </c>
      <c r="AJ311" s="47" t="n">
        <f aca="false">p_fs_on*(SUM(AJ287:AJ310)+$CD$300*Holdings!K$37+Holdings!K$36*SUM($AP$287:$AP$310))</f>
        <v>108.589065039421</v>
      </c>
      <c r="AK311" s="47" t="n">
        <f aca="false">p_fs_on*(SUM(AK287:AK310)+$CD$300*Holdings!L$37+$CD$314+Holdings!L$36*SUM($AP$287:$AP$310))</f>
        <v>216.309230667799</v>
      </c>
      <c r="AL311" s="47" t="n">
        <f aca="false">p_fs_on*(SUM(AL287:AL310)+$CD$300*Holdings!M$37+Holdings!M$36*SUM($AP$287:$AP$310))</f>
        <v>866.737029727618</v>
      </c>
      <c r="AM311" s="47" t="n">
        <f aca="false">p_fs_on*(SUM(AM287:AM310)+$CD$300*Holdings!N$37+Holdings!N$36*SUM($AP$287:$AP$310))</f>
        <v>0</v>
      </c>
      <c r="AN311" s="47" t="n">
        <f aca="false">p_fs_on*(SUM(AN287:AN310)+$CD$300*Holdings!O$37+Holdings!O$36*SUM($AP$287:$AP$310))</f>
        <v>185.647651909261</v>
      </c>
      <c r="BI311" s="12" t="str">
        <f aca="false">BDC!$A$30</f>
        <v>OCSL</v>
      </c>
      <c r="BJ311" s="43" t="n">
        <f aca="false">1-((1-BDC!$D$30)*$CD$303+BDC!$D$30*$CD$304)-p_gap-$CD$293*(1-BDC!$M$30)</f>
        <v>0.392098725301358</v>
      </c>
      <c r="BK311" s="43" t="n">
        <f aca="false">(1-BDC!$D$30)*$CD$305+BDC!$D$30*$CD$306</f>
        <v>0.0620042590793056</v>
      </c>
      <c r="BL311" s="45" t="n">
        <f aca="false">BJ311/BDC!$K$30</f>
        <v>0.769116730398817</v>
      </c>
      <c r="BM311" s="35" t="n">
        <f aca="false">IF(BL311&lt;1.5,BDC!$C$30,0)</f>
        <v>2.74</v>
      </c>
      <c r="BN311" s="43" t="n">
        <f aca="false">MAX(0,1-BJ311*(1-CE_mig_hc)-p_bb_cush)*BDC!$Q$30</f>
        <v>0.159860448974885</v>
      </c>
      <c r="BO311" s="43" t="n">
        <f aca="false">MAX(0,BDC!$K$30-BJ311/1.5)</f>
        <v>0.248404771367722</v>
      </c>
      <c r="BP311" s="43" t="n">
        <f aca="false">MIN(MIN(1,BDC!$H$30*$CD$296),$CD$295)</f>
        <v>0</v>
      </c>
      <c r="BQ311" s="43" t="n">
        <f aca="false">BDC!$I$30*BDC!$J$30*BP311*(1-0.3)</f>
        <v>0</v>
      </c>
      <c r="BR311" s="45" t="n">
        <f aca="false">BDC!$C$30*($CD$294*MAX(BN311,BO311)+BQ311)</f>
        <v>0.680629073547559</v>
      </c>
      <c r="CC311" s="10" t="s">
        <v>996</v>
      </c>
      <c r="CD311" s="43" t="n">
        <f aca="false">p_phi*MAX(0,g_a_abf-(CE_Vh_a*(1-$AJ$312)-p_c_liq))/g_a_abf+(1-p_phi)*MAX(0,g_a_abf-CE_Vh_a)/g_a_abf</f>
        <v>0.309662698169349</v>
      </c>
    </row>
    <row r="312" customFormat="false" ht="15" hidden="false" customHeight="true" outlineLevel="0" collapsed="false">
      <c r="AA312" s="7" t="s">
        <v>997</v>
      </c>
      <c r="AB312" s="50" t="n">
        <f aca="false">MIN(Holdings!C$34,$CD$299*Holdings!C$31*AB311/10000+Holdings!C$39*$CD$290^g_gamma_pan)</f>
        <v>0</v>
      </c>
      <c r="AC312" s="50" t="n">
        <f aca="false">MIN(Holdings!D$34,$CD$299*Holdings!D$31*AC311/10000+Holdings!D$39*$CD$290^g_gamma_pan)</f>
        <v>0.01</v>
      </c>
      <c r="AD312" s="50" t="n">
        <f aca="false">MIN(Holdings!E$34,$CD$299*Holdings!E$31*AD311/10000+Holdings!E$39*$CD$290^g_gamma_pan)</f>
        <v>0.02</v>
      </c>
      <c r="AE312" s="50" t="n">
        <f aca="false">MIN(Holdings!F$34,$CD$299*Holdings!F$31*AE311/10000+Holdings!F$39*$CD$290^g_gamma_pan)</f>
        <v>0.0982685807445119</v>
      </c>
      <c r="AF312" s="50" t="n">
        <f aca="false">MIN(Holdings!G$34,$CD$299*Holdings!G$31*AF311/10000+Holdings!G$39*$CD$290^g_gamma_pan)</f>
        <v>0.25</v>
      </c>
      <c r="AG312" s="50" t="n">
        <f aca="false">MIN(Holdings!H$34,$CD$299*Holdings!H$31*AG311/10000+Holdings!H$39*$CD$290^g_gamma_pan)</f>
        <v>0.16326723</v>
      </c>
      <c r="AH312" s="50" t="n">
        <f aca="false">MIN(Holdings!I$34,$CD$299*Holdings!I$31*AH311/10000+Holdings!I$39*$CD$290^g_gamma_pan)</f>
        <v>0.403411678488093</v>
      </c>
      <c r="AI312" s="50" t="n">
        <f aca="false">MIN(Holdings!J$34,$CD$299*Holdings!J$31*AI311/10000+Holdings!J$39*$CD$290^g_gamma_pan)</f>
        <v>0.45</v>
      </c>
      <c r="AJ312" s="50" t="n">
        <f aca="false">MIN(Holdings!K$34,$CD$299*Holdings!K$31*AJ311/10000+Holdings!K$39*$CD$290^g_gamma_pan)</f>
        <v>0.262883597559132</v>
      </c>
      <c r="AK312" s="50" t="n">
        <f aca="false">MIN(Holdings!L$34,$CD$299*Holdings!L$31*AK311/10000+Holdings!L$39*$CD$290^g_gamma_pan)</f>
        <v>0.45</v>
      </c>
      <c r="AL312" s="50" t="n">
        <f aca="false">MIN(Holdings!M$34,$CD$299*Holdings!M$31*AL311/10000+Holdings!M$39*$CD$290^g_gamma_pan)</f>
        <v>0.343336851486381</v>
      </c>
      <c r="AM312" s="50" t="n">
        <f aca="false">MIN(Holdings!N$34,$CD$299*Holdings!N$31*AM311/10000+Holdings!N$39*$CD$290^g_gamma_pan)</f>
        <v>0</v>
      </c>
      <c r="AN312" s="50" t="n">
        <f aca="false">MIN(Holdings!O$34,$CD$299*Holdings!O$31*AN311/10000+Holdings!O$39*$CD$290^g_gamma_pan)</f>
        <v>0.285647651909261</v>
      </c>
      <c r="BI312" s="12" t="str">
        <f aca="false">BDC!$A$31</f>
        <v>BBDC</v>
      </c>
      <c r="BJ312" s="43" t="n">
        <f aca="false">1-((1-BDC!$D$31)*$CD$303+BDC!$D$31*$CD$304)-p_gap-$CD$293*(1-BDC!$M$31)</f>
        <v>0.440484450675871</v>
      </c>
      <c r="BK312" s="43" t="n">
        <f aca="false">(1-BDC!$D$31)*$CD$305+BDC!$D$31*$CD$306</f>
        <v>0.0655439894361584</v>
      </c>
      <c r="BL312" s="45" t="n">
        <f aca="false">BJ312/BDC!$K$31</f>
        <v>0.798601890249749</v>
      </c>
      <c r="BM312" s="35" t="n">
        <f aca="false">IF(BL312&lt;1.5,BDC!$C$31,0)</f>
        <v>2.46</v>
      </c>
      <c r="BN312" s="43" t="n">
        <f aca="false">MAX(0,1-BJ312*(1-CE_mig_hc)-p_bb_cush)*BDC!$Q$31</f>
        <v>0.161288813940408</v>
      </c>
      <c r="BO312" s="43" t="n">
        <f aca="false">MAX(0,BDC!$K$31-BJ312/1.5)</f>
        <v>0.257913206275877</v>
      </c>
      <c r="BP312" s="43" t="n">
        <f aca="false">MIN(MIN(1,BDC!$H$31*$CD$296),$CD$295)</f>
        <v>0</v>
      </c>
      <c r="BQ312" s="43" t="n">
        <f aca="false">BDC!$I$31*BDC!$J$31*BP312*(1-0.3)</f>
        <v>0</v>
      </c>
      <c r="BR312" s="45" t="n">
        <f aca="false">BDC!$C$31*($CD$294*MAX(BN312,BO312)+BQ312)</f>
        <v>0.634466487438657</v>
      </c>
      <c r="CC312" s="10" t="s">
        <v>998</v>
      </c>
      <c r="CD312" s="43" t="n">
        <f aca="false">p_phi*MAX(0,g_trs_adv-$CD$309)/g_trs_adv+(1-p_phi)*MAX(0,g_trs_adv-$CD$307)/g_trs_adv</f>
        <v>0.785218670361803</v>
      </c>
    </row>
    <row r="313" customFormat="false" ht="15" hidden="false" customHeight="true" outlineLevel="0" collapsed="false">
      <c r="BI313" s="12" t="str">
        <f aca="false">BDC!$A$32</f>
        <v>CGBD</v>
      </c>
      <c r="BJ313" s="43" t="n">
        <f aca="false">1-((1-BDC!$D$32)*$CD$303+BDC!$D$32*$CD$304)-p_gap-$CD$293*(1-BDC!$M$32)</f>
        <v>0.378165749019815</v>
      </c>
      <c r="BK313" s="43" t="n">
        <f aca="false">(1-BDC!$D$32)*$CD$305+BDC!$D$32*$CD$306</f>
        <v>0.0643143988911463</v>
      </c>
      <c r="BL313" s="45" t="n">
        <f aca="false">BJ313/BDC!$K$32</f>
        <v>0.695952092733944</v>
      </c>
      <c r="BM313" s="35" t="n">
        <f aca="false">IF(BL313&lt;1.5,BDC!$C$32,0)</f>
        <v>2.36</v>
      </c>
      <c r="BN313" s="43" t="n">
        <f aca="false">MAX(0,1-BJ313*(1-CE_mig_hc)-p_bb_cush)*BDC!$Q$32</f>
        <v>0.188636784641365</v>
      </c>
      <c r="BO313" s="43" t="n">
        <f aca="false">MAX(0,BDC!$K$32-BJ313/1.5)</f>
        <v>0.291268496087247</v>
      </c>
      <c r="BP313" s="43" t="n">
        <f aca="false">MIN(MIN(1,BDC!$H$32*$CD$296),$CD$295)</f>
        <v>0</v>
      </c>
      <c r="BQ313" s="43" t="n">
        <f aca="false">BDC!$I$32*BDC!$J$32*BP313*(1-0.3)</f>
        <v>0</v>
      </c>
      <c r="BR313" s="45" t="n">
        <f aca="false">BDC!$C$32*($CD$294*MAX(BN313,BO313)+BQ313)</f>
        <v>0.687393650765903</v>
      </c>
      <c r="CC313" s="10" t="s">
        <v>999</v>
      </c>
      <c r="CD313" s="43" t="n">
        <f aca="false">SUM($BM$287:$BM$320)/SUM(BDC!$C$6:$C$39)</f>
        <v>0.998189261533617</v>
      </c>
    </row>
    <row r="314" customFormat="false" ht="15" hidden="false" customHeight="true" outlineLevel="0" collapsed="false">
      <c r="BI314" s="12" t="str">
        <f aca="false">BDC!$A$33</f>
        <v>KBDC</v>
      </c>
      <c r="BJ314" s="43" t="n">
        <f aca="false">1-((1-BDC!$D$33)*$CD$303+BDC!$D$33*$CD$304)-p_gap-$CD$293*(1-BDC!$M$33)</f>
        <v>0.456205474041006</v>
      </c>
      <c r="BK314" s="43" t="n">
        <f aca="false">(1-BDC!$D$33)*$CD$305+BDC!$D$33*$CD$306</f>
        <v>0.0684875546802781</v>
      </c>
      <c r="BL314" s="45" t="n">
        <f aca="false">BJ314/BDC!$K$33</f>
        <v>0.846124682623062</v>
      </c>
      <c r="BM314" s="35" t="n">
        <f aca="false">IF(BL314&lt;1.5,BDC!$C$33,0)</f>
        <v>2.29</v>
      </c>
      <c r="BN314" s="43" t="n">
        <f aca="false">MAX(0,1-BJ314*(1-CE_mig_hc)-p_bb_cush)*BDC!$Q$33</f>
        <v>0.1539572367744</v>
      </c>
      <c r="BO314" s="43" t="n">
        <f aca="false">MAX(0,BDC!$K$33-BJ314/1.5)</f>
        <v>0.235033524218438</v>
      </c>
      <c r="BP314" s="43" t="n">
        <f aca="false">MIN(MIN(1,BDC!$H$33*$CD$296),$CD$295)</f>
        <v>0</v>
      </c>
      <c r="BQ314" s="43" t="n">
        <f aca="false">BDC!$I$33*BDC!$J$33*BP314*(1-0.3)</f>
        <v>0</v>
      </c>
      <c r="BR314" s="45" t="n">
        <f aca="false">BDC!$C$33*($CD$294*MAX(BN314,BO314)+BQ314)</f>
        <v>0.538226770460224</v>
      </c>
      <c r="CC314" s="10" t="s">
        <v>869</v>
      </c>
      <c r="CD314" s="35" t="n">
        <f aca="false">p_pc_scale*SUM($BR$287:$BR$320)</f>
        <v>209.214230667799</v>
      </c>
    </row>
    <row r="315" customFormat="false" ht="15" hidden="false" customHeight="true" outlineLevel="0" collapsed="false">
      <c r="BI315" s="12" t="str">
        <f aca="false">BDC!$A$34</f>
        <v>NMFC</v>
      </c>
      <c r="BJ315" s="43" t="n">
        <f aca="false">1-((1-BDC!$D$34)*$CD$303+BDC!$D$34*$CD$304)-p_gap-$CD$293*(1-BDC!$M$34)</f>
        <v>0.361123826355913</v>
      </c>
      <c r="BK315" s="43" t="n">
        <f aca="false">(1-BDC!$D$34)*$CD$305+BDC!$D$34*$CD$306</f>
        <v>0.0628985067484052</v>
      </c>
      <c r="BL315" s="45" t="n">
        <f aca="false">BJ315/BDC!$K$34</f>
        <v>0.636790869375694</v>
      </c>
      <c r="BM315" s="35" t="n">
        <f aca="false">IF(BL315&lt;1.5,BDC!$C$34,0)</f>
        <v>2.29</v>
      </c>
      <c r="BN315" s="43" t="n">
        <f aca="false">MAX(0,1-BJ315*(1-CE_mig_hc)-p_bb_cush)*BDC!$Q$34</f>
        <v>0.15656762438422</v>
      </c>
      <c r="BO315" s="43" t="n">
        <f aca="false">MAX(0,BDC!$K$34-BJ315/1.5)</f>
        <v>0.326350349528958</v>
      </c>
      <c r="BP315" s="43" t="n">
        <f aca="false">MIN(MIN(1,BDC!$H$34*$CD$296),$CD$295)</f>
        <v>0</v>
      </c>
      <c r="BQ315" s="43" t="n">
        <f aca="false">BDC!$I$34*BDC!$J$34*BP315*(1-0.3)</f>
        <v>0</v>
      </c>
      <c r="BR315" s="45" t="n">
        <f aca="false">BDC!$C$34*($CD$294*MAX(BN315,BO315)+BQ315)</f>
        <v>0.747342300421315</v>
      </c>
    </row>
    <row r="316" customFormat="false" ht="15" hidden="false" customHeight="true" outlineLevel="0" collapsed="false">
      <c r="BI316" s="12" t="str">
        <f aca="false">BDC!$A$35</f>
        <v>HPS CCS</v>
      </c>
      <c r="BJ316" s="43" t="n">
        <f aca="false">1-((1-BDC!$D$35)*$CD$303+BDC!$D$35*$CD$304)-p_gap-$CD$293*(1-BDC!$M$35)</f>
        <v>0.428848454391989</v>
      </c>
      <c r="BK316" s="43" t="n">
        <f aca="false">(1-BDC!$D$35)*$CD$305+BDC!$D$35*$CD$306</f>
        <v>0.0651713862407002</v>
      </c>
      <c r="BL316" s="45" t="n">
        <f aca="false">BJ316/BDC!$K$35</f>
        <v>1.05036795351081</v>
      </c>
      <c r="BM316" s="35" t="n">
        <f aca="false">IF(BL316&lt;1.5,BDC!$C$35,0)</f>
        <v>2.27</v>
      </c>
      <c r="BN316" s="43" t="n">
        <f aca="false">MAX(0,1-BJ316*(1-CE_mig_hc)-p_bb_cush)*BDC!$Q$35</f>
        <v>0.121466639892192</v>
      </c>
      <c r="BO316" s="43" t="n">
        <f aca="false">MAX(0,BDC!$K$35-BJ316/1.5)</f>
        <v>0.12238505407398</v>
      </c>
      <c r="BP316" s="43" t="n">
        <f aca="false">MIN(MIN(1,BDC!$H$35*$CD$296),$CD$295)</f>
        <v>0.138</v>
      </c>
      <c r="BQ316" s="43" t="n">
        <f aca="false">BDC!$I$35*BDC!$J$35*BP316*(1-0.3)</f>
        <v>0.0571597633136095</v>
      </c>
      <c r="BR316" s="45" t="n">
        <f aca="false">BDC!$C$35*($CD$294*MAX(BN316,BO316)+BQ316)</f>
        <v>0.407566735469828</v>
      </c>
    </row>
    <row r="317" customFormat="false" ht="15" hidden="false" customHeight="true" outlineLevel="0" collapsed="false">
      <c r="BI317" s="12" t="str">
        <f aca="false">BDC!$A$36</f>
        <v>APCF</v>
      </c>
      <c r="BJ317" s="43" t="n">
        <f aca="false">1-((1-BDC!$D$36)*$CD$303+BDC!$D$36*$CD$304)-p_gap-$CD$293*(1-BDC!$M$36)</f>
        <v>0.412233180685897</v>
      </c>
      <c r="BK317" s="43" t="n">
        <f aca="false">(1-BDC!$D$36)*$CD$305+BDC!$D$36*$CD$306</f>
        <v>0.0624141225943096</v>
      </c>
      <c r="BL317" s="45" t="n">
        <f aca="false">BJ317/BDC!$K$36</f>
        <v>0.770696816064938</v>
      </c>
      <c r="BM317" s="35" t="n">
        <f aca="false">IF(BL317&lt;1.5,BDC!$C$36,0)</f>
        <v>1.73</v>
      </c>
      <c r="BN317" s="43" t="n">
        <f aca="false">MAX(0,1-BJ317*(1-CE_mig_hc)-p_bb_cush)*BDC!$Q$36</f>
        <v>0.163016261096768</v>
      </c>
      <c r="BO317" s="43" t="n">
        <f aca="false">MAX(0,BDC!$K$36-BJ317/1.5)</f>
        <v>0.260061600472968</v>
      </c>
      <c r="BP317" s="43" t="n">
        <f aca="false">MIN(MIN(1,BDC!$H$36*$CD$296),$CD$295)</f>
        <v>0.0135</v>
      </c>
      <c r="BQ317" s="43" t="n">
        <f aca="false">BDC!$I$36*BDC!$J$36*BP317*(1-0.3)</f>
        <v>0.0043953488372093</v>
      </c>
      <c r="BR317" s="45" t="n">
        <f aca="false">BDC!$C$36*($CD$294*MAX(BN317,BO317)+BQ317)</f>
        <v>0.457510522306607</v>
      </c>
    </row>
    <row r="318" customFormat="false" ht="15" hidden="false" customHeight="true" outlineLevel="0" collapsed="false">
      <c r="BI318" s="12" t="str">
        <f aca="false">BDC!$A$37</f>
        <v>TCPC</v>
      </c>
      <c r="BJ318" s="43" t="n">
        <f aca="false">1-((1-BDC!$D$37)*$CD$303+BDC!$D$37*$CD$304)-p_gap-$CD$293*(1-BDC!$M$37)</f>
        <v>0.368439426438033</v>
      </c>
      <c r="BK318" s="43" t="n">
        <f aca="false">(1-BDC!$D$37)*$CD$305+BDC!$D$37*$CD$306</f>
        <v>0.059246995432915</v>
      </c>
      <c r="BL318" s="45" t="n">
        <f aca="false">BJ318/BDC!$K$37</f>
        <v>0.59173604852169</v>
      </c>
      <c r="BM318" s="35" t="n">
        <f aca="false">IF(BL318&lt;1.5,BDC!$C$37,0)</f>
        <v>1.29</v>
      </c>
      <c r="BN318" s="43" t="n">
        <f aca="false">MAX(0,1-BJ318*(1-CE_mig_hc)-p_bb_cush)*BDC!$Q$37</f>
        <v>0.201683787747215</v>
      </c>
      <c r="BO318" s="43" t="n">
        <f aca="false">MAX(0,BDC!$K$37-BJ318/1.5)</f>
        <v>0.37701522514194</v>
      </c>
      <c r="BP318" s="43" t="n">
        <f aca="false">MIN(MIN(1,BDC!$H$37*$CD$296),$CD$295)</f>
        <v>0</v>
      </c>
      <c r="BQ318" s="43" t="n">
        <f aca="false">BDC!$I$37*BDC!$J$37*BP318*(1-0.3)</f>
        <v>0</v>
      </c>
      <c r="BR318" s="45" t="n">
        <f aca="false">BDC!$C$37*($CD$294*MAX(BN318,BO318)+BQ318)</f>
        <v>0.486349640433103</v>
      </c>
    </row>
    <row r="319" customFormat="false" ht="15" hidden="false" customHeight="true" outlineLevel="0" collapsed="false">
      <c r="BI319" s="12" t="str">
        <f aca="false">BDC!$A$38</f>
        <v>OBDC II</v>
      </c>
      <c r="BJ319" s="43" t="n">
        <f aca="false">1-((1-BDC!$D$38)*$CD$303+BDC!$D$38*$CD$304)-p_gap-$CD$293*(1-BDC!$M$38)</f>
        <v>0.431318292375327</v>
      </c>
      <c r="BK319" s="43" t="n">
        <f aca="false">(1-BDC!$D$38)*$CD$305+BDC!$D$38*$CD$306</f>
        <v>0.0655812497557042</v>
      </c>
      <c r="BL319" s="45" t="n">
        <f aca="false">BJ319/BDC!$K$38</f>
        <v>2.02879344932098</v>
      </c>
      <c r="BM319" s="35" t="n">
        <f aca="false">IF(BL319&lt;1.5,BDC!$C$38,0)</f>
        <v>0</v>
      </c>
      <c r="BN319" s="43" t="n">
        <f aca="false">MAX(0,1-BJ319*(1-CE_mig_hc)-p_bb_cush)*BDC!$Q$38</f>
        <v>0.126039156046108</v>
      </c>
      <c r="BO319" s="43" t="n">
        <f aca="false">MAX(0,BDC!$K$38-BJ319/1.5)</f>
        <v>0</v>
      </c>
      <c r="BP319" s="43" t="n">
        <f aca="false">MIN(MIN(1,BDC!$H$38*$CD$296),$CD$295)</f>
        <v>0</v>
      </c>
      <c r="BQ319" s="43" t="n">
        <f aca="false">BDC!$I$38*BDC!$J$38*BP319*(1-0.3)</f>
        <v>0</v>
      </c>
      <c r="BR319" s="45" t="n">
        <f aca="false">BDC!$C$38*($CD$294*MAX(BN319,BO319)+BQ319)</f>
        <v>0.0869670176718148</v>
      </c>
    </row>
    <row r="320" customFormat="false" ht="15" hidden="false" customHeight="true" outlineLevel="0" collapsed="false">
      <c r="BI320" s="12" t="str">
        <f aca="false">BDC!$A$39</f>
        <v>NHPIF-A</v>
      </c>
      <c r="BJ320" s="43" t="n">
        <f aca="false">1-((1-BDC!$D$39)*$CD$303+BDC!$D$39*$CD$304)-p_gap-$CD$293*(1-BDC!$M$39)</f>
        <v>0.406395381816189</v>
      </c>
      <c r="BK320" s="43" t="n">
        <f aca="false">(1-BDC!$D$39)*$CD$305+BDC!$D$39*$CD$306</f>
        <v>0.0614453542861183</v>
      </c>
      <c r="BL320" s="45" t="n">
        <f aca="false">BJ320/BDC!$K$39</f>
        <v>0.800954004938703</v>
      </c>
      <c r="BM320" s="35" t="n">
        <f aca="false">IF(BL320&lt;1.5,BDC!$C$39,0)</f>
        <v>0.6</v>
      </c>
      <c r="BN320" s="43" t="n">
        <f aca="false">MAX(0,1-BJ320*(1-CE_mig_hc)-p_bb_cush)*BDC!$Q$39</f>
        <v>0.155931774753151</v>
      </c>
      <c r="BO320" s="43" t="n">
        <f aca="false">MAX(0,BDC!$K$39-BJ320/1.5)</f>
        <v>0.23645890801745</v>
      </c>
      <c r="BP320" s="43" t="n">
        <f aca="false">MIN(MIN(1,BDC!$H$39*$CD$296),$CD$295)</f>
        <v>0.204</v>
      </c>
      <c r="BQ320" s="43" t="n">
        <f aca="false">BDC!$I$39*BDC!$J$39*BP320*(1-0.3)</f>
        <v>0.0703448275862069</v>
      </c>
      <c r="BR320" s="45" t="n">
        <f aca="false">BDC!$C$39*($CD$294*MAX(BN320,BO320)+BQ320)</f>
        <v>0.184082241362194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6" min="3" style="1" width="8"/>
    <col collapsed="false" customWidth="true" hidden="false" outlineLevel="0" max="28" min="28" style="1" width="12"/>
  </cols>
  <sheetData>
    <row r="1" customFormat="false" ht="17.25" hidden="false" customHeight="true" outlineLevel="0" collapsed="false">
      <c r="A1" s="5" t="s">
        <v>1007</v>
      </c>
    </row>
    <row r="2" customFormat="false" ht="15" hidden="false" customHeight="true" outlineLevel="0" collapsed="false">
      <c r="A2" s="6" t="s">
        <v>1008</v>
      </c>
    </row>
    <row r="5" customFormat="false" ht="15" hidden="false" customHeight="true" outlineLevel="0" collapsed="false">
      <c r="C5" s="9" t="s">
        <v>496</v>
      </c>
      <c r="D5" s="9" t="s">
        <v>499</v>
      </c>
      <c r="E5" s="9" t="s">
        <v>501</v>
      </c>
      <c r="F5" s="9" t="s">
        <v>503</v>
      </c>
      <c r="G5" s="9" t="s">
        <v>505</v>
      </c>
      <c r="H5" s="9" t="s">
        <v>507</v>
      </c>
      <c r="I5" s="9" t="s">
        <v>509</v>
      </c>
      <c r="J5" s="9" t="s">
        <v>510</v>
      </c>
      <c r="K5" s="9" t="s">
        <v>512</v>
      </c>
      <c r="L5" s="9" t="s">
        <v>514</v>
      </c>
      <c r="M5" s="9" t="s">
        <v>516</v>
      </c>
      <c r="N5" s="9" t="s">
        <v>518</v>
      </c>
      <c r="O5" s="9" t="s">
        <v>520</v>
      </c>
      <c r="P5" s="9" t="s">
        <v>522</v>
      </c>
      <c r="Q5" s="9" t="s">
        <v>525</v>
      </c>
      <c r="R5" s="9" t="s">
        <v>527</v>
      </c>
      <c r="S5" s="9" t="s">
        <v>530</v>
      </c>
      <c r="T5" s="9" t="s">
        <v>532</v>
      </c>
      <c r="U5" s="9" t="s">
        <v>534</v>
      </c>
      <c r="V5" s="9" t="s">
        <v>535</v>
      </c>
      <c r="W5" s="9" t="s">
        <v>537</v>
      </c>
      <c r="X5" s="9" t="s">
        <v>538</v>
      </c>
      <c r="Y5" s="9" t="s">
        <v>540</v>
      </c>
      <c r="Z5" s="9" t="s">
        <v>543</v>
      </c>
      <c r="AB5" s="7" t="s">
        <v>1009</v>
      </c>
      <c r="AD5" s="7" t="s">
        <v>1010</v>
      </c>
    </row>
    <row r="6" customFormat="false" ht="15" hidden="false" customHeight="true" outlineLevel="0" collapsed="false">
      <c r="A6" s="9" t="s">
        <v>496</v>
      </c>
      <c r="C6" s="32" t="n">
        <v>0</v>
      </c>
      <c r="D6" s="32" t="n">
        <v>46.5338845765576</v>
      </c>
      <c r="E6" s="32" t="n">
        <v>43.6053608359188</v>
      </c>
      <c r="F6" s="32" t="n">
        <v>39.5225100830323</v>
      </c>
      <c r="G6" s="32" t="n">
        <v>55.1429339607894</v>
      </c>
      <c r="H6" s="32" t="n">
        <v>40.6058193338925</v>
      </c>
      <c r="I6" s="32" t="n">
        <v>2.44304457453809</v>
      </c>
      <c r="J6" s="32" t="n">
        <v>2.82838084472691</v>
      </c>
      <c r="K6" s="32" t="n">
        <v>2.19615453859597</v>
      </c>
      <c r="L6" s="32" t="n">
        <v>14.6695605072824</v>
      </c>
      <c r="M6" s="32" t="n">
        <v>13.8041714009569</v>
      </c>
      <c r="N6" s="32" t="n">
        <v>0.944745343107423</v>
      </c>
      <c r="O6" s="32" t="n">
        <v>0.929533250712057</v>
      </c>
      <c r="P6" s="32" t="n">
        <v>35.084806182992</v>
      </c>
      <c r="Q6" s="32" t="n">
        <v>47.7474730888444</v>
      </c>
      <c r="R6" s="32" t="n">
        <v>19.5611529301977</v>
      </c>
      <c r="S6" s="32" t="n">
        <v>63.3989296694034</v>
      </c>
      <c r="T6" s="32" t="n">
        <v>41.9953775138749</v>
      </c>
      <c r="U6" s="32" t="n">
        <v>47.8881806438211</v>
      </c>
      <c r="V6" s="32" t="n">
        <v>46.9726558310597</v>
      </c>
      <c r="W6" s="32" t="n">
        <v>52.9595658353933</v>
      </c>
      <c r="X6" s="32" t="n">
        <v>15.845188551863</v>
      </c>
      <c r="Y6" s="32" t="n">
        <v>18.7990721257756</v>
      </c>
      <c r="Z6" s="32" t="n">
        <v>1.63072014542509</v>
      </c>
      <c r="AB6" s="35" t="n">
        <f aca="false">SUM(C6:Z6)</f>
        <v>655.109221768761</v>
      </c>
      <c r="AD6" s="35" t="n">
        <f aca="false">INDEX($C$30:$Z$30,1,1)</f>
        <v>516.399352354426</v>
      </c>
    </row>
    <row r="7" customFormat="false" ht="15" hidden="false" customHeight="true" outlineLevel="0" collapsed="false">
      <c r="A7" s="9" t="s">
        <v>499</v>
      </c>
      <c r="C7" s="32" t="n">
        <v>24.7455397944818</v>
      </c>
      <c r="D7" s="32" t="n">
        <v>0</v>
      </c>
      <c r="E7" s="32" t="n">
        <v>13.1151123157976</v>
      </c>
      <c r="F7" s="32" t="n">
        <v>11.8871200422274</v>
      </c>
      <c r="G7" s="32" t="n">
        <v>16.5852491174121</v>
      </c>
      <c r="H7" s="32" t="n">
        <v>12.2129451753168</v>
      </c>
      <c r="I7" s="32" t="n">
        <v>0.734790479274604</v>
      </c>
      <c r="J7" s="32" t="n">
        <v>0.850687432447253</v>
      </c>
      <c r="K7" s="32" t="n">
        <v>0.660533771178177</v>
      </c>
      <c r="L7" s="32" t="n">
        <v>4.41213947065697</v>
      </c>
      <c r="M7" s="32" t="n">
        <v>4.15185781930143</v>
      </c>
      <c r="N7" s="32" t="n">
        <v>0.284149495547213</v>
      </c>
      <c r="O7" s="32" t="n">
        <v>0.279574179657173</v>
      </c>
      <c r="P7" s="32" t="n">
        <v>10.5523991740231</v>
      </c>
      <c r="Q7" s="32" t="n">
        <v>14.360928572798</v>
      </c>
      <c r="R7" s="32" t="n">
        <v>5.88337563978397</v>
      </c>
      <c r="S7" s="32" t="n">
        <v>19.0683913027194</v>
      </c>
      <c r="T7" s="32" t="n">
        <v>12.6308802927071</v>
      </c>
      <c r="U7" s="32" t="n">
        <v>14.4032489515731</v>
      </c>
      <c r="V7" s="32" t="n">
        <v>14.1278880666478</v>
      </c>
      <c r="W7" s="32" t="n">
        <v>15.9285610946011</v>
      </c>
      <c r="X7" s="32" t="n">
        <v>4.76573117476631</v>
      </c>
      <c r="Y7" s="32" t="n">
        <v>5.65416585566321</v>
      </c>
      <c r="Z7" s="32" t="n">
        <v>0.490469003188861</v>
      </c>
      <c r="AB7" s="35" t="n">
        <f aca="false">SUM(C7:Z7)</f>
        <v>207.78573822177</v>
      </c>
      <c r="AD7" s="35" t="n">
        <f aca="false">INDEX($C$30:$Z$30,1,2)</f>
        <v>324.610146798696</v>
      </c>
    </row>
    <row r="8" customFormat="false" ht="15" hidden="false" customHeight="true" outlineLevel="0" collapsed="false">
      <c r="A8" s="9" t="s">
        <v>501</v>
      </c>
      <c r="C8" s="32" t="n">
        <v>54.288164165745</v>
      </c>
      <c r="D8" s="32" t="n">
        <v>30.7050395795957</v>
      </c>
      <c r="E8" s="32" t="n">
        <v>0</v>
      </c>
      <c r="F8" s="32" t="n">
        <v>26.0786359752099</v>
      </c>
      <c r="G8" s="32" t="n">
        <v>36.3856571444293</v>
      </c>
      <c r="H8" s="32" t="n">
        <v>26.7934495723829</v>
      </c>
      <c r="I8" s="32" t="n">
        <v>1.61202489408542</v>
      </c>
      <c r="J8" s="32" t="n">
        <v>1.86628618207517</v>
      </c>
      <c r="K8" s="32" t="n">
        <v>1.44911632983395</v>
      </c>
      <c r="L8" s="32" t="n">
        <v>9.67960100666718</v>
      </c>
      <c r="M8" s="32" t="n">
        <v>9.10858040515774</v>
      </c>
      <c r="N8" s="32" t="n">
        <v>0.62338322744209</v>
      </c>
      <c r="O8" s="32" t="n">
        <v>0.613345640781563</v>
      </c>
      <c r="P8" s="32" t="n">
        <v>23.1504498774193</v>
      </c>
      <c r="Q8" s="32" t="n">
        <v>31.5058169838935</v>
      </c>
      <c r="R8" s="32" t="n">
        <v>12.9072820893793</v>
      </c>
      <c r="S8" s="32" t="n">
        <v>41.8333148525432</v>
      </c>
      <c r="T8" s="32" t="n">
        <v>27.710339260462</v>
      </c>
      <c r="U8" s="32" t="n">
        <v>31.598661823391</v>
      </c>
      <c r="V8" s="32" t="n">
        <v>30.9945595467867</v>
      </c>
      <c r="W8" s="32" t="n">
        <v>34.9449778347787</v>
      </c>
      <c r="X8" s="32" t="n">
        <v>10.4553304770994</v>
      </c>
      <c r="Y8" s="32" t="n">
        <v>12.4044287068268</v>
      </c>
      <c r="Z8" s="32" t="n">
        <v>1.07601862737558</v>
      </c>
      <c r="AB8" s="35" t="n">
        <f aca="false">SUM(C8:Z8)</f>
        <v>457.784464203361</v>
      </c>
      <c r="AD8" s="35" t="n">
        <f aca="false">INDEX($C$30:$Z$30,1,3)</f>
        <v>288.523846583913</v>
      </c>
    </row>
    <row r="9" customFormat="false" ht="15" hidden="false" customHeight="true" outlineLevel="0" collapsed="false">
      <c r="A9" s="9" t="s">
        <v>503</v>
      </c>
      <c r="C9" s="32" t="n">
        <v>19.9867724254838</v>
      </c>
      <c r="D9" s="32" t="n">
        <v>11.3043910735166</v>
      </c>
      <c r="E9" s="32" t="n">
        <v>10.5929701824067</v>
      </c>
      <c r="F9" s="32" t="n">
        <v>0</v>
      </c>
      <c r="G9" s="32" t="n">
        <v>13.3957716211789</v>
      </c>
      <c r="H9" s="32" t="n">
        <v>9.86429707701912</v>
      </c>
      <c r="I9" s="32" t="n">
        <v>0.593484329363817</v>
      </c>
      <c r="J9" s="32" t="n">
        <v>0.687093361419979</v>
      </c>
      <c r="K9" s="32" t="n">
        <v>0.533507786596306</v>
      </c>
      <c r="L9" s="32" t="n">
        <v>3.56364937851064</v>
      </c>
      <c r="M9" s="32" t="n">
        <v>3.35342199307561</v>
      </c>
      <c r="N9" s="32" t="n">
        <v>0.229505250218248</v>
      </c>
      <c r="O9" s="32" t="n">
        <v>0.225809804565075</v>
      </c>
      <c r="P9" s="32" t="n">
        <v>8.52308749721006</v>
      </c>
      <c r="Q9" s="32" t="n">
        <v>11.5992059008205</v>
      </c>
      <c r="R9" s="32" t="n">
        <v>4.75195493743965</v>
      </c>
      <c r="S9" s="32" t="n">
        <v>15.4013854881644</v>
      </c>
      <c r="T9" s="32" t="n">
        <v>10.2018598923496</v>
      </c>
      <c r="U9" s="32" t="n">
        <v>11.6333877285989</v>
      </c>
      <c r="V9" s="32" t="n">
        <v>11.4109809681245</v>
      </c>
      <c r="W9" s="32" t="n">
        <v>12.865370014446</v>
      </c>
      <c r="X9" s="32" t="n">
        <v>3.84924253914755</v>
      </c>
      <c r="Y9" s="32" t="n">
        <v>4.56682404795557</v>
      </c>
      <c r="Z9" s="32" t="n">
        <v>0.396147848456943</v>
      </c>
      <c r="AB9" s="35" t="n">
        <f aca="false">SUM(C9:Z9)</f>
        <v>169.530121146068</v>
      </c>
      <c r="AD9" s="35" t="n">
        <f aca="false">INDEX($C$30:$Z$30,1,4)</f>
        <v>277.986329304428</v>
      </c>
    </row>
    <row r="10" customFormat="false" ht="15" hidden="false" customHeight="true" outlineLevel="0" collapsed="false">
      <c r="A10" s="9" t="s">
        <v>505</v>
      </c>
      <c r="C10" s="32" t="n">
        <v>20.628023820016</v>
      </c>
      <c r="D10" s="32" t="n">
        <v>11.6670787744576</v>
      </c>
      <c r="E10" s="32" t="n">
        <v>10.9328328054006</v>
      </c>
      <c r="F10" s="32" t="n">
        <v>9.90917140700798</v>
      </c>
      <c r="G10" s="32" t="n">
        <v>0</v>
      </c>
      <c r="H10" s="32" t="n">
        <v>10.1807811056587</v>
      </c>
      <c r="I10" s="32" t="n">
        <v>0.612525555517587</v>
      </c>
      <c r="J10" s="32" t="n">
        <v>0.709137920031285</v>
      </c>
      <c r="K10" s="32" t="n">
        <v>0.550624737991244</v>
      </c>
      <c r="L10" s="32" t="n">
        <v>3.6779847541754</v>
      </c>
      <c r="M10" s="32" t="n">
        <v>3.46101247760892</v>
      </c>
      <c r="N10" s="32" t="n">
        <v>0.236868648300836</v>
      </c>
      <c r="O10" s="32" t="n">
        <v>0.233054638748097</v>
      </c>
      <c r="P10" s="32" t="n">
        <v>8.79654044033447</v>
      </c>
      <c r="Q10" s="32" t="n">
        <v>11.9713523785521</v>
      </c>
      <c r="R10" s="32" t="n">
        <v>4.90441565823628</v>
      </c>
      <c r="S10" s="32" t="n">
        <v>15.8955202945137</v>
      </c>
      <c r="T10" s="32" t="n">
        <v>10.529174215219</v>
      </c>
      <c r="U10" s="32" t="n">
        <v>12.0066308888896</v>
      </c>
      <c r="V10" s="32" t="n">
        <v>11.7770884767816</v>
      </c>
      <c r="W10" s="32" t="n">
        <v>13.2781398347706</v>
      </c>
      <c r="X10" s="32" t="n">
        <v>3.97274082559294</v>
      </c>
      <c r="Y10" s="32" t="n">
        <v>4.71334506830807</v>
      </c>
      <c r="Z10" s="32" t="n">
        <v>0.408857772543539</v>
      </c>
      <c r="AB10" s="35" t="n">
        <f aca="false">SUM(C10:Z10)</f>
        <v>171.052902498656</v>
      </c>
      <c r="AD10" s="35" t="n">
        <f aca="false">INDEX($C$30:$Z$30,1,5)</f>
        <v>387.424672702538</v>
      </c>
    </row>
    <row r="11" customFormat="false" ht="15" hidden="false" customHeight="true" outlineLevel="0" collapsed="false">
      <c r="A11" s="9" t="s">
        <v>507</v>
      </c>
      <c r="C11" s="32" t="n">
        <v>14.6945408580018</v>
      </c>
      <c r="D11" s="32" t="n">
        <v>8.31113863551181</v>
      </c>
      <c r="E11" s="32" t="n">
        <v>7.78809253636671</v>
      </c>
      <c r="F11" s="32" t="n">
        <v>7.05887899779964</v>
      </c>
      <c r="G11" s="32" t="n">
        <v>9.84874942393851</v>
      </c>
      <c r="H11" s="32" t="n">
        <v>0</v>
      </c>
      <c r="I11" s="32" t="n">
        <v>0.436337570707558</v>
      </c>
      <c r="J11" s="32" t="n">
        <v>0.505160175825801</v>
      </c>
      <c r="K11" s="32" t="n">
        <v>0.39224201893677</v>
      </c>
      <c r="L11" s="32" t="n">
        <v>2.62004241011663</v>
      </c>
      <c r="M11" s="32" t="n">
        <v>2.46548044088107</v>
      </c>
      <c r="N11" s="32" t="n">
        <v>0.168735311768395</v>
      </c>
      <c r="O11" s="32" t="n">
        <v>0.166018370984608</v>
      </c>
      <c r="P11" s="32" t="n">
        <v>6.26628726228898</v>
      </c>
      <c r="Q11" s="32" t="n">
        <v>8.52789041679681</v>
      </c>
      <c r="R11" s="32" t="n">
        <v>3.49370045833701</v>
      </c>
      <c r="S11" s="32" t="n">
        <v>11.3233034082635</v>
      </c>
      <c r="T11" s="32" t="n">
        <v>7.50054305039258</v>
      </c>
      <c r="U11" s="32" t="n">
        <v>8.55302135110666</v>
      </c>
      <c r="V11" s="32" t="n">
        <v>8.38950494338891</v>
      </c>
      <c r="W11" s="32" t="n">
        <v>9.45879110974124</v>
      </c>
      <c r="X11" s="32" t="n">
        <v>2.8300142994445</v>
      </c>
      <c r="Y11" s="32" t="n">
        <v>3.35758976664107</v>
      </c>
      <c r="Z11" s="32" t="n">
        <v>0.291253165895751</v>
      </c>
      <c r="AB11" s="35" t="n">
        <f aca="false">SUM(C11:Z11)</f>
        <v>124.447315983136</v>
      </c>
      <c r="AD11" s="35" t="n">
        <f aca="false">INDEX($C$30:$Z$30,1,6)</f>
        <v>288.217849941722</v>
      </c>
    </row>
    <row r="12" customFormat="false" ht="15" hidden="false" customHeight="true" outlineLevel="0" collapsed="false">
      <c r="A12" s="9" t="s">
        <v>509</v>
      </c>
      <c r="C12" s="32" t="n">
        <v>2.11707431646102</v>
      </c>
      <c r="D12" s="32" t="n">
        <v>1.19740373760692</v>
      </c>
      <c r="E12" s="32" t="n">
        <v>1.1220473536596</v>
      </c>
      <c r="F12" s="32" t="n">
        <v>1.01698798034306</v>
      </c>
      <c r="G12" s="32" t="n">
        <v>1.41893065296603</v>
      </c>
      <c r="H12" s="32" t="n">
        <v>1.04486355010835</v>
      </c>
      <c r="I12" s="32" t="n">
        <v>0</v>
      </c>
      <c r="J12" s="32" t="n">
        <v>0.0727795202500235</v>
      </c>
      <c r="K12" s="32" t="n">
        <v>0.0565111569087008</v>
      </c>
      <c r="L12" s="32" t="n">
        <v>0.377475182661192</v>
      </c>
      <c r="M12" s="32" t="n">
        <v>0.355207105112374</v>
      </c>
      <c r="N12" s="32" t="n">
        <v>0.0243100616941284</v>
      </c>
      <c r="O12" s="32" t="n">
        <v>0.0239186261529784</v>
      </c>
      <c r="P12" s="32" t="n">
        <v>0.902797572973153</v>
      </c>
      <c r="Q12" s="32" t="n">
        <v>1.22863163602444</v>
      </c>
      <c r="R12" s="32" t="n">
        <v>0.503344989219294</v>
      </c>
      <c r="S12" s="32" t="n">
        <v>1.63137283803436</v>
      </c>
      <c r="T12" s="32" t="n">
        <v>1.0806194766439</v>
      </c>
      <c r="U12" s="32" t="n">
        <v>1.23225230414127</v>
      </c>
      <c r="V12" s="32" t="n">
        <v>1.20869414125313</v>
      </c>
      <c r="W12" s="32" t="n">
        <v>1.36274851434359</v>
      </c>
      <c r="X12" s="32" t="n">
        <v>0.407726287365342</v>
      </c>
      <c r="Y12" s="32" t="n">
        <v>0.483735227174344</v>
      </c>
      <c r="Z12" s="32" t="n">
        <v>0.0419614742008144</v>
      </c>
      <c r="AB12" s="35" t="n">
        <f aca="false">SUM(C12:Z12)</f>
        <v>18.911393705298</v>
      </c>
      <c r="AD12" s="35" t="n">
        <f aca="false">INDEX($C$30:$Z$30,1,7)</f>
        <v>17.7140681489044</v>
      </c>
    </row>
    <row r="13" customFormat="false" ht="15" hidden="false" customHeight="true" outlineLevel="0" collapsed="false">
      <c r="A13" s="9" t="s">
        <v>510</v>
      </c>
      <c r="C13" s="32" t="n">
        <v>2.45090943441685</v>
      </c>
      <c r="D13" s="32" t="n">
        <v>1.38621875221301</v>
      </c>
      <c r="E13" s="32" t="n">
        <v>1.2989796454306</v>
      </c>
      <c r="F13" s="32" t="n">
        <v>1.17735377371067</v>
      </c>
      <c r="G13" s="32" t="n">
        <v>1.64267758438972</v>
      </c>
      <c r="H13" s="32" t="n">
        <v>1.20962495871174</v>
      </c>
      <c r="I13" s="32" t="n">
        <v>0.0727769502274266</v>
      </c>
      <c r="J13" s="32" t="n">
        <v>0</v>
      </c>
      <c r="K13" s="32" t="n">
        <v>0.0654222322477906</v>
      </c>
      <c r="L13" s="32" t="n">
        <v>0.436998115394014</v>
      </c>
      <c r="M13" s="32" t="n">
        <v>0.411218651288117</v>
      </c>
      <c r="N13" s="32" t="n">
        <v>0.0281434426246282</v>
      </c>
      <c r="O13" s="32" t="n">
        <v>0.0276902827835632</v>
      </c>
      <c r="P13" s="32" t="n">
        <v>1.04515702248342</v>
      </c>
      <c r="Q13" s="32" t="n">
        <v>1.42237088454648</v>
      </c>
      <c r="R13" s="32" t="n">
        <v>0.582715955340781</v>
      </c>
      <c r="S13" s="32" t="n">
        <v>1.88861914232354</v>
      </c>
      <c r="T13" s="32" t="n">
        <v>1.25101913037634</v>
      </c>
      <c r="U13" s="32" t="n">
        <v>1.42656248499122</v>
      </c>
      <c r="V13" s="32" t="n">
        <v>1.39928950584678</v>
      </c>
      <c r="W13" s="32" t="n">
        <v>1.57763625233783</v>
      </c>
      <c r="X13" s="32" t="n">
        <v>0.472019426334517</v>
      </c>
      <c r="Y13" s="32" t="n">
        <v>0.560013988560994</v>
      </c>
      <c r="Z13" s="32" t="n">
        <v>0.0485782535838104</v>
      </c>
      <c r="AB13" s="35" t="n">
        <f aca="false">SUM(C13:Z13)</f>
        <v>21.8819958701638</v>
      </c>
      <c r="AD13" s="35" t="n">
        <f aca="false">INDEX($C$30:$Z$30,1,8)</f>
        <v>20.4965943874108</v>
      </c>
    </row>
    <row r="14" customFormat="false" ht="15" hidden="false" customHeight="true" outlineLevel="0" collapsed="false">
      <c r="A14" s="9" t="s">
        <v>512</v>
      </c>
      <c r="C14" s="32" t="n">
        <v>1.90316935559136</v>
      </c>
      <c r="D14" s="32" t="n">
        <v>1.07642045532605</v>
      </c>
      <c r="E14" s="32" t="n">
        <v>1.00867792991652</v>
      </c>
      <c r="F14" s="32" t="n">
        <v>0.914233545863004</v>
      </c>
      <c r="G14" s="32" t="n">
        <v>1.27556473357458</v>
      </c>
      <c r="H14" s="32" t="n">
        <v>0.939292623730259</v>
      </c>
      <c r="I14" s="32" t="n">
        <v>0.0565124355560659</v>
      </c>
      <c r="J14" s="32" t="n">
        <v>0.0654260228738814</v>
      </c>
      <c r="K14" s="32" t="n">
        <v>0</v>
      </c>
      <c r="L14" s="32" t="n">
        <v>0.339335844070856</v>
      </c>
      <c r="M14" s="32" t="n">
        <v>0.319317688605399</v>
      </c>
      <c r="N14" s="32" t="n">
        <v>0.021853821610826</v>
      </c>
      <c r="O14" s="32" t="n">
        <v>0.0215019359350075</v>
      </c>
      <c r="P14" s="32" t="n">
        <v>0.811580709201049</v>
      </c>
      <c r="Q14" s="32" t="n">
        <v>1.10449314925353</v>
      </c>
      <c r="R14" s="32" t="n">
        <v>0.452488016752275</v>
      </c>
      <c r="S14" s="32" t="n">
        <v>1.46654218453756</v>
      </c>
      <c r="T14" s="32" t="n">
        <v>0.971435842857772</v>
      </c>
      <c r="U14" s="32" t="n">
        <v>1.10774799229476</v>
      </c>
      <c r="V14" s="32" t="n">
        <v>1.08657009913621</v>
      </c>
      <c r="W14" s="32" t="n">
        <v>1.2250591260357</v>
      </c>
      <c r="X14" s="32" t="n">
        <v>0.366530437570986</v>
      </c>
      <c r="Y14" s="32" t="n">
        <v>0.434859585901168</v>
      </c>
      <c r="Z14" s="32" t="n">
        <v>0.037721770649943</v>
      </c>
      <c r="AB14" s="35" t="n">
        <f aca="false">SUM(C14:Z14)</f>
        <v>17.0063353068448</v>
      </c>
      <c r="AD14" s="35" t="n">
        <f aca="false">INDEX($C$30:$Z$30,1,9)</f>
        <v>15.9296235530315</v>
      </c>
    </row>
    <row r="15" customFormat="false" ht="15" hidden="false" customHeight="true" outlineLevel="0" collapsed="false">
      <c r="A15" s="9" t="s">
        <v>514</v>
      </c>
      <c r="C15" s="32" t="n">
        <v>35.580099114453</v>
      </c>
      <c r="D15" s="32" t="n">
        <v>20.1238772455039</v>
      </c>
      <c r="E15" s="32" t="n">
        <v>18.8574183456413</v>
      </c>
      <c r="F15" s="32" t="n">
        <v>17.0917633157539</v>
      </c>
      <c r="G15" s="32" t="n">
        <v>23.8469159426867</v>
      </c>
      <c r="H15" s="32" t="n">
        <v>17.5602473587605</v>
      </c>
      <c r="I15" s="32" t="n">
        <v>1.05651031652891</v>
      </c>
      <c r="J15" s="32" t="n">
        <v>1.22315146136527</v>
      </c>
      <c r="K15" s="32" t="n">
        <v>0.949741134853069</v>
      </c>
      <c r="L15" s="32" t="n">
        <v>0</v>
      </c>
      <c r="M15" s="32" t="n">
        <v>5.96970257859573</v>
      </c>
      <c r="N15" s="32" t="n">
        <v>0.40856119118267</v>
      </c>
      <c r="O15" s="32" t="n">
        <v>0.401982624127776</v>
      </c>
      <c r="P15" s="32" t="n">
        <v>15.1726497633621</v>
      </c>
      <c r="Q15" s="32" t="n">
        <v>20.6487013918232</v>
      </c>
      <c r="R15" s="32" t="n">
        <v>8.45934621469651</v>
      </c>
      <c r="S15" s="32" t="n">
        <v>27.4172743103879</v>
      </c>
      <c r="T15" s="32" t="n">
        <v>18.1611707180267</v>
      </c>
      <c r="U15" s="32" t="n">
        <v>20.7095512776566</v>
      </c>
      <c r="V15" s="32" t="n">
        <v>20.3136266924887</v>
      </c>
      <c r="W15" s="32" t="n">
        <v>22.9027043743417</v>
      </c>
      <c r="X15" s="32" t="n">
        <v>6.85235355378412</v>
      </c>
      <c r="Y15" s="32" t="n">
        <v>8.12977947641757</v>
      </c>
      <c r="Z15" s="32" t="n">
        <v>0.705215400066484</v>
      </c>
      <c r="AB15" s="35" t="n">
        <f aca="false">SUM(C15:Z15)</f>
        <v>312.542343802504</v>
      </c>
      <c r="AD15" s="35" t="n">
        <f aca="false">INDEX($C$30:$Z$30,1,10)</f>
        <v>100.399822327838</v>
      </c>
    </row>
    <row r="16" customFormat="false" ht="15" hidden="false" customHeight="true" outlineLevel="0" collapsed="false">
      <c r="A16" s="9" t="s">
        <v>516</v>
      </c>
      <c r="C16" s="32" t="n">
        <v>44.6272584622938</v>
      </c>
      <c r="D16" s="32" t="n">
        <v>25.2408928994178</v>
      </c>
      <c r="E16" s="32" t="n">
        <v>23.6524041075729</v>
      </c>
      <c r="F16" s="32" t="n">
        <v>21.4377856738084</v>
      </c>
      <c r="G16" s="32" t="n">
        <v>29.9106103633809</v>
      </c>
      <c r="H16" s="32" t="n">
        <v>22.0253938871937</v>
      </c>
      <c r="I16" s="32" t="n">
        <v>1.32515535755389</v>
      </c>
      <c r="J16" s="32" t="n">
        <v>1.53416931833972</v>
      </c>
      <c r="K16" s="32" t="n">
        <v>1.19123735324681</v>
      </c>
      <c r="L16" s="32" t="n">
        <v>7.95705772288732</v>
      </c>
      <c r="M16" s="32" t="n">
        <v>0</v>
      </c>
      <c r="N16" s="32" t="n">
        <v>0.512448428485835</v>
      </c>
      <c r="O16" s="32" t="n">
        <v>0.504197090811763</v>
      </c>
      <c r="P16" s="32" t="n">
        <v>19.0306879238673</v>
      </c>
      <c r="Q16" s="32" t="n">
        <v>25.8991671428285</v>
      </c>
      <c r="R16" s="32" t="n">
        <v>10.6103535218073</v>
      </c>
      <c r="S16" s="32" t="n">
        <v>34.3888245798694</v>
      </c>
      <c r="T16" s="32" t="n">
        <v>22.7791175343296</v>
      </c>
      <c r="U16" s="32" t="n">
        <v>25.9754896840825</v>
      </c>
      <c r="V16" s="32" t="n">
        <v>25.4788910451348</v>
      </c>
      <c r="W16" s="32" t="n">
        <v>28.7263086117732</v>
      </c>
      <c r="X16" s="32" t="n">
        <v>8.59474146308721</v>
      </c>
      <c r="Y16" s="32" t="n">
        <v>10.1969859265558</v>
      </c>
      <c r="Z16" s="32" t="n">
        <v>0.884534633507325</v>
      </c>
      <c r="AB16" s="35" t="n">
        <f aca="false">SUM(C16:Z16)</f>
        <v>392.483712731836</v>
      </c>
      <c r="AD16" s="35" t="n">
        <f aca="false">INDEX($C$30:$Z$30,1,11)</f>
        <v>92.9590685348254</v>
      </c>
    </row>
    <row r="17" customFormat="false" ht="15" hidden="false" customHeight="true" outlineLevel="0" collapsed="false">
      <c r="A17" s="9" t="s">
        <v>518</v>
      </c>
      <c r="C17" s="32" t="n">
        <v>0.818802404585051</v>
      </c>
      <c r="D17" s="32" t="n">
        <v>0.463109420386625</v>
      </c>
      <c r="E17" s="32" t="n">
        <v>0.433964487732562</v>
      </c>
      <c r="F17" s="32" t="n">
        <v>0.393331588439927</v>
      </c>
      <c r="G17" s="32" t="n">
        <v>0.548787457083779</v>
      </c>
      <c r="H17" s="32" t="n">
        <v>0.404112779905685</v>
      </c>
      <c r="I17" s="32" t="n">
        <v>0.0243134001639525</v>
      </c>
      <c r="J17" s="32" t="n">
        <v>0.0281483015130436</v>
      </c>
      <c r="K17" s="32" t="n">
        <v>0.0218563282370155</v>
      </c>
      <c r="L17" s="32" t="n">
        <v>0.145992790536909</v>
      </c>
      <c r="M17" s="32" t="n">
        <v>0.137380360023399</v>
      </c>
      <c r="N17" s="32" t="n">
        <v>0</v>
      </c>
      <c r="O17" s="32" t="n">
        <v>0.00925079882938072</v>
      </c>
      <c r="P17" s="32" t="n">
        <v>0.349167158590663</v>
      </c>
      <c r="Q17" s="32" t="n">
        <v>0.475187162823716</v>
      </c>
      <c r="R17" s="32" t="n">
        <v>0.194674359942896</v>
      </c>
      <c r="S17" s="32" t="n">
        <v>0.630951871727486</v>
      </c>
      <c r="T17" s="32" t="n">
        <v>0.417941788362231</v>
      </c>
      <c r="U17" s="32" t="n">
        <v>0.476587497113927</v>
      </c>
      <c r="V17" s="32" t="n">
        <v>0.467476111523714</v>
      </c>
      <c r="W17" s="32" t="n">
        <v>0.527058380385286</v>
      </c>
      <c r="X17" s="32" t="n">
        <v>0.157692746972316</v>
      </c>
      <c r="Y17" s="32" t="n">
        <v>0.187090062976606</v>
      </c>
      <c r="Z17" s="32" t="n">
        <v>0.0162290741087421</v>
      </c>
      <c r="AB17" s="35" t="n">
        <f aca="false">SUM(C17:Z17)</f>
        <v>7.32910633196491</v>
      </c>
      <c r="AD17" s="35" t="n">
        <f aca="false">INDEX($C$30:$Z$30,1,12)</f>
        <v>6.86508308473437</v>
      </c>
    </row>
    <row r="18" customFormat="false" ht="15" hidden="false" customHeight="true" outlineLevel="0" collapsed="false">
      <c r="A18" s="9" t="s">
        <v>520</v>
      </c>
      <c r="C18" s="32" t="n">
        <v>0.80561934237159</v>
      </c>
      <c r="D18" s="32" t="n">
        <v>0.455653164437193</v>
      </c>
      <c r="E18" s="32" t="n">
        <v>0.426977477425589</v>
      </c>
      <c r="F18" s="32" t="n">
        <v>0.386998784857663</v>
      </c>
      <c r="G18" s="32" t="n">
        <v>0.539951748800327</v>
      </c>
      <c r="H18" s="32" t="n">
        <v>0.397606394617954</v>
      </c>
      <c r="I18" s="32" t="n">
        <v>0.0239219442214842</v>
      </c>
      <c r="J18" s="32" t="n">
        <v>0.0276951020500575</v>
      </c>
      <c r="K18" s="32" t="n">
        <v>0.0215044321833487</v>
      </c>
      <c r="L18" s="32" t="n">
        <v>0.143642245363144</v>
      </c>
      <c r="M18" s="32" t="n">
        <v>0.135168478593942</v>
      </c>
      <c r="N18" s="32" t="n">
        <v>0.00925081172765578</v>
      </c>
      <c r="O18" s="32" t="n">
        <v>0</v>
      </c>
      <c r="P18" s="32" t="n">
        <v>0.343545420856599</v>
      </c>
      <c r="Q18" s="32" t="n">
        <v>0.467536450154257</v>
      </c>
      <c r="R18" s="32" t="n">
        <v>0.191540021079061</v>
      </c>
      <c r="S18" s="32" t="n">
        <v>0.620793281899092</v>
      </c>
      <c r="T18" s="32" t="n">
        <v>0.411212750236877</v>
      </c>
      <c r="U18" s="32" t="n">
        <v>0.468914238474935</v>
      </c>
      <c r="V18" s="32" t="n">
        <v>0.459949550015084</v>
      </c>
      <c r="W18" s="32" t="n">
        <v>0.518572519352347</v>
      </c>
      <c r="X18" s="32" t="n">
        <v>0.155153827591637</v>
      </c>
      <c r="Y18" s="32" t="n">
        <v>0.184077834475652</v>
      </c>
      <c r="Z18" s="32" t="n">
        <v>0.0159677792072563</v>
      </c>
      <c r="AB18" s="35" t="n">
        <f aca="false">SUM(C18:Z18)</f>
        <v>7.21125359999275</v>
      </c>
      <c r="AD18" s="35" t="n">
        <f aca="false">INDEX($C$30:$Z$30,1,13)</f>
        <v>6.75469189103272</v>
      </c>
    </row>
    <row r="19" customFormat="false" ht="15" hidden="false" customHeight="true" outlineLevel="0" collapsed="false">
      <c r="A19" s="9" t="s">
        <v>522</v>
      </c>
      <c r="C19" s="32" t="n">
        <v>32.3659395877605</v>
      </c>
      <c r="D19" s="32" t="n">
        <v>18.3059691066153</v>
      </c>
      <c r="E19" s="32" t="n">
        <v>17.153916884628</v>
      </c>
      <c r="F19" s="32" t="n">
        <v>15.5477638537909</v>
      </c>
      <c r="G19" s="32" t="n">
        <v>21.6926838307169</v>
      </c>
      <c r="H19" s="32" t="n">
        <v>15.9739269789977</v>
      </c>
      <c r="I19" s="32" t="n">
        <v>0.961069528463742</v>
      </c>
      <c r="J19" s="32" t="n">
        <v>1.11265699901179</v>
      </c>
      <c r="K19" s="32" t="n">
        <v>0.863945434659538</v>
      </c>
      <c r="L19" s="32" t="n">
        <v>5.77085974870921</v>
      </c>
      <c r="M19" s="32" t="n">
        <v>5.43042424907809</v>
      </c>
      <c r="N19" s="32" t="n">
        <v>0.371653456871633</v>
      </c>
      <c r="O19" s="32" t="n">
        <v>0.365669170453885</v>
      </c>
      <c r="P19" s="32" t="n">
        <v>0</v>
      </c>
      <c r="Q19" s="32" t="n">
        <v>18.7833828023818</v>
      </c>
      <c r="R19" s="32" t="n">
        <v>7.69516373903521</v>
      </c>
      <c r="S19" s="32" t="n">
        <v>24.9405107370993</v>
      </c>
      <c r="T19" s="32" t="n">
        <v>16.520565398422</v>
      </c>
      <c r="U19" s="32" t="n">
        <v>18.8387357602943</v>
      </c>
      <c r="V19" s="32" t="n">
        <v>18.4785773705261</v>
      </c>
      <c r="W19" s="32" t="n">
        <v>20.8337684443147</v>
      </c>
      <c r="X19" s="32" t="n">
        <v>6.23334017261527</v>
      </c>
      <c r="Y19" s="32" t="n">
        <v>7.39536870173195</v>
      </c>
      <c r="Z19" s="32" t="n">
        <v>0.641509147051207</v>
      </c>
      <c r="AB19" s="35" t="n">
        <f aca="false">SUM(C19:Z19)</f>
        <v>276.277401103229</v>
      </c>
      <c r="AD19" s="35" t="n">
        <f aca="false">INDEX($C$30:$Z$30,1,14)</f>
        <v>241.494277445265</v>
      </c>
    </row>
    <row r="20" customFormat="false" ht="15" hidden="false" customHeight="true" outlineLevel="0" collapsed="false">
      <c r="A20" s="9" t="s">
        <v>525</v>
      </c>
      <c r="C20" s="32" t="n">
        <v>38.7923494409332</v>
      </c>
      <c r="D20" s="32" t="n">
        <v>21.9407055529231</v>
      </c>
      <c r="E20" s="32" t="n">
        <v>20.5599079323765</v>
      </c>
      <c r="F20" s="32" t="n">
        <v>18.6348456471027</v>
      </c>
      <c r="G20" s="32" t="n">
        <v>25.9998684478506</v>
      </c>
      <c r="H20" s="32" t="n">
        <v>19.1456254694229</v>
      </c>
      <c r="I20" s="32" t="n">
        <v>1.15189441307914</v>
      </c>
      <c r="J20" s="32" t="n">
        <v>1.33358029037067</v>
      </c>
      <c r="K20" s="32" t="n">
        <v>1.03548587268221</v>
      </c>
      <c r="L20" s="32" t="n">
        <v>6.91669115118785</v>
      </c>
      <c r="M20" s="32" t="n">
        <v>6.50866057855516</v>
      </c>
      <c r="N20" s="32" t="n">
        <v>0.445447002420632</v>
      </c>
      <c r="O20" s="32" t="n">
        <v>0.438274507729339</v>
      </c>
      <c r="P20" s="32" t="n">
        <v>16.5424702632756</v>
      </c>
      <c r="Q20" s="32" t="n">
        <v>0</v>
      </c>
      <c r="R20" s="32" t="n">
        <v>9.22307476847476</v>
      </c>
      <c r="S20" s="32" t="n">
        <v>29.892566694241</v>
      </c>
      <c r="T20" s="32" t="n">
        <v>19.8008015234549</v>
      </c>
      <c r="U20" s="32" t="n">
        <v>22.5792555367402</v>
      </c>
      <c r="V20" s="32" t="n">
        <v>22.1475860011753</v>
      </c>
      <c r="W20" s="32" t="n">
        <v>24.970411363215</v>
      </c>
      <c r="X20" s="32" t="n">
        <v>7.47099924303572</v>
      </c>
      <c r="Y20" s="32" t="n">
        <v>8.86375401351284</v>
      </c>
      <c r="Z20" s="32" t="n">
        <v>0.768883811776509</v>
      </c>
      <c r="AB20" s="35" t="n">
        <f aca="false">SUM(C20:Z20)</f>
        <v>325.163139525536</v>
      </c>
      <c r="AD20" s="35" t="n">
        <f aca="false">INDEX($C$30:$Z$30,1,15)</f>
        <v>324.923889997653</v>
      </c>
    </row>
    <row r="21" customFormat="false" ht="15" hidden="false" customHeight="true" outlineLevel="0" collapsed="false">
      <c r="A21" s="9" t="s">
        <v>527</v>
      </c>
      <c r="C21" s="32" t="n">
        <v>18.2284510940284</v>
      </c>
      <c r="D21" s="32" t="n">
        <v>10.3098957372744</v>
      </c>
      <c r="E21" s="32" t="n">
        <v>9.6610615661137</v>
      </c>
      <c r="F21" s="32" t="n">
        <v>8.75647846594592</v>
      </c>
      <c r="G21" s="32" t="n">
        <v>12.2172886479705</v>
      </c>
      <c r="H21" s="32" t="n">
        <v>8.99649293130221</v>
      </c>
      <c r="I21" s="32" t="n">
        <v>0.541272990084527</v>
      </c>
      <c r="J21" s="32" t="n">
        <v>0.626646837670817</v>
      </c>
      <c r="K21" s="32" t="n">
        <v>0.486572838736804</v>
      </c>
      <c r="L21" s="32" t="n">
        <v>3.25013999407028</v>
      </c>
      <c r="M21" s="32" t="n">
        <v>3.05840720538141</v>
      </c>
      <c r="N21" s="32" t="n">
        <v>0.209314697759403</v>
      </c>
      <c r="O21" s="32" t="n">
        <v>0.205944356169201</v>
      </c>
      <c r="P21" s="32" t="n">
        <v>7.77327525953748</v>
      </c>
      <c r="Q21" s="32" t="n">
        <v>10.5787744510007</v>
      </c>
      <c r="R21" s="32" t="n">
        <v>0</v>
      </c>
      <c r="S21" s="32" t="n">
        <v>14.0464601374721</v>
      </c>
      <c r="T21" s="32" t="n">
        <v>9.30435891083216</v>
      </c>
      <c r="U21" s="32" t="n">
        <v>10.6099491580868</v>
      </c>
      <c r="V21" s="32" t="n">
        <v>10.4071084657537</v>
      </c>
      <c r="W21" s="32" t="n">
        <v>11.7335487252506</v>
      </c>
      <c r="X21" s="32" t="n">
        <v>3.51060831034636</v>
      </c>
      <c r="Y21" s="32" t="n">
        <v>4.16506112347833</v>
      </c>
      <c r="Z21" s="32" t="n">
        <v>0.361297038254899</v>
      </c>
      <c r="AB21" s="35" t="n">
        <f aca="false">SUM(C21:Z21)</f>
        <v>159.038408942521</v>
      </c>
      <c r="AD21" s="35" t="n">
        <f aca="false">INDEX($C$30:$Z$30,1,16)</f>
        <v>138.003772055372</v>
      </c>
    </row>
    <row r="22" customFormat="false" ht="15" hidden="false" customHeight="true" outlineLevel="0" collapsed="false">
      <c r="A22" s="9" t="s">
        <v>530</v>
      </c>
      <c r="C22" s="32" t="n">
        <v>36.9585823334773</v>
      </c>
      <c r="D22" s="32" t="n">
        <v>20.9035385667216</v>
      </c>
      <c r="E22" s="32" t="n">
        <v>19.5880131272908</v>
      </c>
      <c r="F22" s="32" t="n">
        <v>17.7539511539191</v>
      </c>
      <c r="G22" s="32" t="n">
        <v>24.7708193120037</v>
      </c>
      <c r="H22" s="32" t="n">
        <v>18.2405857194857</v>
      </c>
      <c r="I22" s="32" t="n">
        <v>1.09744279784034</v>
      </c>
      <c r="J22" s="32" t="n">
        <v>1.27054013665797</v>
      </c>
      <c r="K22" s="32" t="n">
        <v>0.986537047438941</v>
      </c>
      <c r="L22" s="32" t="n">
        <v>6.58972975523548</v>
      </c>
      <c r="M22" s="32" t="n">
        <v>6.20098734260634</v>
      </c>
      <c r="N22" s="32" t="n">
        <v>0.424390116902586</v>
      </c>
      <c r="O22" s="32" t="n">
        <v>0.417556675788425</v>
      </c>
      <c r="P22" s="32" t="n">
        <v>15.760485199673</v>
      </c>
      <c r="Q22" s="32" t="n">
        <v>21.4486960256693</v>
      </c>
      <c r="R22" s="32" t="n">
        <v>8.78708748273977</v>
      </c>
      <c r="S22" s="32" t="n">
        <v>0</v>
      </c>
      <c r="T22" s="32" t="n">
        <v>18.8647907105429</v>
      </c>
      <c r="U22" s="32" t="n">
        <v>21.511903424511</v>
      </c>
      <c r="V22" s="32" t="n">
        <v>21.1006394948714</v>
      </c>
      <c r="W22" s="32" t="n">
        <v>23.7900260636025</v>
      </c>
      <c r="X22" s="32" t="n">
        <v>7.11783494984005</v>
      </c>
      <c r="Y22" s="32" t="n">
        <v>8.44475230846507</v>
      </c>
      <c r="Z22" s="32" t="n">
        <v>0.732537628474619</v>
      </c>
      <c r="AB22" s="35" t="n">
        <f aca="false">SUM(C22:Z22)</f>
        <v>302.761427373758</v>
      </c>
      <c r="AD22" s="35" t="n">
        <f aca="false">INDEX($C$30:$Z$30,1,17)</f>
        <v>432.845879914361</v>
      </c>
    </row>
    <row r="23" customFormat="false" ht="15" hidden="false" customHeight="true" outlineLevel="0" collapsed="false">
      <c r="A23" s="9" t="s">
        <v>532</v>
      </c>
      <c r="C23" s="32" t="n">
        <v>32.443352908435</v>
      </c>
      <c r="D23" s="32" t="n">
        <v>18.3497535872996</v>
      </c>
      <c r="E23" s="32" t="n">
        <v>17.1949458702076</v>
      </c>
      <c r="F23" s="32" t="n">
        <v>15.5849512194079</v>
      </c>
      <c r="G23" s="32" t="n">
        <v>21.7445687044783</v>
      </c>
      <c r="H23" s="32" t="n">
        <v>16.0121336477182</v>
      </c>
      <c r="I23" s="32" t="n">
        <v>0.963368228410202</v>
      </c>
      <c r="J23" s="32" t="n">
        <v>1.11531826805456</v>
      </c>
      <c r="K23" s="32" t="n">
        <v>0.866011831798953</v>
      </c>
      <c r="L23" s="32" t="n">
        <v>5.78466257420987</v>
      </c>
      <c r="M23" s="32" t="n">
        <v>5.44341281604532</v>
      </c>
      <c r="N23" s="32" t="n">
        <v>0.372542382965022</v>
      </c>
      <c r="O23" s="32" t="n">
        <v>0.366543783244791</v>
      </c>
      <c r="P23" s="32" t="n">
        <v>13.8350269695815</v>
      </c>
      <c r="Q23" s="32" t="n">
        <v>18.8283091680228</v>
      </c>
      <c r="R23" s="32" t="n">
        <v>7.71356914254769</v>
      </c>
      <c r="S23" s="32" t="n">
        <v>25.0001638100541</v>
      </c>
      <c r="T23" s="32" t="n">
        <v>0</v>
      </c>
      <c r="U23" s="32" t="n">
        <v>18.8837945199376</v>
      </c>
      <c r="V23" s="32" t="n">
        <v>18.5227746981432</v>
      </c>
      <c r="W23" s="32" t="n">
        <v>20.8835989518786</v>
      </c>
      <c r="X23" s="32" t="n">
        <v>6.24824916545782</v>
      </c>
      <c r="Y23" s="32" t="n">
        <v>7.41305705115439</v>
      </c>
      <c r="Z23" s="32" t="n">
        <v>0.643043517872783</v>
      </c>
      <c r="AB23" s="35" t="n">
        <f aca="false">SUM(C23:Z23)</f>
        <v>274.213152816926</v>
      </c>
      <c r="AD23" s="35" t="n">
        <f aca="false">INDEX($C$30:$Z$30,1,18)</f>
        <v>289.021320237616</v>
      </c>
    </row>
    <row r="24" customFormat="false" ht="15" hidden="false" customHeight="true" outlineLevel="0" collapsed="false">
      <c r="A24" s="9" t="s">
        <v>534</v>
      </c>
      <c r="C24" s="32" t="n">
        <v>57.6814916526755</v>
      </c>
      <c r="D24" s="32" t="n">
        <v>32.624283974647</v>
      </c>
      <c r="E24" s="32" t="n">
        <v>30.5711351560928</v>
      </c>
      <c r="F24" s="32" t="n">
        <v>27.7087031111358</v>
      </c>
      <c r="G24" s="32" t="n">
        <v>38.6599733313105</v>
      </c>
      <c r="H24" s="32" t="n">
        <v>28.4681967350623</v>
      </c>
      <c r="I24" s="32" t="n">
        <v>1.71278586964569</v>
      </c>
      <c r="J24" s="32" t="n">
        <v>1.98293997388105</v>
      </c>
      <c r="K24" s="32" t="n">
        <v>1.53969456819126</v>
      </c>
      <c r="L24" s="32" t="n">
        <v>10.2846326312062</v>
      </c>
      <c r="M24" s="32" t="n">
        <v>9.67791990541</v>
      </c>
      <c r="N24" s="32" t="n">
        <v>0.662348321824586</v>
      </c>
      <c r="O24" s="32" t="n">
        <v>0.651683327344305</v>
      </c>
      <c r="P24" s="32" t="n">
        <v>24.5974882717186</v>
      </c>
      <c r="Q24" s="32" t="n">
        <v>33.475114645963</v>
      </c>
      <c r="R24" s="32" t="n">
        <v>13.7140626421667</v>
      </c>
      <c r="S24" s="32" t="n">
        <v>44.4481414789356</v>
      </c>
      <c r="T24" s="32" t="n">
        <v>29.4423973863846</v>
      </c>
      <c r="U24" s="32" t="n">
        <v>0</v>
      </c>
      <c r="V24" s="32" t="n">
        <v>32.9319006315637</v>
      </c>
      <c r="W24" s="32" t="n">
        <v>37.1292431463648</v>
      </c>
      <c r="X24" s="32" t="n">
        <v>11.1088497264254</v>
      </c>
      <c r="Y24" s="32" t="n">
        <v>13.1797779848395</v>
      </c>
      <c r="Z24" s="32" t="n">
        <v>1.14327607917622</v>
      </c>
      <c r="AB24" s="35" t="n">
        <f aca="false">SUM(C24:Z24)</f>
        <v>483.396040551965</v>
      </c>
      <c r="AD24" s="35" t="n">
        <f aca="false">INDEX($C$30:$Z$30,1,19)</f>
        <v>314.886904498441</v>
      </c>
    </row>
    <row r="25" customFormat="false" ht="15" hidden="false" customHeight="true" outlineLevel="0" collapsed="false">
      <c r="A25" s="9" t="s">
        <v>535</v>
      </c>
      <c r="C25" s="32" t="n">
        <v>27.9888243506124</v>
      </c>
      <c r="D25" s="32" t="n">
        <v>15.8303006314252</v>
      </c>
      <c r="E25" s="32" t="n">
        <v>14.83405001443</v>
      </c>
      <c r="F25" s="32" t="n">
        <v>13.4451104182718</v>
      </c>
      <c r="G25" s="32" t="n">
        <v>18.7590017519809</v>
      </c>
      <c r="H25" s="32" t="n">
        <v>13.8136399591424</v>
      </c>
      <c r="I25" s="32" t="n">
        <v>0.831096101751046</v>
      </c>
      <c r="J25" s="32" t="n">
        <v>0.962183137720403</v>
      </c>
      <c r="K25" s="32" t="n">
        <v>0.74710690705063</v>
      </c>
      <c r="L25" s="32" t="n">
        <v>4.99041838166569</v>
      </c>
      <c r="M25" s="32" t="n">
        <v>4.6960228064638</v>
      </c>
      <c r="N25" s="32" t="n">
        <v>0.321391668407232</v>
      </c>
      <c r="O25" s="32" t="n">
        <v>0.31621668682031</v>
      </c>
      <c r="P25" s="32" t="n">
        <v>11.9354537994415</v>
      </c>
      <c r="Q25" s="32" t="n">
        <v>16.2431497018856</v>
      </c>
      <c r="R25" s="32" t="n">
        <v>6.65448273661445</v>
      </c>
      <c r="S25" s="32" t="n">
        <v>21.5675980097057</v>
      </c>
      <c r="T25" s="32" t="n">
        <v>14.2863519180545</v>
      </c>
      <c r="U25" s="32" t="n">
        <v>16.291016818862</v>
      </c>
      <c r="V25" s="32" t="n">
        <v>0</v>
      </c>
      <c r="W25" s="32" t="n">
        <v>18.0162446379207</v>
      </c>
      <c r="X25" s="32" t="n">
        <v>5.39035373083746</v>
      </c>
      <c r="Y25" s="32" t="n">
        <v>6.39523147596391</v>
      </c>
      <c r="Z25" s="32" t="n">
        <v>0.554752528887415</v>
      </c>
      <c r="AB25" s="35" t="n">
        <f aca="false">SUM(C25:Z25)</f>
        <v>234.869998173915</v>
      </c>
      <c r="AD25" s="35" t="n">
        <f aca="false">INDEX($C$30:$Z$30,1,20)</f>
        <v>325.819241014421</v>
      </c>
    </row>
    <row r="26" customFormat="false" ht="15" hidden="false" customHeight="true" outlineLevel="0" collapsed="false">
      <c r="A26" s="9" t="s">
        <v>537</v>
      </c>
      <c r="C26" s="32" t="n">
        <v>19.2354469501421</v>
      </c>
      <c r="D26" s="32" t="n">
        <v>10.8794461741626</v>
      </c>
      <c r="E26" s="32" t="n">
        <v>10.194768402342</v>
      </c>
      <c r="F26" s="32" t="n">
        <v>9.24021334193023</v>
      </c>
      <c r="G26" s="32" t="n">
        <v>12.8922093517642</v>
      </c>
      <c r="H26" s="32" t="n">
        <v>9.49348694657237</v>
      </c>
      <c r="I26" s="32" t="n">
        <v>0.57117457937644</v>
      </c>
      <c r="J26" s="32" t="n">
        <v>0.661264741601664</v>
      </c>
      <c r="K26" s="32" t="n">
        <v>0.513452622969592</v>
      </c>
      <c r="L26" s="32" t="n">
        <v>3.42968775097708</v>
      </c>
      <c r="M26" s="32" t="n">
        <v>3.22736305172516</v>
      </c>
      <c r="N26" s="32" t="n">
        <v>0.220877887203208</v>
      </c>
      <c r="O26" s="32" t="n">
        <v>0.21732135754922</v>
      </c>
      <c r="P26" s="32" t="n">
        <v>8.20269495813979</v>
      </c>
      <c r="Q26" s="32" t="n">
        <v>11.1631785772738</v>
      </c>
      <c r="R26" s="32" t="n">
        <v>4.57332355433439</v>
      </c>
      <c r="S26" s="32" t="n">
        <v>14.8224299156247</v>
      </c>
      <c r="T26" s="32" t="n">
        <v>9.81836039228942</v>
      </c>
      <c r="U26" s="32" t="n">
        <v>11.1960754713242</v>
      </c>
      <c r="V26" s="32" t="n">
        <v>10.9820292335733</v>
      </c>
      <c r="W26" s="32" t="n">
        <v>0</v>
      </c>
      <c r="X26" s="32" t="n">
        <v>3.70454514034477</v>
      </c>
      <c r="Y26" s="32" t="n">
        <v>4.39515194524742</v>
      </c>
      <c r="Z26" s="32" t="n">
        <v>0.381256200910689</v>
      </c>
      <c r="AB26" s="35" t="n">
        <f aca="false">SUM(C26:Z26)</f>
        <v>160.015758547378</v>
      </c>
      <c r="AD26" s="35" t="n">
        <f aca="false">INDEX($C$30:$Z$30,1,21)</f>
        <v>372.981101313416</v>
      </c>
    </row>
    <row r="27" customFormat="false" ht="15" hidden="false" customHeight="true" outlineLevel="0" collapsed="false">
      <c r="A27" s="9" t="s">
        <v>538</v>
      </c>
      <c r="C27" s="32" t="n">
        <v>15.4159611789616</v>
      </c>
      <c r="D27" s="32" t="n">
        <v>8.71916937018475</v>
      </c>
      <c r="E27" s="32" t="n">
        <v>8.17044461334165</v>
      </c>
      <c r="F27" s="32" t="n">
        <v>7.4054307411592</v>
      </c>
      <c r="G27" s="32" t="n">
        <v>10.3322683061635</v>
      </c>
      <c r="H27" s="32" t="n">
        <v>7.60841308240342</v>
      </c>
      <c r="I27" s="32" t="n">
        <v>0.457759321366425</v>
      </c>
      <c r="J27" s="32" t="n">
        <v>0.529960734053648</v>
      </c>
      <c r="K27" s="32" t="n">
        <v>0.411498922975468</v>
      </c>
      <c r="L27" s="32" t="n">
        <v>2.7486719368708</v>
      </c>
      <c r="M27" s="32" t="n">
        <v>2.58652183361107</v>
      </c>
      <c r="N27" s="32" t="n">
        <v>0.177019278171259</v>
      </c>
      <c r="O27" s="32" t="n">
        <v>0.174168950688887</v>
      </c>
      <c r="P27" s="32" t="n">
        <v>6.57392715465927</v>
      </c>
      <c r="Q27" s="32" t="n">
        <v>8.94656245977155</v>
      </c>
      <c r="R27" s="32" t="n">
        <v>3.66522174167253</v>
      </c>
      <c r="S27" s="32" t="n">
        <v>11.8792146992696</v>
      </c>
      <c r="T27" s="32" t="n">
        <v>7.86877804508043</v>
      </c>
      <c r="U27" s="32" t="n">
        <v>8.97292718334171</v>
      </c>
      <c r="V27" s="32" t="n">
        <v>8.80138302841648</v>
      </c>
      <c r="W27" s="32" t="n">
        <v>9.92316520514314</v>
      </c>
      <c r="X27" s="32" t="n">
        <v>0</v>
      </c>
      <c r="Y27" s="32" t="n">
        <v>3.522428771174</v>
      </c>
      <c r="Z27" s="32" t="n">
        <v>0.305552078291278</v>
      </c>
      <c r="AB27" s="35" t="n">
        <f aca="false">SUM(C27:Z27)</f>
        <v>135.196448636772</v>
      </c>
      <c r="AD27" s="35" t="n">
        <f aca="false">INDEX($C$30:$Z$30,1,22)</f>
        <v>112.329330146441</v>
      </c>
    </row>
    <row r="28" customFormat="false" ht="15" hidden="false" customHeight="true" outlineLevel="0" collapsed="false">
      <c r="A28" s="9" t="s">
        <v>540</v>
      </c>
      <c r="C28" s="32" t="n">
        <v>13.2297375416807</v>
      </c>
      <c r="D28" s="32" t="n">
        <v>7.48265521753057</v>
      </c>
      <c r="E28" s="32" t="n">
        <v>7.01174818608553</v>
      </c>
      <c r="F28" s="32" t="n">
        <v>6.35522520790556</v>
      </c>
      <c r="G28" s="32" t="n">
        <v>8.86699157541445</v>
      </c>
      <c r="H28" s="32" t="n">
        <v>6.52942148857093</v>
      </c>
      <c r="I28" s="32" t="n">
        <v>0.39284191291299</v>
      </c>
      <c r="J28" s="32" t="n">
        <v>0.454804039627095</v>
      </c>
      <c r="K28" s="32" t="n">
        <v>0.353141960235296</v>
      </c>
      <c r="L28" s="32" t="n">
        <v>2.3588674031309</v>
      </c>
      <c r="M28" s="32" t="n">
        <v>2.21971271250997</v>
      </c>
      <c r="N28" s="32" t="n">
        <v>0.151915184712555</v>
      </c>
      <c r="O28" s="32" t="n">
        <v>0.149469078105133</v>
      </c>
      <c r="P28" s="32" t="n">
        <v>5.64164179350432</v>
      </c>
      <c r="Q28" s="32" t="n">
        <v>7.67780042184847</v>
      </c>
      <c r="R28" s="32" t="n">
        <v>3.14543615616809</v>
      </c>
      <c r="S28" s="32" t="n">
        <v>10.1945568523544</v>
      </c>
      <c r="T28" s="32" t="n">
        <v>6.75286264032781</v>
      </c>
      <c r="U28" s="32" t="n">
        <v>7.7004262165779</v>
      </c>
      <c r="V28" s="32" t="n">
        <v>7.55320969727534</v>
      </c>
      <c r="W28" s="32" t="n">
        <v>8.51590567222906</v>
      </c>
      <c r="X28" s="32" t="n">
        <v>2.54790855887588</v>
      </c>
      <c r="Y28" s="32" t="n">
        <v>0</v>
      </c>
      <c r="Z28" s="32" t="n">
        <v>0.262220029888592</v>
      </c>
      <c r="AB28" s="35" t="n">
        <f aca="false">SUM(C28:Z28)</f>
        <v>115.548499547472</v>
      </c>
      <c r="AD28" s="35" t="n">
        <f aca="false">INDEX($C$30:$Z$30,1,23)</f>
        <v>133.769465954722</v>
      </c>
    </row>
    <row r="29" customFormat="false" ht="15" hidden="false" customHeight="true" outlineLevel="0" collapsed="false">
      <c r="A29" s="9" t="s">
        <v>543</v>
      </c>
      <c r="C29" s="32" t="n">
        <v>1.41324182181826</v>
      </c>
      <c r="D29" s="32" t="n">
        <v>0.799320565381181</v>
      </c>
      <c r="E29" s="32" t="n">
        <v>0.749016807734461</v>
      </c>
      <c r="F29" s="32" t="n">
        <v>0.678884975804653</v>
      </c>
      <c r="G29" s="32" t="n">
        <v>0.947199692254361</v>
      </c>
      <c r="H29" s="32" t="n">
        <v>0.697493165745376</v>
      </c>
      <c r="I29" s="32" t="n">
        <v>0.0419645982350453</v>
      </c>
      <c r="J29" s="32" t="n">
        <v>0.0485835858427202</v>
      </c>
      <c r="K29" s="32" t="n">
        <v>0.0377237254836728</v>
      </c>
      <c r="L29" s="32" t="n">
        <v>0.251981572251578</v>
      </c>
      <c r="M29" s="32" t="n">
        <v>0.237116634238401</v>
      </c>
      <c r="N29" s="32" t="n">
        <v>0.0162280537863002</v>
      </c>
      <c r="O29" s="32" t="n">
        <v>0.0159667530501863</v>
      </c>
      <c r="P29" s="32" t="n">
        <v>0.60265777013179</v>
      </c>
      <c r="Q29" s="32" t="n">
        <v>0.82016658467676</v>
      </c>
      <c r="R29" s="32" t="n">
        <v>0.336005299406061</v>
      </c>
      <c r="S29" s="32" t="n">
        <v>1.08901435521758</v>
      </c>
      <c r="T29" s="32" t="n">
        <v>0.721361846388751</v>
      </c>
      <c r="U29" s="32" t="n">
        <v>0.822583542629461</v>
      </c>
      <c r="V29" s="32" t="n">
        <v>0.806857414935287</v>
      </c>
      <c r="W29" s="32" t="n">
        <v>0.909695601196679</v>
      </c>
      <c r="X29" s="32" t="n">
        <v>0.272175538042809</v>
      </c>
      <c r="Y29" s="32" t="n">
        <v>0.322914905921833</v>
      </c>
      <c r="Z29" s="32" t="n">
        <v>0</v>
      </c>
      <c r="AB29" s="35" t="n">
        <f aca="false">SUM(C29:Z29)</f>
        <v>12.6381548101732</v>
      </c>
      <c r="AD29" s="35" t="n">
        <f aca="false">INDEX($C$30:$Z$30,1,24)</f>
        <v>11.8380030087944</v>
      </c>
    </row>
    <row r="30" customFormat="false" ht="15" hidden="false" customHeight="true" outlineLevel="0" collapsed="false">
      <c r="A30" s="7" t="s">
        <v>1011</v>
      </c>
      <c r="C30" s="35" t="n">
        <f aca="false">SUM(C6:C29)</f>
        <v>516.399352354426</v>
      </c>
      <c r="D30" s="35" t="n">
        <f aca="false">SUM(D6:D29)</f>
        <v>324.610146798696</v>
      </c>
      <c r="E30" s="35" t="n">
        <f aca="false">SUM(E6:E29)</f>
        <v>288.523846583913</v>
      </c>
      <c r="F30" s="35" t="n">
        <f aca="false">SUM(F6:F29)</f>
        <v>277.986329304428</v>
      </c>
      <c r="G30" s="35" t="n">
        <f aca="false">SUM(G6:G29)</f>
        <v>387.424672702538</v>
      </c>
      <c r="H30" s="35" t="n">
        <f aca="false">SUM(H6:H29)</f>
        <v>288.217849941722</v>
      </c>
      <c r="I30" s="35" t="n">
        <f aca="false">SUM(I6:I29)</f>
        <v>17.7140681489044</v>
      </c>
      <c r="J30" s="35" t="n">
        <f aca="false">SUM(J6:J29)</f>
        <v>20.4965943874108</v>
      </c>
      <c r="K30" s="35" t="n">
        <f aca="false">SUM(K6:K29)</f>
        <v>15.9296235530315</v>
      </c>
      <c r="L30" s="35" t="n">
        <f aca="false">SUM(L6:L29)</f>
        <v>100.399822327838</v>
      </c>
      <c r="M30" s="35" t="n">
        <f aca="false">SUM(M6:M29)</f>
        <v>92.9590685348254</v>
      </c>
      <c r="N30" s="35" t="n">
        <f aca="false">SUM(N6:N29)</f>
        <v>6.86508308473437</v>
      </c>
      <c r="O30" s="35" t="n">
        <f aca="false">SUM(O6:O29)</f>
        <v>6.75469189103272</v>
      </c>
      <c r="P30" s="35" t="n">
        <f aca="false">SUM(P6:P29)</f>
        <v>241.494277445265</v>
      </c>
      <c r="Q30" s="35" t="n">
        <f aca="false">SUM(Q6:Q29)</f>
        <v>324.923889997653</v>
      </c>
      <c r="R30" s="35" t="n">
        <f aca="false">SUM(R6:R29)</f>
        <v>138.003772055372</v>
      </c>
      <c r="S30" s="35" t="n">
        <f aca="false">SUM(S6:S29)</f>
        <v>432.845879914361</v>
      </c>
      <c r="T30" s="35" t="n">
        <f aca="false">SUM(T6:T29)</f>
        <v>289.021320237616</v>
      </c>
      <c r="U30" s="35" t="n">
        <f aca="false">SUM(U6:U29)</f>
        <v>314.886904498441</v>
      </c>
      <c r="V30" s="35" t="n">
        <f aca="false">SUM(V6:V29)</f>
        <v>325.819241014421</v>
      </c>
      <c r="W30" s="35" t="n">
        <f aca="false">SUM(W6:W29)</f>
        <v>372.981101313416</v>
      </c>
      <c r="X30" s="35" t="n">
        <f aca="false">SUM(X6:X29)</f>
        <v>112.329330146441</v>
      </c>
      <c r="Y30" s="35" t="n">
        <f aca="false">SUM(Y6:Y29)</f>
        <v>133.769465954722</v>
      </c>
      <c r="Z30" s="35" t="n">
        <f aca="false">SUM(Z6:Z29)</f>
        <v>11.8380030087944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7"/>
    <col collapsed="false" customWidth="true" hidden="false" outlineLevel="0" max="11" min="3" style="1" width="12"/>
    <col collapsed="false" customWidth="true" hidden="false" outlineLevel="0" max="12" min="12" style="1" width="15"/>
    <col collapsed="false" customWidth="true" hidden="false" outlineLevel="0" max="21" min="13" style="1" width="12"/>
  </cols>
  <sheetData>
    <row r="1" customFormat="false" ht="17.25" hidden="false" customHeight="true" outlineLevel="0" collapsed="false">
      <c r="A1" s="5" t="s">
        <v>1012</v>
      </c>
    </row>
    <row r="2" customFormat="false" ht="15" hidden="false" customHeight="true" outlineLevel="0" collapsed="false">
      <c r="A2" s="6" t="s">
        <v>1013</v>
      </c>
    </row>
    <row r="5" customFormat="false" ht="42" hidden="false" customHeight="true" outlineLevel="0" collapsed="false">
      <c r="A5" s="21" t="s">
        <v>51</v>
      </c>
      <c r="B5" s="21" t="s">
        <v>52</v>
      </c>
      <c r="C5" s="21" t="s">
        <v>1014</v>
      </c>
      <c r="D5" s="21" t="s">
        <v>494</v>
      </c>
      <c r="E5" s="21" t="s">
        <v>1015</v>
      </c>
      <c r="F5" s="21" t="s">
        <v>58</v>
      </c>
      <c r="G5" s="21" t="s">
        <v>903</v>
      </c>
      <c r="H5" s="21" t="s">
        <v>1016</v>
      </c>
      <c r="I5" s="21" t="s">
        <v>1017</v>
      </c>
      <c r="J5" s="21" t="s">
        <v>1018</v>
      </c>
      <c r="K5" s="21" t="s">
        <v>1019</v>
      </c>
      <c r="L5" s="21" t="s">
        <v>57</v>
      </c>
      <c r="M5" s="21" t="s">
        <v>1020</v>
      </c>
      <c r="N5" s="21" t="s">
        <v>1021</v>
      </c>
      <c r="O5" s="21" t="s">
        <v>60</v>
      </c>
      <c r="P5" s="21" t="s">
        <v>1022</v>
      </c>
      <c r="Q5" s="21" t="s">
        <v>950</v>
      </c>
      <c r="R5" s="21" t="s">
        <v>1023</v>
      </c>
      <c r="S5" s="21" t="s">
        <v>1024</v>
      </c>
      <c r="T5" s="21" t="s">
        <v>1025</v>
      </c>
      <c r="U5" s="21" t="s">
        <v>1026</v>
      </c>
    </row>
    <row r="6" customFormat="false" ht="15" hidden="false" customHeight="true" outlineLevel="0" collapsed="false">
      <c r="A6" s="10" t="s">
        <v>496</v>
      </c>
      <c r="B6" s="10" t="s">
        <v>497</v>
      </c>
      <c r="C6" s="24" t="n">
        <f aca="false">Inputs_Banks!$D6</f>
        <v>1</v>
      </c>
      <c r="D6" s="46" t="n">
        <f aca="false">Inputs_Banks!$BA6</f>
        <v>0.139271811312114</v>
      </c>
      <c r="E6" s="46" t="n">
        <f aca="false">Inputs_Banks!$I6</f>
        <v>0.115</v>
      </c>
      <c r="F6" s="23" t="n">
        <f aca="false">Modules!S6</f>
        <v>90.5415498016209</v>
      </c>
      <c r="G6" s="46" t="n">
        <f aca="false">Modules!X6</f>
        <v>0.0905607079181314</v>
      </c>
      <c r="H6" s="23" t="n">
        <f aca="false">Contagion!AX287</f>
        <v>167.342947321811</v>
      </c>
      <c r="I6" s="46" t="n">
        <f aca="false">Contagion!AZ287</f>
        <v>0.0579926268046499</v>
      </c>
      <c r="J6" s="35" t="n">
        <f aca="false">H6-F6</f>
        <v>76.8013975201899</v>
      </c>
      <c r="K6" s="35" t="n">
        <f aca="false">Contagion!AY287-E6*Modules!V6</f>
        <v>-134.433647321811</v>
      </c>
      <c r="L6" s="51" t="str">
        <f aca="false">IF(Contagion!AY287&lt;0,"Insolvent",IF(I6&lt;0.045,"Below minimum",IF(I6&lt;E6,"MDA breach",IF(Contagion!V287&gt;0,"Needs liquidity","OK"))))</f>
        <v>MDA breach</v>
      </c>
      <c r="M6" s="24" t="n">
        <f aca="false">Contagion!G287</f>
        <v>4</v>
      </c>
      <c r="N6" s="23" t="n">
        <f aca="false">Contagion!T287</f>
        <v>866.896886910109</v>
      </c>
      <c r="O6" s="23" t="n">
        <f aca="false">Contagion!V287</f>
        <v>0</v>
      </c>
      <c r="P6" s="23" t="n">
        <f aca="false">Contagion!AW287</f>
        <v>27.990754998401</v>
      </c>
      <c r="Q6" s="23" t="n">
        <f aca="false">Contagion!AR287</f>
        <v>18.7554113051636</v>
      </c>
      <c r="R6" s="35" t="n">
        <f aca="false">Contagion!AS287-Modules!F6</f>
        <v>22.4403280929163</v>
      </c>
      <c r="S6" s="23" t="n">
        <f aca="false">Contagion!AV287</f>
        <v>21.0161031237091</v>
      </c>
      <c r="T6" s="43" t="n">
        <f aca="false">H6/Inputs_Banks!$G6</f>
        <v>0.550289205267382</v>
      </c>
      <c r="U6" s="24" t="n">
        <f aca="false">Contagion!J287</f>
        <v>0</v>
      </c>
    </row>
    <row r="7" customFormat="false" ht="15" hidden="false" customHeight="true" outlineLevel="0" collapsed="false">
      <c r="A7" s="10" t="s">
        <v>499</v>
      </c>
      <c r="B7" s="10" t="s">
        <v>500</v>
      </c>
      <c r="C7" s="24" t="n">
        <f aca="false">Inputs_Banks!$D7</f>
        <v>1</v>
      </c>
      <c r="D7" s="46" t="n">
        <f aca="false">Inputs_Banks!$BA7</f>
        <v>0.108777893524864</v>
      </c>
      <c r="E7" s="46" t="n">
        <f aca="false">Inputs_Banks!$I7</f>
        <v>0.1</v>
      </c>
      <c r="F7" s="23" t="n">
        <f aca="false">Modules!S7</f>
        <v>72.5047308269883</v>
      </c>
      <c r="G7" s="46" t="n">
        <f aca="false">Modules!X7</f>
        <v>0.0639123272540789</v>
      </c>
      <c r="H7" s="23" t="n">
        <f aca="false">Contagion!AX288</f>
        <v>145.313356961789</v>
      </c>
      <c r="I7" s="46" t="n">
        <f aca="false">Contagion!AZ288</f>
        <v>0.0269501064254917</v>
      </c>
      <c r="J7" s="35" t="n">
        <f aca="false">H7-F7</f>
        <v>72.8086261348011</v>
      </c>
      <c r="K7" s="35" t="n">
        <f aca="false">Contagion!AY288-E7*Modules!V7</f>
        <v>-143.894556961789</v>
      </c>
      <c r="L7" s="51" t="str">
        <f aca="false">IF(Contagion!AY288&lt;0,"Insolvent",IF(I7&lt;0.045,"Below minimum",IF(I7&lt;E7,"MDA breach",IF(Contagion!V288&gt;0,"Needs liquidity","OK"))))</f>
        <v>Below minimum</v>
      </c>
      <c r="M7" s="24" t="n">
        <f aca="false">Contagion!G288</f>
        <v>6</v>
      </c>
      <c r="N7" s="23" t="n">
        <f aca="false">Contagion!T288</f>
        <v>1040.34922143275</v>
      </c>
      <c r="O7" s="23" t="n">
        <f aca="false">Contagion!V288</f>
        <v>280.44922143275</v>
      </c>
      <c r="P7" s="23" t="n">
        <f aca="false">Contagion!AW288</f>
        <v>11.4775672079968</v>
      </c>
      <c r="Q7" s="23" t="n">
        <f aca="false">Contagion!AR288</f>
        <v>9.82416957801496</v>
      </c>
      <c r="R7" s="35" t="n">
        <f aca="false">Contagion!AS288-Modules!F7</f>
        <v>10.9002182263254</v>
      </c>
      <c r="S7" s="23" t="n">
        <f aca="false">Contagion!AV288</f>
        <v>36.823985</v>
      </c>
      <c r="T7" s="43" t="n">
        <f aca="false">H7/Inputs_Banks!$G7</f>
        <v>0.732426194363858</v>
      </c>
      <c r="U7" s="24" t="n">
        <f aca="false">Contagion!J288</f>
        <v>1</v>
      </c>
    </row>
    <row r="8" customFormat="false" ht="15" hidden="false" customHeight="true" outlineLevel="0" collapsed="false">
      <c r="A8" s="10" t="s">
        <v>501</v>
      </c>
      <c r="B8" s="10" t="s">
        <v>502</v>
      </c>
      <c r="C8" s="24" t="n">
        <f aca="false">Inputs_Banks!$D8</f>
        <v>1</v>
      </c>
      <c r="D8" s="46" t="n">
        <f aca="false">Inputs_Banks!$BA8</f>
        <v>0.127770111210326</v>
      </c>
      <c r="E8" s="46" t="n">
        <f aca="false">Inputs_Banks!$I8</f>
        <v>0.116</v>
      </c>
      <c r="F8" s="23" t="n">
        <f aca="false">Modules!S8</f>
        <v>57.9164019699365</v>
      </c>
      <c r="G8" s="46" t="n">
        <f aca="false">Modules!X8</f>
        <v>0.0747742857540621</v>
      </c>
      <c r="H8" s="23" t="n">
        <f aca="false">Contagion!AX289</f>
        <v>103.869533047288</v>
      </c>
      <c r="I8" s="46" t="n">
        <f aca="false">Contagion!AZ289</f>
        <v>0.0402347976121738</v>
      </c>
      <c r="J8" s="35" t="n">
        <f aca="false">H8-F8</f>
        <v>45.9531310773517</v>
      </c>
      <c r="K8" s="35" t="n">
        <f aca="false">Contagion!AY289-E8*Modules!V8</f>
        <v>-100.801965047288</v>
      </c>
      <c r="L8" s="51" t="str">
        <f aca="false">IF(Contagion!AY289&lt;0,"Insolvent",IF(I8&lt;0.045,"Below minimum",IF(I8&lt;E8,"MDA breach",IF(Contagion!V289&gt;0,"Needs liquidity","OK"))))</f>
        <v>Below minimum</v>
      </c>
      <c r="M8" s="24" t="n">
        <f aca="false">Contagion!G289</f>
        <v>6</v>
      </c>
      <c r="N8" s="23" t="n">
        <f aca="false">Contagion!T289</f>
        <v>890.09462853276</v>
      </c>
      <c r="O8" s="23" t="n">
        <f aca="false">Contagion!V289</f>
        <v>263.57462853276</v>
      </c>
      <c r="P8" s="23" t="n">
        <f aca="false">Contagion!AW289</f>
        <v>10.4393066837293</v>
      </c>
      <c r="Q8" s="23" t="n">
        <f aca="false">Contagion!AR289</f>
        <v>8.3290801802124</v>
      </c>
      <c r="R8" s="35" t="n">
        <f aca="false">Contagion!AS289-Modules!F8</f>
        <v>19.9841746128149</v>
      </c>
      <c r="S8" s="23" t="n">
        <f aca="false">Contagion!AV289</f>
        <v>12.27977</v>
      </c>
      <c r="T8" s="43" t="n">
        <f aca="false">H8/Inputs_Banks!$G8</f>
        <v>0.659908087975147</v>
      </c>
      <c r="U8" s="24" t="n">
        <f aca="false">Contagion!J289</f>
        <v>1</v>
      </c>
    </row>
    <row r="9" customFormat="false" ht="15" hidden="false" customHeight="true" outlineLevel="0" collapsed="false">
      <c r="A9" s="10" t="s">
        <v>503</v>
      </c>
      <c r="B9" s="10" t="s">
        <v>504</v>
      </c>
      <c r="C9" s="24" t="n">
        <f aca="false">Inputs_Banks!$D9</f>
        <v>1</v>
      </c>
      <c r="D9" s="46" t="n">
        <f aca="false">Inputs_Banks!$BA9</f>
        <v>0.100462755635169</v>
      </c>
      <c r="E9" s="46" t="n">
        <f aca="false">Inputs_Banks!$I9</f>
        <v>0.085</v>
      </c>
      <c r="F9" s="23" t="n">
        <f aca="false">Modules!S9</f>
        <v>73.1828378268631</v>
      </c>
      <c r="G9" s="46" t="n">
        <f aca="false">Modules!X9</f>
        <v>0.042444949061729</v>
      </c>
      <c r="H9" s="23" t="n">
        <f aca="false">Contagion!AX290</f>
        <v>131.599095800657</v>
      </c>
      <c r="I9" s="46" t="n">
        <f aca="false">Contagion!AZ290</f>
        <v>0.00207390282086281</v>
      </c>
      <c r="J9" s="35" t="n">
        <f aca="false">H9-F9</f>
        <v>58.4162579737935</v>
      </c>
      <c r="K9" s="35" t="n">
        <f aca="false">Contagion!AY290-E9*Modules!V9</f>
        <v>-119.992735800657</v>
      </c>
      <c r="L9" s="51" t="str">
        <f aca="false">IF(Contagion!AY290&lt;0,"Insolvent",IF(I9&lt;0.045,"Below minimum",IF(I9&lt;E9,"MDA breach",IF(Contagion!V290&gt;0,"Needs liquidity","OK"))))</f>
        <v>Below minimum</v>
      </c>
      <c r="M9" s="24" t="n">
        <f aca="false">Contagion!G290</f>
        <v>6</v>
      </c>
      <c r="N9" s="23" t="n">
        <f aca="false">Contagion!T290</f>
        <v>896.668851754145</v>
      </c>
      <c r="O9" s="23" t="n">
        <f aca="false">Contagion!V290</f>
        <v>326.580851754145</v>
      </c>
      <c r="P9" s="23" t="n">
        <f aca="false">Contagion!AW290</f>
        <v>8.69909283222242</v>
      </c>
      <c r="Q9" s="23" t="n">
        <f aca="false">Contagion!AR290</f>
        <v>8.47195325842872</v>
      </c>
      <c r="R9" s="35" t="n">
        <f aca="false">Contagion!AS290-Modules!F9</f>
        <v>30.1646168831424</v>
      </c>
      <c r="S9" s="23" t="n">
        <f aca="false">Contagion!AV290</f>
        <v>17.338745</v>
      </c>
      <c r="T9" s="43" t="n">
        <f aca="false">H9/Inputs_Banks!$G9</f>
        <v>0.977705020807256</v>
      </c>
      <c r="U9" s="24" t="n">
        <f aca="false">Contagion!J290</f>
        <v>1</v>
      </c>
    </row>
    <row r="10" customFormat="false" ht="15" hidden="false" customHeight="true" outlineLevel="0" collapsed="false">
      <c r="A10" s="10" t="s">
        <v>505</v>
      </c>
      <c r="B10" s="10" t="s">
        <v>506</v>
      </c>
      <c r="C10" s="24" t="n">
        <f aca="false">Inputs_Banks!$D10</f>
        <v>1</v>
      </c>
      <c r="D10" s="46" t="n">
        <f aca="false">Inputs_Banks!$BA10</f>
        <v>0.124112607099143</v>
      </c>
      <c r="E10" s="46" t="n">
        <f aca="false">Inputs_Banks!$I10</f>
        <v>0.114</v>
      </c>
      <c r="F10" s="23" t="n">
        <f aca="false">Modules!S10</f>
        <v>48.0969217019943</v>
      </c>
      <c r="G10" s="46" t="n">
        <f aca="false">Modules!X10</f>
        <v>0.0604096721270295</v>
      </c>
      <c r="H10" s="23" t="n">
        <f aca="false">Contagion!AX291</f>
        <v>92.1213851345239</v>
      </c>
      <c r="I10" s="46" t="n">
        <f aca="false">Contagion!AZ291</f>
        <v>0.0105156793887712</v>
      </c>
      <c r="J10" s="35" t="n">
        <f aca="false">H10-F10</f>
        <v>44.0244634325296</v>
      </c>
      <c r="K10" s="35" t="n">
        <f aca="false">Contagion!AY291-E10*Modules!V10</f>
        <v>-91.3104251345239</v>
      </c>
      <c r="L10" s="51" t="str">
        <f aca="false">IF(Contagion!AY291&lt;0,"Insolvent",IF(I10&lt;0.045,"Below minimum",IF(I10&lt;E10,"MDA breach",IF(Contagion!V291&gt;0,"Needs liquidity","OK"))))</f>
        <v>Below minimum</v>
      </c>
      <c r="M10" s="24" t="n">
        <f aca="false">Contagion!G291</f>
        <v>6</v>
      </c>
      <c r="N10" s="23" t="n">
        <f aca="false">Contagion!T291</f>
        <v>462.292376971499</v>
      </c>
      <c r="O10" s="23" t="n">
        <f aca="false">Contagion!V291</f>
        <v>0</v>
      </c>
      <c r="P10" s="23" t="n">
        <f aca="false">Contagion!AW291</f>
        <v>19.0984516984342</v>
      </c>
      <c r="Q10" s="23" t="n">
        <f aca="false">Contagion!AR291</f>
        <v>11.7962428802982</v>
      </c>
      <c r="R10" s="35" t="n">
        <f aca="false">Contagion!AS291-Modules!F10</f>
        <v>12.0091488537972</v>
      </c>
      <c r="S10" s="23" t="n">
        <f aca="false">Contagion!AV291</f>
        <v>5.01152</v>
      </c>
      <c r="T10" s="43" t="n">
        <f aca="false">H10/Inputs_Banks!$G10</f>
        <v>0.908494922431202</v>
      </c>
      <c r="U10" s="24" t="n">
        <f aca="false">Contagion!J291</f>
        <v>1</v>
      </c>
    </row>
    <row r="11" customFormat="false" ht="15" hidden="false" customHeight="true" outlineLevel="0" collapsed="false">
      <c r="A11" s="10" t="s">
        <v>507</v>
      </c>
      <c r="B11" s="10" t="s">
        <v>508</v>
      </c>
      <c r="C11" s="24" t="n">
        <f aca="false">Inputs_Banks!$D11</f>
        <v>1</v>
      </c>
      <c r="D11" s="46" t="n">
        <f aca="false">Inputs_Banks!$BA11</f>
        <v>0.149043303121853</v>
      </c>
      <c r="E11" s="46" t="n">
        <f aca="false">Inputs_Banks!$I11</f>
        <v>0.118</v>
      </c>
      <c r="F11" s="23" t="n">
        <f aca="false">Modules!S11</f>
        <v>40.7856044226178</v>
      </c>
      <c r="G11" s="46" t="n">
        <f aca="false">Modules!X11</f>
        <v>0.0746186198099384</v>
      </c>
      <c r="H11" s="23" t="n">
        <f aca="false">Contagion!AX292</f>
        <v>76.5949372910787</v>
      </c>
      <c r="I11" s="46" t="n">
        <f aca="false">Contagion!AZ292</f>
        <v>0.0189677475490801</v>
      </c>
      <c r="J11" s="35" t="n">
        <f aca="false">H11-F11</f>
        <v>35.8093328684609</v>
      </c>
      <c r="K11" s="35" t="n">
        <f aca="false">Contagion!AY292-E11*Modules!V11</f>
        <v>-63.7236892910787</v>
      </c>
      <c r="L11" s="51" t="str">
        <f aca="false">IF(Contagion!AY292&lt;0,"Insolvent",IF(I11&lt;0.045,"Below minimum",IF(I11&lt;E11,"MDA breach",IF(Contagion!V292&gt;0,"Needs liquidity","OK"))))</f>
        <v>Below minimum</v>
      </c>
      <c r="M11" s="24" t="n">
        <f aca="false">Contagion!G292</f>
        <v>6</v>
      </c>
      <c r="N11" s="23" t="n">
        <f aca="false">Contagion!T292</f>
        <v>270.16025277508</v>
      </c>
      <c r="O11" s="23" t="n">
        <f aca="false">Contagion!V292</f>
        <v>0</v>
      </c>
      <c r="P11" s="23" t="n">
        <f aca="false">Contagion!AW292</f>
        <v>15.3298043072842</v>
      </c>
      <c r="Q11" s="23" t="n">
        <f aca="false">Contagion!AR292</f>
        <v>8.85043725068811</v>
      </c>
      <c r="R11" s="35" t="n">
        <f aca="false">Contagion!AS292-Modules!F11</f>
        <v>9.43383663544347</v>
      </c>
      <c r="S11" s="23" t="n">
        <f aca="false">Contagion!AV292</f>
        <v>4.83355467504518</v>
      </c>
      <c r="T11" s="43" t="n">
        <f aca="false">H11/Inputs_Banks!$G11</f>
        <v>0.862555600124761</v>
      </c>
      <c r="U11" s="24" t="n">
        <f aca="false">Contagion!J292</f>
        <v>1</v>
      </c>
    </row>
    <row r="12" customFormat="false" ht="15" hidden="false" customHeight="true" outlineLevel="0" collapsed="false">
      <c r="A12" s="10" t="s">
        <v>509</v>
      </c>
      <c r="B12" s="10" t="s">
        <v>509</v>
      </c>
      <c r="C12" s="24" t="n">
        <f aca="false">Inputs_Banks!$D12</f>
        <v>0</v>
      </c>
      <c r="D12" s="46" t="n">
        <f aca="false">Inputs_Banks!$BA12</f>
        <v>0.0980431309904153</v>
      </c>
      <c r="E12" s="46" t="n">
        <f aca="false">Inputs_Banks!$I12</f>
        <v>0.07</v>
      </c>
      <c r="F12" s="23" t="n">
        <f aca="false">Modules!S12</f>
        <v>28.7444507123833</v>
      </c>
      <c r="G12" s="46" t="n">
        <f aca="false">Modules!X12</f>
        <v>0.0376352452513326</v>
      </c>
      <c r="H12" s="23" t="n">
        <f aca="false">Contagion!AX293</f>
        <v>47.1519017034361</v>
      </c>
      <c r="I12" s="46" t="n">
        <f aca="false">Contagion!AZ293</f>
        <v>0.00360182651565631</v>
      </c>
      <c r="J12" s="35" t="n">
        <f aca="false">H12-F12</f>
        <v>18.4074509910528</v>
      </c>
      <c r="K12" s="35" t="n">
        <f aca="false">Contagion!AY293-E12*Modules!V12</f>
        <v>-35.9123817034361</v>
      </c>
      <c r="L12" s="51" t="str">
        <f aca="false">IF(Contagion!AY293&lt;0,"Insolvent",IF(I12&lt;0.045,"Below minimum",IF(I12&lt;E12,"MDA breach",IF(Contagion!V293&gt;0,"Needs liquidity","OK"))))</f>
        <v>Below minimum</v>
      </c>
      <c r="M12" s="24" t="n">
        <f aca="false">Contagion!G293</f>
        <v>6</v>
      </c>
      <c r="N12" s="23" t="n">
        <f aca="false">Contagion!T293</f>
        <v>222.7934874</v>
      </c>
      <c r="O12" s="23" t="n">
        <f aca="false">Contagion!V293</f>
        <v>71.5984874</v>
      </c>
      <c r="P12" s="23" t="n">
        <f aca="false">Contagion!AW293</f>
        <v>0.917839985949254</v>
      </c>
      <c r="Q12" s="23" t="n">
        <f aca="false">Contagion!AR293</f>
        <v>0.553400080853143</v>
      </c>
      <c r="R12" s="35" t="n">
        <f aca="false">Contagion!AS293-Modules!F12</f>
        <v>14.0679959242504</v>
      </c>
      <c r="S12" s="23" t="n">
        <f aca="false">Contagion!AV293</f>
        <v>2.868215</v>
      </c>
      <c r="T12" s="43" t="n">
        <f aca="false">H12/Inputs_Banks!$G12</f>
        <v>0.960323863613769</v>
      </c>
      <c r="U12" s="24" t="n">
        <f aca="false">Contagion!J293</f>
        <v>1</v>
      </c>
    </row>
    <row r="13" customFormat="false" ht="15" hidden="false" customHeight="true" outlineLevel="0" collapsed="false">
      <c r="A13" s="10" t="s">
        <v>510</v>
      </c>
      <c r="B13" s="10" t="s">
        <v>511</v>
      </c>
      <c r="C13" s="24" t="n">
        <f aca="false">Inputs_Banks!$D13</f>
        <v>0</v>
      </c>
      <c r="D13" s="46" t="n">
        <f aca="false">Inputs_Banks!$BA13</f>
        <v>0.108225108225108</v>
      </c>
      <c r="E13" s="46" t="n">
        <f aca="false">Inputs_Banks!$I13</f>
        <v>0.071</v>
      </c>
      <c r="F13" s="23" t="n">
        <f aca="false">Modules!S13</f>
        <v>14.0514024449052</v>
      </c>
      <c r="G13" s="46" t="n">
        <f aca="false">Modules!X13</f>
        <v>0.0746071784859687</v>
      </c>
      <c r="H13" s="23" t="n">
        <f aca="false">Contagion!AX294</f>
        <v>27.061055175598</v>
      </c>
      <c r="I13" s="46" t="n">
        <f aca="false">Contagion!AZ294</f>
        <v>0.0509039617393305</v>
      </c>
      <c r="J13" s="35" t="n">
        <f aca="false">H13-F13</f>
        <v>13.0096527306928</v>
      </c>
      <c r="K13" s="35" t="n">
        <f aca="false">Contagion!AY294-E13*Modules!V13</f>
        <v>-11.029831175598</v>
      </c>
      <c r="L13" s="51" t="str">
        <f aca="false">IF(Contagion!AY294&lt;0,"Insolvent",IF(I13&lt;0.045,"Below minimum",IF(I13&lt;E13,"MDA breach",IF(Contagion!V294&gt;0,"Needs liquidity","OK"))))</f>
        <v>MDA breach</v>
      </c>
      <c r="M13" s="24" t="n">
        <f aca="false">Contagion!G294</f>
        <v>3</v>
      </c>
      <c r="N13" s="23" t="n">
        <f aca="false">Contagion!T294</f>
        <v>127.8836654</v>
      </c>
      <c r="O13" s="23" t="n">
        <f aca="false">Contagion!V294</f>
        <v>0</v>
      </c>
      <c r="P13" s="23" t="n">
        <f aca="false">Contagion!AW294</f>
        <v>1.48151506912185</v>
      </c>
      <c r="Q13" s="23" t="n">
        <f aca="false">Contagion!AR294</f>
        <v>0.644762362033408</v>
      </c>
      <c r="R13" s="35" t="n">
        <f aca="false">Contagion!AS294-Modules!F13</f>
        <v>5.73856904953758</v>
      </c>
      <c r="S13" s="23" t="n">
        <f aca="false">Contagion!AV294</f>
        <v>5.14480625</v>
      </c>
      <c r="T13" s="43" t="n">
        <f aca="false">H13/Inputs_Banks!$G13</f>
        <v>0.492019185010873</v>
      </c>
      <c r="U13" s="24" t="n">
        <f aca="false">Contagion!J294</f>
        <v>0</v>
      </c>
    </row>
    <row r="14" customFormat="false" ht="15" hidden="false" customHeight="true" outlineLevel="0" collapsed="false">
      <c r="A14" s="10" t="s">
        <v>512</v>
      </c>
      <c r="B14" s="10" t="s">
        <v>513</v>
      </c>
      <c r="C14" s="24" t="n">
        <f aca="false">Inputs_Banks!$D14</f>
        <v>0</v>
      </c>
      <c r="D14" s="46" t="n">
        <f aca="false">Inputs_Banks!$BA14</f>
        <v>0.107225567392311</v>
      </c>
      <c r="E14" s="46" t="n">
        <f aca="false">Inputs_Banks!$I14</f>
        <v>0.07</v>
      </c>
      <c r="F14" s="23" t="n">
        <f aca="false">Modules!S14</f>
        <v>22.0731438863716</v>
      </c>
      <c r="G14" s="46" t="n">
        <f aca="false">Modules!X14</f>
        <v>0.051950611809369</v>
      </c>
      <c r="H14" s="23" t="n">
        <f aca="false">Contagion!AX295</f>
        <v>38.9647721067832</v>
      </c>
      <c r="I14" s="46" t="n">
        <f aca="false">Contagion!AZ295</f>
        <v>0.0157292211183521</v>
      </c>
      <c r="J14" s="35" t="n">
        <f aca="false">H14-F14</f>
        <v>16.8916282204116</v>
      </c>
      <c r="K14" s="35" t="n">
        <f aca="false">Contagion!AY295-E14*Modules!V14</f>
        <v>-25.3088521067832</v>
      </c>
      <c r="L14" s="51" t="str">
        <f aca="false">IF(Contagion!AY295&lt;0,"Insolvent",IF(I14&lt;0.045,"Below minimum",IF(I14&lt;E14,"MDA breach",IF(Contagion!V295&gt;0,"Needs liquidity","OK"))))</f>
        <v>Below minimum</v>
      </c>
      <c r="M14" s="24" t="n">
        <f aca="false">Contagion!G295</f>
        <v>6</v>
      </c>
      <c r="N14" s="23" t="n">
        <f aca="false">Contagion!T295</f>
        <v>207.6981332</v>
      </c>
      <c r="O14" s="23" t="n">
        <f aca="false">Contagion!V295</f>
        <v>74.5706332</v>
      </c>
      <c r="P14" s="23" t="n">
        <f aca="false">Contagion!AW295</f>
        <v>0.41912800194433</v>
      </c>
      <c r="Q14" s="23" t="n">
        <f aca="false">Contagion!AR295</f>
        <v>0.4977941331784</v>
      </c>
      <c r="R14" s="35" t="n">
        <f aca="false">Contagion!AS295-Modules!F14</f>
        <v>11.6366223352888</v>
      </c>
      <c r="S14" s="23" t="n">
        <f aca="false">Contagion!AV295</f>
        <v>4.33808375</v>
      </c>
      <c r="T14" s="43" t="n">
        <f aca="false">H14/Inputs_Banks!$G14</f>
        <v>0.841571751766376</v>
      </c>
      <c r="U14" s="24" t="n">
        <f aca="false">Contagion!J295</f>
        <v>1</v>
      </c>
    </row>
    <row r="15" customFormat="false" ht="15" hidden="false" customHeight="true" outlineLevel="0" collapsed="false">
      <c r="A15" s="10" t="s">
        <v>514</v>
      </c>
      <c r="B15" s="10" t="s">
        <v>515</v>
      </c>
      <c r="C15" s="24" t="n">
        <f aca="false">Inputs_Banks!$D15</f>
        <v>1</v>
      </c>
      <c r="D15" s="46" t="n">
        <f aca="false">Inputs_Banks!$BA15</f>
        <v>0.109530583214794</v>
      </c>
      <c r="E15" s="46" t="n">
        <f aca="false">Inputs_Banks!$I15</f>
        <v>0.08</v>
      </c>
      <c r="F15" s="23" t="n">
        <f aca="false">Modules!S15</f>
        <v>17.082082819929</v>
      </c>
      <c r="G15" s="46" t="n">
        <f aca="false">Modules!X15</f>
        <v>-0.0110774117533918</v>
      </c>
      <c r="H15" s="23" t="n">
        <f aca="false">Contagion!AX296</f>
        <v>32.54502991394</v>
      </c>
      <c r="I15" s="46" t="n">
        <f aca="false">Contagion!AZ296</f>
        <v>-0.112909158592408</v>
      </c>
      <c r="J15" s="35" t="n">
        <f aca="false">H15-F15</f>
        <v>15.462947094011</v>
      </c>
      <c r="K15" s="35" t="n">
        <f aca="false">Contagion!AY296-E15*Modules!V15</f>
        <v>-29.29286991394</v>
      </c>
      <c r="L15" s="51" t="str">
        <f aca="false">IF(Contagion!AY296&lt;0,"Insolvent",IF(I15&lt;0.045,"Below minimum",IF(I15&lt;E15,"MDA breach",IF(Contagion!V296&gt;0,"Needs liquidity","OK"))))</f>
        <v>Insolvent</v>
      </c>
      <c r="M15" s="24" t="n">
        <f aca="false">Contagion!G296</f>
        <v>6</v>
      </c>
      <c r="N15" s="23" t="n">
        <f aca="false">Contagion!T296</f>
        <v>248.193607862954</v>
      </c>
      <c r="O15" s="23" t="n">
        <f aca="false">Contagion!V296</f>
        <v>116.968057862954</v>
      </c>
      <c r="P15" s="23" t="n">
        <f aca="false">Contagion!AW296</f>
        <v>2.55458359378958</v>
      </c>
      <c r="Q15" s="23" t="n">
        <f aca="false">Contagion!AR296</f>
        <v>2.98883625010824</v>
      </c>
      <c r="R15" s="35" t="n">
        <f aca="false">Contagion!AS296-Modules!F15</f>
        <v>8.34367725011317</v>
      </c>
      <c r="S15" s="23" t="n">
        <f aca="false">Contagion!AV296</f>
        <v>3.383275</v>
      </c>
      <c r="T15" s="43" t="n">
        <f aca="false">H15/Inputs_Banks!$G15</f>
        <v>2.11331363077533</v>
      </c>
      <c r="U15" s="24" t="n">
        <f aca="false">Contagion!J296</f>
        <v>1</v>
      </c>
    </row>
    <row r="16" customFormat="false" ht="15" hidden="false" customHeight="true" outlineLevel="0" collapsed="false">
      <c r="A16" s="10" t="s">
        <v>516</v>
      </c>
      <c r="B16" s="10" t="s">
        <v>517</v>
      </c>
      <c r="C16" s="24" t="n">
        <f aca="false">Inputs_Banks!$D16</f>
        <v>1</v>
      </c>
      <c r="D16" s="46" t="n">
        <f aca="false">Inputs_Banks!$BA16</f>
        <v>0.109489051094891</v>
      </c>
      <c r="E16" s="46" t="n">
        <f aca="false">Inputs_Banks!$I16</f>
        <v>0.085</v>
      </c>
      <c r="F16" s="23" t="n">
        <f aca="false">Modules!S16</f>
        <v>6.25249274416618</v>
      </c>
      <c r="G16" s="46" t="n">
        <f aca="false">Modules!X16</f>
        <v>0.0711944698172953</v>
      </c>
      <c r="H16" s="23" t="n">
        <f aca="false">Contagion!AX297</f>
        <v>14.0669824688136</v>
      </c>
      <c r="I16" s="46" t="n">
        <f aca="false">Contagion!AZ297</f>
        <v>0.0334695551461126</v>
      </c>
      <c r="J16" s="35" t="n">
        <f aca="false">H16-F16</f>
        <v>7.81448972464746</v>
      </c>
      <c r="K16" s="35" t="n">
        <f aca="false">Contagion!AY297-E16*Modules!V16</f>
        <v>-10.6742224688136</v>
      </c>
      <c r="L16" s="51" t="str">
        <f aca="false">IF(Contagion!AY297&lt;0,"Insolvent",IF(I16&lt;0.045,"Below minimum",IF(I16&lt;E16,"MDA breach",IF(Contagion!V297&gt;0,"Needs liquidity","OK"))))</f>
        <v>Below minimum</v>
      </c>
      <c r="M16" s="24" t="n">
        <f aca="false">Contagion!G297</f>
        <v>6</v>
      </c>
      <c r="N16" s="23" t="n">
        <f aca="false">Contagion!T297</f>
        <v>252.234064394763</v>
      </c>
      <c r="O16" s="23" t="n">
        <f aca="false">Contagion!V297</f>
        <v>85.534064394763</v>
      </c>
      <c r="P16" s="23" t="n">
        <f aca="false">Contagion!AW297</f>
        <v>3.32048302075058</v>
      </c>
      <c r="Q16" s="23" t="n">
        <f aca="false">Contagion!AR297</f>
        <v>2.72751307306586</v>
      </c>
      <c r="R16" s="35" t="n">
        <f aca="false">Contagion!AS297-Modules!F16</f>
        <v>0.308158630831014</v>
      </c>
      <c r="S16" s="23" t="n">
        <f aca="false">Contagion!AV297</f>
        <v>4.143335</v>
      </c>
      <c r="T16" s="43" t="n">
        <f aca="false">H16/Inputs_Banks!$G16</f>
        <v>0.669856308038745</v>
      </c>
      <c r="U16" s="24" t="n">
        <f aca="false">Contagion!J297</f>
        <v>1</v>
      </c>
    </row>
    <row r="17" customFormat="false" ht="15" hidden="false" customHeight="true" outlineLevel="0" collapsed="false">
      <c r="A17" s="10" t="s">
        <v>518</v>
      </c>
      <c r="B17" s="10" t="s">
        <v>519</v>
      </c>
      <c r="C17" s="24" t="n">
        <f aca="false">Inputs_Banks!$D17</f>
        <v>0</v>
      </c>
      <c r="D17" s="46" t="n">
        <f aca="false">Inputs_Banks!$BA17</f>
        <v>0.107719393282774</v>
      </c>
      <c r="E17" s="46" t="n">
        <f aca="false">Inputs_Banks!$I17</f>
        <v>0.07</v>
      </c>
      <c r="F17" s="23" t="n">
        <f aca="false">Modules!S17</f>
        <v>6.43289912719403</v>
      </c>
      <c r="G17" s="46" t="n">
        <f aca="false">Modules!X17</f>
        <v>0.0674737213234118</v>
      </c>
      <c r="H17" s="23" t="n">
        <f aca="false">Contagion!AX298</f>
        <v>8.02338840523956</v>
      </c>
      <c r="I17" s="46" t="n">
        <f aca="false">Contagion!AZ298</f>
        <v>0.0594960655409115</v>
      </c>
      <c r="J17" s="35" t="n">
        <f aca="false">H17-F17</f>
        <v>1.59048927804552</v>
      </c>
      <c r="K17" s="35" t="n">
        <f aca="false">Contagion!AY298-E17*Modules!V17</f>
        <v>-2.09414840523956</v>
      </c>
      <c r="L17" s="51" t="str">
        <f aca="false">IF(Contagion!AY298&lt;0,"Insolvent",IF(I17&lt;0.045,"Below minimum",IF(I17&lt;E17,"MDA breach",IF(Contagion!V298&gt;0,"Needs liquidity","OK"))))</f>
        <v>MDA breach</v>
      </c>
      <c r="M17" s="24" t="n">
        <f aca="false">Contagion!G298</f>
        <v>2</v>
      </c>
      <c r="N17" s="23" t="n">
        <f aca="false">Contagion!T298</f>
        <v>24.5404345</v>
      </c>
      <c r="O17" s="23" t="n">
        <f aca="false">Contagion!V298</f>
        <v>0</v>
      </c>
      <c r="P17" s="23" t="n">
        <f aca="false">Contagion!AW298</f>
        <v>0.0407895074274526</v>
      </c>
      <c r="Q17" s="23" t="n">
        <f aca="false">Contagion!AR298</f>
        <v>0.21536570652345</v>
      </c>
      <c r="R17" s="35" t="n">
        <f aca="false">Contagion!AS298-Modules!F17</f>
        <v>1.00800780231284</v>
      </c>
      <c r="S17" s="23" t="n">
        <f aca="false">Contagion!AV298</f>
        <v>0.326326261781778</v>
      </c>
      <c r="T17" s="43" t="n">
        <f aca="false">H17/Inputs_Banks!$G17</f>
        <v>0.403489484799575</v>
      </c>
      <c r="U17" s="24" t="n">
        <f aca="false">Contagion!J298</f>
        <v>0</v>
      </c>
    </row>
    <row r="18" customFormat="false" ht="15" hidden="false" customHeight="true" outlineLevel="0" collapsed="false">
      <c r="A18" s="10" t="s">
        <v>520</v>
      </c>
      <c r="B18" s="10" t="s">
        <v>521</v>
      </c>
      <c r="C18" s="24" t="n">
        <f aca="false">Inputs_Banks!$D18</f>
        <v>0</v>
      </c>
      <c r="D18" s="46" t="n">
        <f aca="false">Inputs_Banks!$BA18</f>
        <v>0.105470953186689</v>
      </c>
      <c r="E18" s="46" t="n">
        <f aca="false">Inputs_Banks!$I18</f>
        <v>0.09</v>
      </c>
      <c r="F18" s="23" t="n">
        <f aca="false">Modules!S18</f>
        <v>7.1255055731551</v>
      </c>
      <c r="G18" s="46" t="n">
        <f aca="false">Modules!X18</f>
        <v>0.0604462745025428</v>
      </c>
      <c r="H18" s="23" t="n">
        <f aca="false">Contagion!AX299</f>
        <v>11.1119611532784</v>
      </c>
      <c r="I18" s="46" t="n">
        <f aca="false">Contagion!AZ299</f>
        <v>0.0396275346594056</v>
      </c>
      <c r="J18" s="35" t="n">
        <f aca="false">H18-F18</f>
        <v>3.98645558012328</v>
      </c>
      <c r="K18" s="35" t="n">
        <f aca="false">Contagion!AY299-E18*Modules!V18</f>
        <v>-9.64552115327839</v>
      </c>
      <c r="L18" s="51" t="str">
        <f aca="false">IF(Contagion!AY299&lt;0,"Insolvent",IF(I18&lt;0.045,"Below minimum",IF(I18&lt;E18,"MDA breach",IF(Contagion!V299&gt;0,"Needs liquidity","OK"))))</f>
        <v>Below minimum</v>
      </c>
      <c r="M18" s="24" t="n">
        <f aca="false">Contagion!G299</f>
        <v>5</v>
      </c>
      <c r="N18" s="23" t="n">
        <f aca="false">Contagion!T299</f>
        <v>91.1966367</v>
      </c>
      <c r="O18" s="23" t="n">
        <f aca="false">Contagion!V299</f>
        <v>8.44163670000003</v>
      </c>
      <c r="P18" s="23" t="n">
        <f aca="false">Contagion!AW299</f>
        <v>0.18056032311418</v>
      </c>
      <c r="Q18" s="23" t="n">
        <f aca="false">Contagion!AR299</f>
        <v>0.211388228855768</v>
      </c>
      <c r="R18" s="35" t="n">
        <f aca="false">Contagion!AS299-Modules!F18</f>
        <v>2.65713702815334</v>
      </c>
      <c r="S18" s="23" t="n">
        <f aca="false">Contagion!AV299</f>
        <v>0.93737</v>
      </c>
      <c r="T18" s="43" t="n">
        <f aca="false">H18/Inputs_Banks!$G18</f>
        <v>0.594222521565689</v>
      </c>
      <c r="U18" s="24" t="n">
        <f aca="false">Contagion!J299</f>
        <v>1</v>
      </c>
    </row>
    <row r="19" customFormat="false" ht="15" hidden="false" customHeight="true" outlineLevel="0" collapsed="false">
      <c r="A19" s="10" t="s">
        <v>522</v>
      </c>
      <c r="B19" s="10" t="s">
        <v>523</v>
      </c>
      <c r="C19" s="24" t="n">
        <f aca="false">Inputs_Banks!$D19</f>
        <v>1</v>
      </c>
      <c r="D19" s="46" t="n">
        <f aca="false">Inputs_Banks!$BA19</f>
        <v>0.143092105263158</v>
      </c>
      <c r="E19" s="46" t="n">
        <f aca="false">Inputs_Banks!$I19</f>
        <v>0.122</v>
      </c>
      <c r="F19" s="23" t="n">
        <f aca="false">Modules!S19</f>
        <v>38.2477487713896</v>
      </c>
      <c r="G19" s="46" t="n">
        <f aca="false">Modules!X19</f>
        <v>0.0592749158609733</v>
      </c>
      <c r="H19" s="23" t="n">
        <f aca="false">Contagion!AX300</f>
        <v>80.2600929610457</v>
      </c>
      <c r="I19" s="46" t="n">
        <f aca="false">Contagion!AZ300</f>
        <v>-0.0211494340470956</v>
      </c>
      <c r="J19" s="35" t="n">
        <f aca="false">H19-F19</f>
        <v>42.0123441896561</v>
      </c>
      <c r="K19" s="35" t="n">
        <f aca="false">Contagion!AY300-E19*Modules!V19</f>
        <v>-74.7788860042457</v>
      </c>
      <c r="L19" s="51" t="str">
        <f aca="false">IF(Contagion!AY300&lt;0,"Insolvent",IF(I19&lt;0.045,"Below minimum",IF(I19&lt;E19,"MDA breach",IF(Contagion!V300&gt;0,"Needs liquidity","OK"))))</f>
        <v>Insolvent</v>
      </c>
      <c r="M19" s="24" t="n">
        <f aca="false">Contagion!G300</f>
        <v>6</v>
      </c>
      <c r="N19" s="23" t="n">
        <f aca="false">Contagion!T300</f>
        <v>668.802599477283</v>
      </c>
      <c r="O19" s="23" t="n">
        <f aca="false">Contagion!V300</f>
        <v>76.9606164772833</v>
      </c>
      <c r="P19" s="23" t="n">
        <f aca="false">Contagion!AW300</f>
        <v>16.082128119204</v>
      </c>
      <c r="Q19" s="23" t="n">
        <f aca="false">Contagion!AR300</f>
        <v>7.22507743441053</v>
      </c>
      <c r="R19" s="35" t="n">
        <f aca="false">Contagion!AS300-Modules!F19</f>
        <v>7.92991423505839</v>
      </c>
      <c r="S19" s="23" t="n">
        <f aca="false">Contagion!AV300</f>
        <v>2.742</v>
      </c>
      <c r="T19" s="43" t="n">
        <f aca="false">H19/Inputs_Banks!$G19</f>
        <v>1.15962717669753</v>
      </c>
      <c r="U19" s="24" t="n">
        <f aca="false">Contagion!J300</f>
        <v>1</v>
      </c>
    </row>
    <row r="20" customFormat="false" ht="15" hidden="false" customHeight="true" outlineLevel="0" collapsed="false">
      <c r="A20" s="10" t="s">
        <v>525</v>
      </c>
      <c r="B20" s="10" t="s">
        <v>526</v>
      </c>
      <c r="C20" s="24" t="n">
        <f aca="false">Inputs_Banks!$D20</f>
        <v>1</v>
      </c>
      <c r="D20" s="46" t="n">
        <f aca="false">Inputs_Banks!$BA20</f>
        <v>0.140887025595763</v>
      </c>
      <c r="E20" s="46" t="n">
        <f aca="false">Inputs_Banks!$I20</f>
        <v>0.112</v>
      </c>
      <c r="F20" s="23" t="n">
        <f aca="false">Modules!S20</f>
        <v>23.411477074979</v>
      </c>
      <c r="G20" s="46" t="n">
        <f aca="false">Modules!X20</f>
        <v>0.106535135870253</v>
      </c>
      <c r="H20" s="23" t="n">
        <f aca="false">Contagion!AX301</f>
        <v>53.7658053403115</v>
      </c>
      <c r="I20" s="46" t="n">
        <f aca="false">Contagion!AZ301</f>
        <v>0.0755269060545672</v>
      </c>
      <c r="J20" s="35" t="n">
        <f aca="false">H20-F20</f>
        <v>30.3543282653325</v>
      </c>
      <c r="K20" s="35" t="n">
        <f aca="false">Contagion!AY301-E20*Modules!V20</f>
        <v>-35.7039493403115</v>
      </c>
      <c r="L20" s="51" t="str">
        <f aca="false">IF(Contagion!AY301&lt;0,"Insolvent",IF(I20&lt;0.045,"Below minimum",IF(I20&lt;E20,"MDA breach",IF(Contagion!V301&gt;0,"Needs liquidity","OK"))))</f>
        <v>MDA breach</v>
      </c>
      <c r="M20" s="24" t="n">
        <f aca="false">Contagion!G301</f>
        <v>3</v>
      </c>
      <c r="N20" s="23" t="n">
        <f aca="false">Contagion!T301</f>
        <v>405.322482834355</v>
      </c>
      <c r="O20" s="23" t="n">
        <f aca="false">Contagion!V301</f>
        <v>0</v>
      </c>
      <c r="P20" s="23" t="n">
        <f aca="false">Contagion!AW301</f>
        <v>6.49948178004504</v>
      </c>
      <c r="Q20" s="23" t="n">
        <f aca="false">Contagion!AR301</f>
        <v>10.8845927122174</v>
      </c>
      <c r="R20" s="35" t="n">
        <f aca="false">Contagion!AS301-Modules!F20</f>
        <v>6.2863197709389</v>
      </c>
      <c r="S20" s="23" t="n">
        <f aca="false">Contagion!AV301</f>
        <v>4.87915345185631</v>
      </c>
      <c r="T20" s="43" t="n">
        <f aca="false">H20/Inputs_Banks!$G20</f>
        <v>0.421032148318806</v>
      </c>
      <c r="U20" s="24" t="n">
        <f aca="false">Contagion!J301</f>
        <v>0</v>
      </c>
    </row>
    <row r="21" customFormat="false" ht="15" hidden="false" customHeight="true" outlineLevel="0" collapsed="false">
      <c r="A21" s="10" t="s">
        <v>527</v>
      </c>
      <c r="B21" s="10" t="s">
        <v>528</v>
      </c>
      <c r="C21" s="24" t="n">
        <f aca="false">Inputs_Banks!$D21</f>
        <v>1</v>
      </c>
      <c r="D21" s="46" t="n">
        <f aca="false">Inputs_Banks!$BA21</f>
        <v>0.139158496732026</v>
      </c>
      <c r="E21" s="46" t="n">
        <f aca="false">Inputs_Banks!$I21</f>
        <v>0.112</v>
      </c>
      <c r="F21" s="23" t="n">
        <f aca="false">Modules!S21</f>
        <v>33.9273455784296</v>
      </c>
      <c r="G21" s="46" t="n">
        <f aca="false">Modules!X21</f>
        <v>0.0539177475366116</v>
      </c>
      <c r="H21" s="23" t="n">
        <f aca="false">Contagion!AX302</f>
        <v>67.6274552143469</v>
      </c>
      <c r="I21" s="46" t="n">
        <f aca="false">Contagion!AZ302</f>
        <v>-0.0205130863573704</v>
      </c>
      <c r="J21" s="35" t="n">
        <f aca="false">H21-F21</f>
        <v>33.7001096359174</v>
      </c>
      <c r="K21" s="35" t="n">
        <f aca="false">Contagion!AY302-E21*Modules!V21</f>
        <v>-59.9980586647469</v>
      </c>
      <c r="L21" s="51" t="str">
        <f aca="false">IF(Contagion!AY302&lt;0,"Insolvent",IF(I21&lt;0.045,"Below minimum",IF(I21&lt;E21,"MDA breach",IF(Contagion!V302&gt;0,"Needs liquidity","OK"))))</f>
        <v>Insolvent</v>
      </c>
      <c r="M21" s="24" t="n">
        <f aca="false">Contagion!G302</f>
        <v>6</v>
      </c>
      <c r="N21" s="23" t="n">
        <f aca="false">Contagion!T302</f>
        <v>367.893691372761</v>
      </c>
      <c r="O21" s="23" t="n">
        <f aca="false">Contagion!V302</f>
        <v>58.3606683427607</v>
      </c>
      <c r="P21" s="23" t="n">
        <f aca="false">Contagion!AW302</f>
        <v>10.5166125128823</v>
      </c>
      <c r="Q21" s="23" t="n">
        <f aca="false">Contagion!AR302</f>
        <v>4.21649398828672</v>
      </c>
      <c r="R21" s="35" t="n">
        <f aca="false">Contagion!AS302-Modules!F21</f>
        <v>10.91138355975</v>
      </c>
      <c r="S21" s="23" t="n">
        <f aca="false">Contagion!AV302</f>
        <v>2.171</v>
      </c>
      <c r="T21" s="43" t="n">
        <f aca="false">H21/Inputs_Banks!$G21</f>
        <v>1.15920072281768</v>
      </c>
      <c r="U21" s="24" t="n">
        <f aca="false">Contagion!J302</f>
        <v>1</v>
      </c>
    </row>
    <row r="22" customFormat="false" ht="15" hidden="false" customHeight="true" outlineLevel="0" collapsed="false">
      <c r="A22" s="10" t="s">
        <v>530</v>
      </c>
      <c r="B22" s="10" t="s">
        <v>531</v>
      </c>
      <c r="C22" s="24" t="n">
        <f aca="false">Inputs_Banks!$D22</f>
        <v>1</v>
      </c>
      <c r="D22" s="46" t="n">
        <f aca="false">Inputs_Banks!$BA22</f>
        <v>0.129811320754717</v>
      </c>
      <c r="E22" s="46" t="n">
        <f aca="false">Inputs_Banks!$I22</f>
        <v>0.1043</v>
      </c>
      <c r="F22" s="23" t="n">
        <f aca="false">Modules!S22</f>
        <v>37.4237491507271</v>
      </c>
      <c r="G22" s="46" t="n">
        <f aca="false">Modules!X22</f>
        <v>0.082018437906808</v>
      </c>
      <c r="H22" s="23" t="n">
        <f aca="false">Contagion!AX303</f>
        <v>81.1584869638541</v>
      </c>
      <c r="I22" s="46" t="n">
        <f aca="false">Contagion!AZ303</f>
        <v>0.0374031559348759</v>
      </c>
      <c r="J22" s="35" t="n">
        <f aca="false">H22-F22</f>
        <v>43.7347378131269</v>
      </c>
      <c r="K22" s="35" t="n">
        <f aca="false">Contagion!AY303-E22*Modules!V22</f>
        <v>-65.5765425298541</v>
      </c>
      <c r="L22" s="51" t="str">
        <f aca="false">IF(Contagion!AY303&lt;0,"Insolvent",IF(I22&lt;0.045,"Below minimum",IF(I22&lt;E22,"MDA breach",IF(Contagion!V303&gt;0,"Needs liquidity","OK"))))</f>
        <v>Below minimum</v>
      </c>
      <c r="M22" s="24" t="n">
        <f aca="false">Contagion!G303</f>
        <v>6</v>
      </c>
      <c r="N22" s="23" t="n">
        <f aca="false">Contagion!T303</f>
        <v>920.662326229455</v>
      </c>
      <c r="O22" s="23" t="n">
        <f aca="false">Contagion!V303</f>
        <v>205.958126229456</v>
      </c>
      <c r="P22" s="23" t="n">
        <f aca="false">Contagion!AW303</f>
        <v>16.3242704898486</v>
      </c>
      <c r="Q22" s="23" t="n">
        <f aca="false">Contagion!AR303</f>
        <v>12.8576723198117</v>
      </c>
      <c r="R22" s="35" t="n">
        <f aca="false">Contagion!AS303-Modules!F22</f>
        <v>9.48245996951719</v>
      </c>
      <c r="S22" s="23" t="n">
        <f aca="false">Contagion!AV303</f>
        <v>4.40625</v>
      </c>
      <c r="T22" s="43" t="n">
        <f aca="false">H22/Inputs_Banks!$G22</f>
        <v>0.688814441030189</v>
      </c>
      <c r="U22" s="24" t="n">
        <f aca="false">Contagion!J303</f>
        <v>1</v>
      </c>
    </row>
    <row r="23" customFormat="false" ht="15" hidden="false" customHeight="true" outlineLevel="0" collapsed="false">
      <c r="A23" s="10" t="s">
        <v>532</v>
      </c>
      <c r="B23" s="10" t="s">
        <v>533</v>
      </c>
      <c r="C23" s="24" t="n">
        <f aca="false">Inputs_Banks!$D23</f>
        <v>1</v>
      </c>
      <c r="D23" s="46" t="n">
        <f aca="false">Inputs_Banks!$BA23</f>
        <v>0.131773399014778</v>
      </c>
      <c r="E23" s="46" t="n">
        <f aca="false">Inputs_Banks!$I23</f>
        <v>0.1026</v>
      </c>
      <c r="F23" s="23" t="n">
        <f aca="false">Modules!S23</f>
        <v>15.4754745087719</v>
      </c>
      <c r="G23" s="46" t="n">
        <f aca="false">Modules!X23</f>
        <v>0.0910993331642846</v>
      </c>
      <c r="H23" s="23" t="n">
        <f aca="false">Contagion!AX304</f>
        <v>37.4211481641164</v>
      </c>
      <c r="I23" s="46" t="n">
        <f aca="false">Contagion!AZ304</f>
        <v>0.0472616971280715</v>
      </c>
      <c r="J23" s="35" t="n">
        <f aca="false">H23-F23</f>
        <v>21.9456736553445</v>
      </c>
      <c r="K23" s="35" t="n">
        <f aca="false">Contagion!AY304-E23*Modules!V23</f>
        <v>-27.7030525657164</v>
      </c>
      <c r="L23" s="51" t="str">
        <f aca="false">IF(Contagion!AY304&lt;0,"Insolvent",IF(I23&lt;0.045,"Below minimum",IF(I23&lt;E23,"MDA breach",IF(Contagion!V304&gt;0,"Needs liquidity","OK"))))</f>
        <v>MDA breach</v>
      </c>
      <c r="M23" s="24" t="n">
        <f aca="false">Contagion!G304</f>
        <v>4</v>
      </c>
      <c r="N23" s="23" t="n">
        <f aca="false">Contagion!T304</f>
        <v>222.102064710332</v>
      </c>
      <c r="O23" s="23" t="n">
        <f aca="false">Contagion!V304</f>
        <v>0</v>
      </c>
      <c r="P23" s="23" t="n">
        <f aca="false">Contagion!AW304</f>
        <v>6.94276181715746</v>
      </c>
      <c r="Q23" s="23" t="n">
        <f aca="false">Contagion!AR304</f>
        <v>9.57333551838029</v>
      </c>
      <c r="R23" s="35" t="n">
        <f aca="false">Contagion!AS304-Modules!F23</f>
        <v>4.63221799048556</v>
      </c>
      <c r="S23" s="23" t="n">
        <f aca="false">Contagion!AV304</f>
        <v>1.51600832932119</v>
      </c>
      <c r="T23" s="43" t="n">
        <f aca="false">H23/Inputs_Banks!$G23</f>
        <v>0.612648430715574</v>
      </c>
      <c r="U23" s="24" t="n">
        <f aca="false">Contagion!J304</f>
        <v>0</v>
      </c>
    </row>
    <row r="24" customFormat="false" ht="15" hidden="false" customHeight="true" outlineLevel="0" collapsed="false">
      <c r="A24" s="10" t="s">
        <v>534</v>
      </c>
      <c r="B24" s="10" t="s">
        <v>534</v>
      </c>
      <c r="C24" s="24" t="n">
        <f aca="false">Inputs_Banks!$D24</f>
        <v>1</v>
      </c>
      <c r="D24" s="46" t="n">
        <f aca="false">Inputs_Banks!$BA24</f>
        <v>0.143806310775948</v>
      </c>
      <c r="E24" s="46" t="n">
        <f aca="false">Inputs_Banks!$I24</f>
        <v>0.1083</v>
      </c>
      <c r="F24" s="23" t="n">
        <f aca="false">Modules!S24</f>
        <v>10.46175279767</v>
      </c>
      <c r="G24" s="46" t="n">
        <f aca="false">Modules!X24</f>
        <v>0.113930319806123</v>
      </c>
      <c r="H24" s="23" t="n">
        <f aca="false">Contagion!AX305</f>
        <v>29.2789027486616</v>
      </c>
      <c r="I24" s="46" t="n">
        <f aca="false">Contagion!AZ305</f>
        <v>0.0793534454428393</v>
      </c>
      <c r="J24" s="35" t="n">
        <f aca="false">H24-F24</f>
        <v>18.8171499509916</v>
      </c>
      <c r="K24" s="35" t="n">
        <f aca="false">Contagion!AY305-E24*Modules!V24</f>
        <v>-15.7530623486616</v>
      </c>
      <c r="L24" s="51" t="str">
        <f aca="false">IF(Contagion!AY305&lt;0,"Insolvent",IF(I24&lt;0.045,"Below minimum",IF(I24&lt;E24,"MDA breach",IF(Contagion!V305&gt;0,"Needs liquidity","OK"))))</f>
        <v>MDA breach</v>
      </c>
      <c r="M24" s="24" t="n">
        <f aca="false">Contagion!G305</f>
        <v>3</v>
      </c>
      <c r="N24" s="23" t="n">
        <f aca="false">Contagion!T305</f>
        <v>172.025361</v>
      </c>
      <c r="O24" s="23" t="n">
        <f aca="false">Contagion!V305</f>
        <v>0</v>
      </c>
      <c r="P24" s="23" t="n">
        <f aca="false">Contagion!AW305</f>
        <v>7.60623973690638</v>
      </c>
      <c r="Q24" s="23" t="n">
        <f aca="false">Contagion!AR305</f>
        <v>10.91666863851</v>
      </c>
      <c r="R24" s="35" t="n">
        <f aca="false">Contagion!AS305-Modules!F24</f>
        <v>0.0607767881736133</v>
      </c>
      <c r="S24" s="23" t="n">
        <f aca="false">Contagion!AV305</f>
        <v>0.542714787401624</v>
      </c>
      <c r="T24" s="43" t="n">
        <f aca="false">H24/Inputs_Banks!$G24</f>
        <v>0.404047564979322</v>
      </c>
      <c r="U24" s="24" t="n">
        <f aca="false">Contagion!J305</f>
        <v>0</v>
      </c>
    </row>
    <row r="25" customFormat="false" ht="15" hidden="false" customHeight="true" outlineLevel="0" collapsed="false">
      <c r="A25" s="10" t="s">
        <v>535</v>
      </c>
      <c r="B25" s="10" t="s">
        <v>535</v>
      </c>
      <c r="C25" s="24" t="n">
        <f aca="false">Inputs_Banks!$D25</f>
        <v>1</v>
      </c>
      <c r="D25" s="46" t="n">
        <f aca="false">Inputs_Banks!$BA25</f>
        <v>0.12959533901186</v>
      </c>
      <c r="E25" s="46" t="n">
        <f aca="false">Inputs_Banks!$I25</f>
        <v>0.0869</v>
      </c>
      <c r="F25" s="23" t="n">
        <f aca="false">Modules!S25</f>
        <v>48.6231959646889</v>
      </c>
      <c r="G25" s="46" t="n">
        <f aca="false">Modules!X25</f>
        <v>0.0614378414799838</v>
      </c>
      <c r="H25" s="23" t="n">
        <f aca="false">Contagion!AX306</f>
        <v>97.3022906701138</v>
      </c>
      <c r="I25" s="46" t="n">
        <f aca="false">Contagion!AZ306</f>
        <v>0.00281267876952754</v>
      </c>
      <c r="J25" s="35" t="n">
        <f aca="false">H25-F25</f>
        <v>48.6790947054249</v>
      </c>
      <c r="K25" s="35" t="n">
        <f aca="false">Contagion!AY306-E25*Modules!V25</f>
        <v>-69.8214637615596</v>
      </c>
      <c r="L25" s="51" t="str">
        <f aca="false">IF(Contagion!AY306&lt;0,"Insolvent",IF(I25&lt;0.045,"Below minimum",IF(I25&lt;E25,"MDA breach",IF(Contagion!V306&gt;0,"Needs liquidity","OK"))))</f>
        <v>Below minimum</v>
      </c>
      <c r="M25" s="24" t="n">
        <f aca="false">Contagion!G306</f>
        <v>6</v>
      </c>
      <c r="N25" s="23" t="n">
        <f aca="false">Contagion!T306</f>
        <v>957.294399533638</v>
      </c>
      <c r="O25" s="23" t="n">
        <f aca="false">Contagion!V306</f>
        <v>122.314833701279</v>
      </c>
      <c r="P25" s="23" t="n">
        <f aca="false">Contagion!AW306</f>
        <v>22.2442070071431</v>
      </c>
      <c r="Q25" s="23" t="n">
        <f aca="false">Contagion!AR306</f>
        <v>9.81310841621088</v>
      </c>
      <c r="R25" s="35" t="n">
        <f aca="false">Contagion!AS306-Modules!F25</f>
        <v>11.2405163077766</v>
      </c>
      <c r="S25" s="23" t="n">
        <f aca="false">Contagion!AV306</f>
        <v>7.68041297429432</v>
      </c>
      <c r="T25" s="43" t="n">
        <f aca="false">H25/Inputs_Banks!$G25</f>
        <v>0.976560167254073</v>
      </c>
      <c r="U25" s="24" t="n">
        <f aca="false">Contagion!J306</f>
        <v>1</v>
      </c>
    </row>
    <row r="26" customFormat="false" ht="15" hidden="false" customHeight="true" outlineLevel="0" collapsed="false">
      <c r="A26" s="10" t="s">
        <v>537</v>
      </c>
      <c r="B26" s="10" t="s">
        <v>537</v>
      </c>
      <c r="C26" s="24" t="n">
        <f aca="false">Inputs_Banks!$D26</f>
        <v>1</v>
      </c>
      <c r="D26" s="46" t="n">
        <f aca="false">Inputs_Banks!$BA26</f>
        <v>0.126323003832438</v>
      </c>
      <c r="E26" s="46" t="n">
        <f aca="false">Inputs_Banks!$I26</f>
        <v>0.0817</v>
      </c>
      <c r="F26" s="23" t="n">
        <f aca="false">Modules!S26</f>
        <v>21.1369078004484</v>
      </c>
      <c r="G26" s="46" t="n">
        <f aca="false">Modules!X26</f>
        <v>0.0858041786420753</v>
      </c>
      <c r="H26" s="23" t="n">
        <f aca="false">Contagion!AX307</f>
        <v>47.8996942812661</v>
      </c>
      <c r="I26" s="46" t="n">
        <f aca="false">Contagion!AZ307</f>
        <v>0.0463485337720714</v>
      </c>
      <c r="J26" s="35" t="n">
        <f aca="false">H26-F26</f>
        <v>26.7627864808176</v>
      </c>
      <c r="K26" s="35" t="n">
        <f aca="false">Contagion!AY307-E26*Modules!V26</f>
        <v>-23.9789197606339</v>
      </c>
      <c r="L26" s="51" t="str">
        <f aca="false">IF(Contagion!AY307&lt;0,"Insolvent",IF(I26&lt;0.045,"Below minimum",IF(I26&lt;E26,"MDA breach",IF(Contagion!V307&gt;0,"Needs liquidity","OK"))))</f>
        <v>MDA breach</v>
      </c>
      <c r="M26" s="24" t="n">
        <f aca="false">Contagion!G307</f>
        <v>4</v>
      </c>
      <c r="N26" s="23" t="n">
        <f aca="false">Contagion!T307</f>
        <v>383.667186265808</v>
      </c>
      <c r="O26" s="23" t="n">
        <f aca="false">Contagion!V307</f>
        <v>0</v>
      </c>
      <c r="P26" s="23" t="n">
        <f aca="false">Contagion!AW307</f>
        <v>9.8988542345359</v>
      </c>
      <c r="Q26" s="23" t="n">
        <f aca="false">Contagion!AR307</f>
        <v>12.0727499706953</v>
      </c>
      <c r="R26" s="35" t="n">
        <f aca="false">Contagion!AS307-Modules!F26</f>
        <v>3.5540037133262</v>
      </c>
      <c r="S26" s="23" t="n">
        <f aca="false">Contagion!AV307</f>
        <v>2.24642856226028</v>
      </c>
      <c r="T26" s="43" t="n">
        <f aca="false">H26/Inputs_Banks!$G26</f>
        <v>0.603742667960661</v>
      </c>
      <c r="U26" s="24" t="n">
        <f aca="false">Contagion!J307</f>
        <v>0</v>
      </c>
    </row>
    <row r="27" customFormat="false" ht="15" hidden="false" customHeight="true" outlineLevel="0" collapsed="false">
      <c r="A27" s="10" t="s">
        <v>538</v>
      </c>
      <c r="B27" s="10" t="s">
        <v>539</v>
      </c>
      <c r="C27" s="24" t="n">
        <f aca="false">Inputs_Banks!$D27</f>
        <v>1</v>
      </c>
      <c r="D27" s="46" t="n">
        <f aca="false">Inputs_Banks!$BA27</f>
        <v>0.135135628246874</v>
      </c>
      <c r="E27" s="46" t="n">
        <f aca="false">Inputs_Banks!$I27</f>
        <v>0.0813</v>
      </c>
      <c r="F27" s="23" t="n">
        <f aca="false">Modules!S27</f>
        <v>15.3135603574867</v>
      </c>
      <c r="G27" s="46" t="n">
        <f aca="false">Modules!X27</f>
        <v>0.097080579728884</v>
      </c>
      <c r="H27" s="23" t="n">
        <f aca="false">Contagion!AX308</f>
        <v>30.9828618774724</v>
      </c>
      <c r="I27" s="46" t="n">
        <f aca="false">Contagion!AZ308</f>
        <v>0.0683840792474054</v>
      </c>
      <c r="J27" s="35" t="n">
        <f aca="false">H27-F27</f>
        <v>15.6693015199857</v>
      </c>
      <c r="K27" s="35" t="n">
        <f aca="false">Contagion!AY308-E27*Modules!V27</f>
        <v>-7.05254833463992</v>
      </c>
      <c r="L27" s="51" t="str">
        <f aca="false">IF(Contagion!AY308&lt;0,"Insolvent",IF(I27&lt;0.045,"Below minimum",IF(I27&lt;E27,"MDA breach",IF(Contagion!V308&gt;0,"Needs liquidity","OK"))))</f>
        <v>MDA breach</v>
      </c>
      <c r="M27" s="24" t="n">
        <f aca="false">Contagion!G308</f>
        <v>3</v>
      </c>
      <c r="N27" s="23" t="n">
        <f aca="false">Contagion!T308</f>
        <v>284.894230889601</v>
      </c>
      <c r="O27" s="23" t="n">
        <f aca="false">Contagion!V308</f>
        <v>0</v>
      </c>
      <c r="P27" s="23" t="n">
        <f aca="false">Contagion!AW308</f>
        <v>7.97620246435341</v>
      </c>
      <c r="Q27" s="23" t="n">
        <f aca="false">Contagion!AR308</f>
        <v>3.61209531474899</v>
      </c>
      <c r="R27" s="35" t="n">
        <f aca="false">Contagion!AS308-Modules!F27</f>
        <v>3.22797363734897</v>
      </c>
      <c r="S27" s="23" t="n">
        <f aca="false">Contagion!AV308</f>
        <v>1.7060801035343</v>
      </c>
      <c r="T27" s="43" t="n">
        <f aca="false">H27/Inputs_Banks!$G27</f>
        <v>0.453476432933915</v>
      </c>
      <c r="U27" s="24" t="n">
        <f aca="false">Contagion!J308</f>
        <v>0</v>
      </c>
    </row>
    <row r="28" customFormat="false" ht="15" hidden="false" customHeight="true" outlineLevel="0" collapsed="false">
      <c r="A28" s="10" t="s">
        <v>540</v>
      </c>
      <c r="B28" s="10" t="s">
        <v>541</v>
      </c>
      <c r="C28" s="24" t="n">
        <f aca="false">Inputs_Banks!$D28</f>
        <v>1</v>
      </c>
      <c r="D28" s="46" t="n">
        <f aca="false">Inputs_Banks!$BA28</f>
        <v>0.134904884318766</v>
      </c>
      <c r="E28" s="46" t="n">
        <f aca="false">Inputs_Banks!$I28</f>
        <v>0.111</v>
      </c>
      <c r="F28" s="23" t="n">
        <f aca="false">Modules!S28</f>
        <v>18.9389692803866</v>
      </c>
      <c r="G28" s="46" t="n">
        <f aca="false">Modules!X28</f>
        <v>0.0928939280886542</v>
      </c>
      <c r="H28" s="23" t="n">
        <f aca="false">Contagion!AX309</f>
        <v>40.6598325496584</v>
      </c>
      <c r="I28" s="46" t="n">
        <f aca="false">Contagion!AZ309</f>
        <v>0.0561728885356686</v>
      </c>
      <c r="J28" s="35" t="n">
        <f aca="false">H28-F28</f>
        <v>21.7208632692718</v>
      </c>
      <c r="K28" s="35" t="n">
        <f aca="false">Contagion!AY309-E28*Modules!V28</f>
        <v>-32.430786439134</v>
      </c>
      <c r="L28" s="51" t="str">
        <f aca="false">IF(Contagion!AY309&lt;0,"Insolvent",IF(I28&lt;0.045,"Below minimum",IF(I28&lt;E28,"MDA breach",IF(Contagion!V309&gt;0,"Needs liquidity","OK"))))</f>
        <v>MDA breach</v>
      </c>
      <c r="M28" s="24" t="n">
        <f aca="false">Contagion!G309</f>
        <v>4</v>
      </c>
      <c r="N28" s="23" t="n">
        <f aca="false">Contagion!T309</f>
        <v>361.588336396613</v>
      </c>
      <c r="O28" s="23" t="n">
        <f aca="false">Contagion!V309</f>
        <v>0</v>
      </c>
      <c r="P28" s="23" t="n">
        <f aca="false">Contagion!AW309</f>
        <v>5.73840137991657</v>
      </c>
      <c r="Q28" s="23" t="n">
        <f aca="false">Contagion!AR309</f>
        <v>4.28546748591128</v>
      </c>
      <c r="R28" s="35" t="n">
        <f aca="false">Contagion!AS309-Modules!F28</f>
        <v>4.03367297594813</v>
      </c>
      <c r="S28" s="23" t="n">
        <f aca="false">Contagion!AV309</f>
        <v>4.53398609644492</v>
      </c>
      <c r="T28" s="43" t="n">
        <f aca="false">H28/Inputs_Banks!$G28</f>
        <v>0.550300050847878</v>
      </c>
      <c r="U28" s="24" t="n">
        <f aca="false">Contagion!J309</f>
        <v>0</v>
      </c>
    </row>
    <row r="29" customFormat="false" ht="15" hidden="false" customHeight="true" outlineLevel="0" collapsed="false">
      <c r="A29" s="10" t="s">
        <v>543</v>
      </c>
      <c r="B29" s="10" t="s">
        <v>544</v>
      </c>
      <c r="C29" s="24" t="n">
        <f aca="false">Inputs_Banks!$D29</f>
        <v>0</v>
      </c>
      <c r="D29" s="46" t="n">
        <f aca="false">Inputs_Banks!$BA29</f>
        <v>0.09</v>
      </c>
      <c r="E29" s="46" t="n">
        <f aca="false">Inputs_Banks!$I29</f>
        <v>0.0675</v>
      </c>
      <c r="F29" s="23" t="n">
        <f aca="false">Modules!S29</f>
        <v>1.15691359422469</v>
      </c>
      <c r="G29" s="46" t="n">
        <f aca="false">Modules!X29</f>
        <v>0.0722746654983493</v>
      </c>
      <c r="H29" s="23" t="n">
        <f aca="false">Contagion!AX310</f>
        <v>2.97081282723926</v>
      </c>
      <c r="I29" s="46" t="n">
        <f aca="false">Contagion!AZ310</f>
        <v>0.0549360248218316</v>
      </c>
      <c r="J29" s="35" t="n">
        <f aca="false">H29-F29</f>
        <v>1.81389923301457</v>
      </c>
      <c r="K29" s="35" t="n">
        <f aca="false">Contagion!AY310-E29*Modules!V29</f>
        <v>-1.31439282723926</v>
      </c>
      <c r="L29" s="51" t="str">
        <f aca="false">IF(Contagion!AY310&lt;0,"Insolvent",IF(I29&lt;0.045,"Below minimum",IF(I29&lt;E29,"MDA breach",IF(Contagion!V310&gt;0,"Needs liquidity","OK"))))</f>
        <v>MDA breach</v>
      </c>
      <c r="M29" s="24" t="n">
        <f aca="false">Contagion!G310</f>
        <v>2</v>
      </c>
      <c r="N29" s="23" t="n">
        <f aca="false">Contagion!T310</f>
        <v>18.3459978486056</v>
      </c>
      <c r="O29" s="23" t="n">
        <f aca="false">Contagion!V310</f>
        <v>1.88869784860557</v>
      </c>
      <c r="P29" s="23" t="n">
        <f aca="false">Contagion!AW310</f>
        <v>1.44215757921998</v>
      </c>
      <c r="Q29" s="23" t="n">
        <f aca="false">Contagion!AR310</f>
        <v>0.371741653794596</v>
      </c>
      <c r="R29" s="35" t="n">
        <f aca="false">Contagion!AS310-Modules!F29</f>
        <v>0</v>
      </c>
      <c r="S29" s="23" t="n">
        <f aca="false">Contagion!AV310</f>
        <v>0</v>
      </c>
      <c r="T29" s="43" t="n">
        <f aca="false">H29/Inputs_Banks!$G29</f>
        <v>0.34076770213802</v>
      </c>
      <c r="U29" s="24" t="n">
        <f aca="false">Contagion!J310</f>
        <v>0</v>
      </c>
    </row>
    <row r="30" customFormat="false" ht="15" hidden="false" customHeight="true" outlineLevel="0" collapsed="false">
      <c r="B30" s="7" t="s">
        <v>906</v>
      </c>
      <c r="F30" s="47" t="n">
        <f aca="false">SUM(F6:F29)</f>
        <v>748.907118737328</v>
      </c>
      <c r="H30" s="47" t="n">
        <f aca="false">SUM(H6:H29)</f>
        <v>1465.09373008232</v>
      </c>
      <c r="J30" s="47" t="n">
        <f aca="false">SUM(J6:J29)</f>
        <v>716.186611344995</v>
      </c>
      <c r="N30" s="47" t="n">
        <f aca="false">SUM(N6:N29)</f>
        <v>10363.6009243925</v>
      </c>
      <c r="O30" s="47" t="n">
        <f aca="false">SUM(O6:O29)</f>
        <v>1693.20052387676</v>
      </c>
      <c r="P30" s="47" t="n">
        <f aca="false">SUM(P6:P29)</f>
        <v>213.221194351378</v>
      </c>
      <c r="Q30" s="47" t="n">
        <f aca="false">SUM(Q6:Q29)</f>
        <v>159.695357740402</v>
      </c>
      <c r="R30" s="47" t="n">
        <f aca="false">SUM(R6:R29)</f>
        <v>210.05173027325</v>
      </c>
      <c r="S30" s="47" t="n">
        <f aca="false">SUM(S6:S29)</f>
        <v>150.869123365649</v>
      </c>
    </row>
    <row r="32" customFormat="false" ht="15" hidden="false" customHeight="true" outlineLevel="0" collapsed="false">
      <c r="A32" s="9" t="s">
        <v>20</v>
      </c>
      <c r="D32" s="9" t="s">
        <v>1027</v>
      </c>
      <c r="F32" s="7" t="s">
        <v>1028</v>
      </c>
      <c r="H32" s="9" t="s">
        <v>1029</v>
      </c>
    </row>
    <row r="33" customFormat="false" ht="15" hidden="false" customHeight="true" outlineLevel="0" collapsed="false">
      <c r="A33" s="10" t="s">
        <v>24</v>
      </c>
      <c r="B33" s="47" t="n">
        <f aca="false">SUM(F6:F29)</f>
        <v>748.907118737328</v>
      </c>
      <c r="D33" s="10" t="s">
        <v>547</v>
      </c>
      <c r="E33" s="22" t="n">
        <f aca="false">Contagion!AB312</f>
        <v>0</v>
      </c>
      <c r="F33" s="23" t="n">
        <f aca="false">Contagion!AB311</f>
        <v>0</v>
      </c>
      <c r="H33" s="10" t="s">
        <v>885</v>
      </c>
      <c r="I33" s="23" t="n">
        <f aca="false">Modules!F30</f>
        <v>332.671519756605</v>
      </c>
    </row>
    <row r="34" customFormat="false" ht="15" hidden="false" customHeight="true" outlineLevel="0" collapsed="false">
      <c r="A34" s="10" t="s">
        <v>25</v>
      </c>
      <c r="B34" s="47" t="n">
        <f aca="false">SUM(H6:H29)</f>
        <v>1465.09373008232</v>
      </c>
      <c r="D34" s="10" t="s">
        <v>548</v>
      </c>
      <c r="E34" s="22" t="n">
        <f aca="false">Contagion!AC312</f>
        <v>0.01</v>
      </c>
      <c r="F34" s="23" t="n">
        <f aca="false">Contagion!AC311</f>
        <v>0</v>
      </c>
      <c r="H34" s="10" t="s">
        <v>886</v>
      </c>
      <c r="I34" s="23" t="n">
        <f aca="false">Modules!G30</f>
        <v>22.141820288474</v>
      </c>
    </row>
    <row r="35" customFormat="false" ht="15" hidden="false" customHeight="true" outlineLevel="0" collapsed="false">
      <c r="A35" s="10" t="s">
        <v>26</v>
      </c>
      <c r="B35" s="52" t="n">
        <f aca="false">IF(B33&gt;0,B34/B33,0)</f>
        <v>1.95630899136398</v>
      </c>
      <c r="D35" s="10" t="s">
        <v>549</v>
      </c>
      <c r="E35" s="22" t="n">
        <f aca="false">Contagion!AD312</f>
        <v>0.02</v>
      </c>
      <c r="F35" s="23" t="n">
        <f aca="false">Contagion!AD311</f>
        <v>0</v>
      </c>
      <c r="H35" s="10" t="s">
        <v>887</v>
      </c>
      <c r="I35" s="23" t="n">
        <f aca="false">Modules!H30</f>
        <v>16.7738419769074</v>
      </c>
    </row>
    <row r="36" customFormat="false" ht="15" hidden="false" customHeight="true" outlineLevel="0" collapsed="false">
      <c r="A36" s="10" t="s">
        <v>27</v>
      </c>
      <c r="B36" s="53" t="n">
        <f aca="false">SUMPRODUCT((I6:I29&lt;E6:E29)*C6:C29)</f>
        <v>18</v>
      </c>
      <c r="D36" s="10" t="s">
        <v>550</v>
      </c>
      <c r="E36" s="22" t="n">
        <f aca="false">Contagion!AE312</f>
        <v>0.0982685807445119</v>
      </c>
      <c r="F36" s="23" t="n">
        <f aca="false">Contagion!AE311</f>
        <v>73.0743229780475</v>
      </c>
      <c r="H36" s="10" t="s">
        <v>888</v>
      </c>
      <c r="I36" s="23" t="n">
        <f aca="false">Modules!I30</f>
        <v>1.974</v>
      </c>
    </row>
    <row r="37" customFormat="false" ht="15" hidden="false" customHeight="true" outlineLevel="0" collapsed="false">
      <c r="A37" s="10" t="s">
        <v>28</v>
      </c>
      <c r="B37" s="53" t="n">
        <f aca="false">SUMPRODUCT((I6:I29&lt;0.045)*C6:C29)</f>
        <v>11</v>
      </c>
      <c r="D37" s="10" t="s">
        <v>551</v>
      </c>
      <c r="E37" s="22" t="n">
        <f aca="false">Contagion!AF312</f>
        <v>0.25</v>
      </c>
      <c r="F37" s="23" t="n">
        <f aca="false">Contagion!AF311</f>
        <v>469.109968894015</v>
      </c>
      <c r="H37" s="10" t="s">
        <v>889</v>
      </c>
      <c r="I37" s="23" t="n">
        <f aca="false">Modules!J30</f>
        <v>28.1153106793353</v>
      </c>
    </row>
    <row r="38" customFormat="false" ht="15" hidden="false" customHeight="true" outlineLevel="0" collapsed="false">
      <c r="A38" s="10" t="s">
        <v>29</v>
      </c>
      <c r="B38" s="53" t="n">
        <f aca="false">SUM(Contagion!AQ287:AQ310)</f>
        <v>14</v>
      </c>
      <c r="D38" s="10" t="s">
        <v>552</v>
      </c>
      <c r="E38" s="22" t="n">
        <f aca="false">Contagion!AG312</f>
        <v>0.16326723</v>
      </c>
      <c r="F38" s="23" t="n">
        <f aca="false">Contagion!AG311</f>
        <v>8.84482</v>
      </c>
      <c r="H38" s="10" t="s">
        <v>890</v>
      </c>
      <c r="I38" s="23" t="n">
        <f aca="false">Modules!K30</f>
        <v>144.607292273538</v>
      </c>
    </row>
    <row r="39" customFormat="false" ht="15" hidden="false" customHeight="true" outlineLevel="0" collapsed="false">
      <c r="A39" s="10" t="s">
        <v>30</v>
      </c>
      <c r="B39" s="47" t="n">
        <f aca="false">SUMPRODUCT((K6:K29&lt;0)*-K6:K29)</f>
        <v>1192.22650906098</v>
      </c>
      <c r="D39" s="10" t="s">
        <v>553</v>
      </c>
      <c r="E39" s="22" t="n">
        <f aca="false">Contagion!AH312</f>
        <v>0.403411678488093</v>
      </c>
      <c r="F39" s="23" t="n">
        <f aca="false">Contagion!AH311</f>
        <v>67.8038928293643</v>
      </c>
      <c r="H39" s="10" t="s">
        <v>891</v>
      </c>
      <c r="I39" s="23" t="n">
        <f aca="false">Modules!L30</f>
        <v>89.5552</v>
      </c>
    </row>
    <row r="40" customFormat="false" ht="15" hidden="false" customHeight="true" outlineLevel="0" collapsed="false">
      <c r="A40" s="10" t="s">
        <v>34</v>
      </c>
      <c r="B40" s="47" t="n">
        <f aca="false">SUM(O6:O29)</f>
        <v>1693.20052387676</v>
      </c>
      <c r="D40" s="10" t="s">
        <v>554</v>
      </c>
      <c r="E40" s="22" t="n">
        <f aca="false">Contagion!AI312</f>
        <v>0.45</v>
      </c>
      <c r="F40" s="23" t="n">
        <f aca="false">Contagion!AI311</f>
        <v>117.445857520378</v>
      </c>
      <c r="H40" s="10" t="s">
        <v>894</v>
      </c>
      <c r="I40" s="23" t="n">
        <f aca="false">Modules!O30</f>
        <v>59.5441</v>
      </c>
    </row>
    <row r="41" customFormat="false" ht="15" hidden="false" customHeight="true" outlineLevel="0" collapsed="false">
      <c r="A41" s="10" t="s">
        <v>36</v>
      </c>
      <c r="B41" s="54" t="str">
        <f aca="false">IF(OR(B36&gt;=3,SUMPRODUCT(Contagion!AQ287:AQ310,Inputs_Banks!D6:D29)&gt;=1),"YES","no")</f>
        <v>YES</v>
      </c>
      <c r="D41" s="10" t="s">
        <v>555</v>
      </c>
      <c r="E41" s="22" t="n">
        <f aca="false">Contagion!AJ312</f>
        <v>0.262883597559132</v>
      </c>
      <c r="F41" s="23" t="n">
        <f aca="false">Contagion!AJ311</f>
        <v>108.589065039421</v>
      </c>
      <c r="H41" s="10" t="s">
        <v>895</v>
      </c>
      <c r="I41" s="23" t="n">
        <f aca="false">Modules!P30</f>
        <v>7.4018658</v>
      </c>
    </row>
    <row r="42" customFormat="false" ht="15" hidden="false" customHeight="true" outlineLevel="0" collapsed="false">
      <c r="A42" s="10" t="s">
        <v>38</v>
      </c>
      <c r="B42" s="47" t="n">
        <f aca="false">SUM(Contagion!AB311:AN311)</f>
        <v>2113.5618395659</v>
      </c>
      <c r="D42" s="10" t="s">
        <v>556</v>
      </c>
      <c r="E42" s="22" t="n">
        <f aca="false">Contagion!AK312</f>
        <v>0.45</v>
      </c>
      <c r="F42" s="23" t="n">
        <f aca="false">Contagion!AK311</f>
        <v>216.309230667799</v>
      </c>
      <c r="H42" s="10" t="s">
        <v>896</v>
      </c>
      <c r="I42" s="23" t="n">
        <f aca="false">Modules!Q30</f>
        <v>26.6603133124681</v>
      </c>
    </row>
    <row r="43" customFormat="false" ht="15" hidden="false" customHeight="true" outlineLevel="0" collapsed="false">
      <c r="A43" s="10" t="s">
        <v>40</v>
      </c>
      <c r="B43" s="54" t="str">
        <f aca="false">BDC!C44&amp;" / "&amp;BDC!C45</f>
        <v>34 / 33</v>
      </c>
      <c r="D43" s="10" t="s">
        <v>557</v>
      </c>
      <c r="E43" s="22" t="n">
        <f aca="false">Contagion!AL312</f>
        <v>0.343336851486381</v>
      </c>
      <c r="F43" s="23" t="n">
        <f aca="false">Contagion!AL311</f>
        <v>866.737029727618</v>
      </c>
      <c r="H43" s="10" t="s">
        <v>897</v>
      </c>
      <c r="I43" s="23" t="n">
        <f aca="false">Modules!R30</f>
        <v>19.46185465</v>
      </c>
    </row>
    <row r="44" customFormat="false" ht="15" hidden="false" customHeight="true" outlineLevel="0" collapsed="false">
      <c r="A44" s="10" t="s">
        <v>42</v>
      </c>
      <c r="B44" s="50" t="n">
        <f aca="false">Contagion!CD307</f>
        <v>0.408146622487016</v>
      </c>
      <c r="D44" s="10" t="s">
        <v>558</v>
      </c>
      <c r="E44" s="22" t="n">
        <f aca="false">Contagion!AM312</f>
        <v>0</v>
      </c>
      <c r="F44" s="23" t="n">
        <f aca="false">Contagion!AM311</f>
        <v>0</v>
      </c>
    </row>
    <row r="45" customFormat="false" ht="15" hidden="false" customHeight="true" outlineLevel="0" collapsed="false">
      <c r="A45" s="10" t="s">
        <v>44</v>
      </c>
      <c r="B45" s="54" t="str">
        <f aca="false">TEXT(Contagion!CD301,"0.0%")&amp;" / "&amp;TEXT(Contagion!CD302,"0.0%")</f>
        <v>79.1% / 92.4%</v>
      </c>
      <c r="D45" s="10" t="s">
        <v>559</v>
      </c>
      <c r="E45" s="22" t="n">
        <f aca="false">Contagion!AN312</f>
        <v>0.285647651909261</v>
      </c>
      <c r="F45" s="23" t="n">
        <f aca="false">Contagion!AN311</f>
        <v>185.647651909261</v>
      </c>
    </row>
    <row r="46" customFormat="false" ht="15" hidden="false" customHeight="true" outlineLevel="0" collapsed="false">
      <c r="A46" s="10" t="s">
        <v>46</v>
      </c>
      <c r="B46" s="50" t="n">
        <f aca="false">Contagion!CD290</f>
        <v>1</v>
      </c>
    </row>
    <row r="47" customFormat="false" ht="15" hidden="false" customHeight="true" outlineLevel="0" collapsed="false">
      <c r="A47" s="10" t="s">
        <v>48</v>
      </c>
      <c r="B47" s="54" t="str">
        <f aca="false">TEXT(Contagion!CD10,"0%")&amp;" &gt; "&amp;TEXT(Contagion!CD50,"0%")&amp;" &gt; "&amp;TEXT(Contagion!CD90,"0%")&amp;" &gt; "&amp;TEXT(Contagion!CD130,"0%")&amp;" &gt; "&amp;TEXT(Contagion!CD170,"0%")&amp;" &gt; "&amp;TEXT(Contagion!CD210,"0%")&amp;" &gt; "&amp;TEXT(Contagion!CD250,"0%")&amp;" &gt; "&amp;TEXT(Contagion!CD290,"0%")</f>
        <v>100% &gt; 100% &gt; 100% &gt; 100% &gt; 100% &gt; 100% &gt; 100% &gt; 100%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15" min="3" style="1" width="13"/>
  </cols>
  <sheetData>
    <row r="1" customFormat="false" ht="17.25" hidden="false" customHeight="true" outlineLevel="0" collapsed="false">
      <c r="A1" s="5" t="s">
        <v>1030</v>
      </c>
    </row>
    <row r="2" customFormat="false" ht="15" hidden="false" customHeight="true" outlineLevel="0" collapsed="false">
      <c r="A2" s="6" t="s">
        <v>1031</v>
      </c>
    </row>
    <row r="4" customFormat="false" ht="15" hidden="false" customHeight="true" outlineLevel="0" collapsed="false">
      <c r="A4" s="9" t="s">
        <v>1032</v>
      </c>
    </row>
    <row r="5" customFormat="false" ht="39.75" hidden="false" customHeight="true" outlineLevel="0" collapsed="false">
      <c r="A5" s="21" t="s">
        <v>51</v>
      </c>
      <c r="B5" s="21" t="s">
        <v>52</v>
      </c>
      <c r="C5" s="21" t="s">
        <v>1033</v>
      </c>
      <c r="D5" s="21" t="s">
        <v>1034</v>
      </c>
      <c r="E5" s="21" t="s">
        <v>1035</v>
      </c>
      <c r="F5" s="21" t="s">
        <v>1036</v>
      </c>
      <c r="G5" s="21" t="s">
        <v>1037</v>
      </c>
      <c r="H5" s="21" t="s">
        <v>1038</v>
      </c>
      <c r="I5" s="21" t="s">
        <v>891</v>
      </c>
      <c r="J5" s="21" t="s">
        <v>1039</v>
      </c>
      <c r="K5" s="21" t="s">
        <v>1040</v>
      </c>
      <c r="L5" s="21" t="s">
        <v>1041</v>
      </c>
      <c r="M5" s="21" t="s">
        <v>1042</v>
      </c>
      <c r="N5" s="21" t="s">
        <v>1043</v>
      </c>
      <c r="O5" s="21" t="s">
        <v>1044</v>
      </c>
    </row>
    <row r="6" customFormat="false" ht="15" hidden="false" customHeight="true" outlineLevel="0" collapsed="false">
      <c r="A6" s="10" t="s">
        <v>496</v>
      </c>
      <c r="B6" s="10" t="s">
        <v>497</v>
      </c>
      <c r="C6" s="55" t="n">
        <v>0.249</v>
      </c>
      <c r="D6" s="55" t="n">
        <v>0.101082</v>
      </c>
      <c r="E6" s="55" t="n">
        <v>0</v>
      </c>
      <c r="F6" s="55" t="n">
        <v>0.0182</v>
      </c>
      <c r="G6" s="55" t="n">
        <v>1.31324906162745</v>
      </c>
      <c r="H6" s="55" t="n">
        <v>1.85284</v>
      </c>
      <c r="I6" s="55" t="n">
        <v>1.8031</v>
      </c>
      <c r="J6" s="55" t="n">
        <v>0</v>
      </c>
      <c r="K6" s="55" t="n">
        <v>0</v>
      </c>
      <c r="L6" s="55" t="n">
        <v>0</v>
      </c>
      <c r="M6" s="55" t="n">
        <v>0.082203</v>
      </c>
      <c r="N6" s="55" t="n">
        <v>5.41967406162745</v>
      </c>
      <c r="O6" s="55" t="n">
        <v>7.54779698714064</v>
      </c>
    </row>
    <row r="7" customFormat="false" ht="15" hidden="false" customHeight="true" outlineLevel="0" collapsed="false">
      <c r="A7" s="10" t="s">
        <v>499</v>
      </c>
      <c r="B7" s="10" t="s">
        <v>500</v>
      </c>
      <c r="C7" s="55" t="n">
        <v>0.1376</v>
      </c>
      <c r="D7" s="55" t="n">
        <v>0.05960625</v>
      </c>
      <c r="E7" s="55" t="n">
        <v>0</v>
      </c>
      <c r="F7" s="55" t="n">
        <v>0.0182</v>
      </c>
      <c r="G7" s="55" t="n">
        <v>2.30728222647777</v>
      </c>
      <c r="H7" s="55" t="n">
        <v>0.792765</v>
      </c>
      <c r="I7" s="55" t="n">
        <v>0.8331</v>
      </c>
      <c r="J7" s="55" t="n">
        <v>0</v>
      </c>
      <c r="K7" s="55" t="n">
        <v>0</v>
      </c>
      <c r="L7" s="55" t="n">
        <v>1.61285497853561</v>
      </c>
      <c r="M7" s="55" t="n">
        <v>0</v>
      </c>
      <c r="N7" s="55" t="n">
        <v>5.76140845501338</v>
      </c>
      <c r="O7" s="55" t="n">
        <v>8.88770926683285</v>
      </c>
    </row>
    <row r="8" customFormat="false" ht="15" hidden="false" customHeight="true" outlineLevel="0" collapsed="false">
      <c r="A8" s="10" t="s">
        <v>501</v>
      </c>
      <c r="B8" s="10" t="s">
        <v>502</v>
      </c>
      <c r="C8" s="55" t="n">
        <v>0.142</v>
      </c>
      <c r="D8" s="55" t="n">
        <v>0.0130815</v>
      </c>
      <c r="E8" s="55" t="n">
        <v>0</v>
      </c>
      <c r="F8" s="55" t="n">
        <v>0.0242</v>
      </c>
      <c r="G8" s="55" t="n">
        <v>2.34120712843635</v>
      </c>
      <c r="H8" s="55" t="n">
        <v>0.557485</v>
      </c>
      <c r="I8" s="55" t="n">
        <v>0.3719</v>
      </c>
      <c r="J8" s="55" t="n">
        <v>0</v>
      </c>
      <c r="K8" s="55" t="n">
        <v>0</v>
      </c>
      <c r="L8" s="55" t="n">
        <v>0</v>
      </c>
      <c r="M8" s="55" t="n">
        <v>0.083322</v>
      </c>
      <c r="N8" s="55" t="n">
        <v>3.53319562843635</v>
      </c>
      <c r="O8" s="55" t="n">
        <v>4.77637865647024</v>
      </c>
    </row>
    <row r="9" customFormat="false" ht="15" hidden="false" customHeight="true" outlineLevel="0" collapsed="false">
      <c r="A9" s="10" t="s">
        <v>503</v>
      </c>
      <c r="B9" s="10" t="s">
        <v>504</v>
      </c>
      <c r="C9" s="55" t="n">
        <v>0.2574</v>
      </c>
      <c r="D9" s="55" t="n">
        <v>0.0828495</v>
      </c>
      <c r="E9" s="55" t="n">
        <v>0</v>
      </c>
      <c r="F9" s="55" t="n">
        <v>0.0234</v>
      </c>
      <c r="G9" s="55" t="n">
        <v>0.111658655031926</v>
      </c>
      <c r="H9" s="55" t="n">
        <v>0.478245</v>
      </c>
      <c r="I9" s="55" t="n">
        <v>1.2602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2.21375315503193</v>
      </c>
      <c r="O9" s="55" t="n">
        <v>3.71423422222766</v>
      </c>
    </row>
    <row r="10" customFormat="false" ht="15" hidden="false" customHeight="true" outlineLevel="0" collapsed="false">
      <c r="A10" s="10" t="s">
        <v>505</v>
      </c>
      <c r="B10" s="10" t="s">
        <v>506</v>
      </c>
      <c r="C10" s="55" t="n">
        <v>0.133332867448153</v>
      </c>
      <c r="D10" s="55" t="n">
        <v>0.0496995</v>
      </c>
      <c r="E10" s="55" t="n">
        <v>0</v>
      </c>
      <c r="F10" s="55" t="n">
        <v>0.0182</v>
      </c>
      <c r="G10" s="55" t="n">
        <v>0.606405064751575</v>
      </c>
      <c r="H10" s="55" t="n">
        <v>1.73189</v>
      </c>
      <c r="I10" s="55" t="n">
        <v>0.4031</v>
      </c>
      <c r="J10" s="55" t="n">
        <v>0</v>
      </c>
      <c r="K10" s="55" t="n">
        <v>0</v>
      </c>
      <c r="L10" s="55" t="n">
        <v>0</v>
      </c>
      <c r="M10" s="55" t="n">
        <v>0.14584</v>
      </c>
      <c r="N10" s="55" t="n">
        <v>3.08846743219973</v>
      </c>
      <c r="O10" s="55" t="n">
        <v>4.5015265985877</v>
      </c>
    </row>
    <row r="11" customFormat="false" ht="15" hidden="false" customHeight="true" outlineLevel="0" collapsed="false">
      <c r="A11" s="10" t="s">
        <v>507</v>
      </c>
      <c r="B11" s="10" t="s">
        <v>508</v>
      </c>
      <c r="C11" s="55" t="n">
        <v>0.0658</v>
      </c>
      <c r="D11" s="55" t="n">
        <v>0.01855125</v>
      </c>
      <c r="E11" s="55" t="n">
        <v>0</v>
      </c>
      <c r="F11" s="55" t="n">
        <v>0.0182</v>
      </c>
      <c r="G11" s="55" t="n">
        <v>3.34398691861705</v>
      </c>
      <c r="H11" s="55" t="n">
        <v>1.53323</v>
      </c>
      <c r="I11" s="55" t="n">
        <v>0.164</v>
      </c>
      <c r="J11" s="55" t="n">
        <v>0</v>
      </c>
      <c r="K11" s="55" t="n">
        <v>0</v>
      </c>
      <c r="L11" s="55" t="n">
        <v>0</v>
      </c>
      <c r="M11" s="55" t="n">
        <v>0.100328</v>
      </c>
      <c r="N11" s="55" t="n">
        <v>5.24409616861705</v>
      </c>
      <c r="O11" s="55" t="n">
        <v>6.37076961962409</v>
      </c>
    </row>
    <row r="12" customFormat="false" ht="15" hidden="false" customHeight="true" outlineLevel="0" collapsed="false">
      <c r="A12" s="10" t="s">
        <v>509</v>
      </c>
      <c r="B12" s="10" t="s">
        <v>509</v>
      </c>
      <c r="C12" s="55" t="n">
        <v>0.1238</v>
      </c>
      <c r="D12" s="55" t="n">
        <v>0.04178175</v>
      </c>
      <c r="E12" s="55" t="n">
        <v>0</v>
      </c>
      <c r="F12" s="55" t="n">
        <v>0</v>
      </c>
      <c r="G12" s="55" t="n">
        <v>0.00843305399863339</v>
      </c>
      <c r="H12" s="55" t="n">
        <v>0.02985</v>
      </c>
      <c r="I12" s="55" t="n">
        <v>0.4715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0.675364803998633</v>
      </c>
      <c r="O12" s="55" t="n">
        <v>1.24132854313686</v>
      </c>
    </row>
    <row r="13" customFormat="false" ht="15" hidden="false" customHeight="true" outlineLevel="0" collapsed="false">
      <c r="A13" s="10" t="s">
        <v>510</v>
      </c>
      <c r="B13" s="10" t="s">
        <v>511</v>
      </c>
      <c r="C13" s="55" t="n">
        <v>0.0572</v>
      </c>
      <c r="D13" s="55" t="n">
        <v>0.0230265</v>
      </c>
      <c r="E13" s="55" t="n">
        <v>0</v>
      </c>
      <c r="F13" s="55" t="n">
        <v>0</v>
      </c>
      <c r="G13" s="55" t="n">
        <v>0.00240665628171208</v>
      </c>
      <c r="H13" s="55" t="n">
        <v>0.0532</v>
      </c>
      <c r="I13" s="55" t="n">
        <v>0.5072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0.643033156281712</v>
      </c>
      <c r="O13" s="55" t="n">
        <v>0.912768944075113</v>
      </c>
    </row>
    <row r="14" customFormat="false" ht="15" hidden="false" customHeight="true" outlineLevel="0" collapsed="false">
      <c r="A14" s="10" t="s">
        <v>512</v>
      </c>
      <c r="B14" s="10" t="s">
        <v>513</v>
      </c>
      <c r="C14" s="55" t="n">
        <v>0.0562</v>
      </c>
      <c r="D14" s="55" t="n">
        <v>0.00852975</v>
      </c>
      <c r="E14" s="55" t="n">
        <v>0</v>
      </c>
      <c r="F14" s="55" t="n">
        <v>0</v>
      </c>
      <c r="G14" s="55" t="n">
        <v>0</v>
      </c>
      <c r="H14" s="55" t="n">
        <v>0.0132</v>
      </c>
      <c r="I14" s="55" t="n">
        <v>0.5102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0.58812975</v>
      </c>
      <c r="O14" s="55" t="n">
        <v>0.97645839360141</v>
      </c>
    </row>
    <row r="15" customFormat="false" ht="15" hidden="false" customHeight="true" outlineLevel="0" collapsed="false">
      <c r="A15" s="10" t="s">
        <v>514</v>
      </c>
      <c r="B15" s="10" t="s">
        <v>515</v>
      </c>
      <c r="C15" s="55" t="n">
        <v>0.066</v>
      </c>
      <c r="D15" s="55" t="n">
        <v>0.01566975</v>
      </c>
      <c r="E15" s="55" t="n">
        <v>0</v>
      </c>
      <c r="F15" s="55" t="n">
        <v>0</v>
      </c>
      <c r="G15" s="55" t="n">
        <v>0</v>
      </c>
      <c r="H15" s="55" t="n">
        <v>0.09935</v>
      </c>
      <c r="I15" s="55" t="n">
        <v>0.0229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0.20391975</v>
      </c>
      <c r="O15" s="55" t="n">
        <v>0.613857053469926</v>
      </c>
    </row>
    <row r="16" customFormat="false" ht="15" hidden="false" customHeight="true" outlineLevel="0" collapsed="false">
      <c r="A16" s="10" t="s">
        <v>516</v>
      </c>
      <c r="B16" s="10" t="s">
        <v>517</v>
      </c>
      <c r="C16" s="55" t="n">
        <v>0.011098</v>
      </c>
      <c r="D16" s="55" t="n">
        <v>0.0078452025</v>
      </c>
      <c r="E16" s="55" t="n">
        <v>0</v>
      </c>
      <c r="F16" s="55" t="n">
        <v>0</v>
      </c>
      <c r="G16" s="55" t="n">
        <v>0</v>
      </c>
      <c r="H16" s="55" t="n">
        <v>0.128925</v>
      </c>
      <c r="I16" s="55" t="n">
        <v>0.0563</v>
      </c>
      <c r="J16" s="55" t="n">
        <v>0</v>
      </c>
      <c r="K16" s="55" t="n">
        <v>0</v>
      </c>
      <c r="L16" s="55" t="n">
        <v>0</v>
      </c>
      <c r="M16" s="55" t="n">
        <v>0.0302</v>
      </c>
      <c r="N16" s="55" t="n">
        <v>0.2343682025</v>
      </c>
      <c r="O16" s="55" t="n">
        <v>0.367772544996774</v>
      </c>
    </row>
    <row r="17" customFormat="false" ht="15" hidden="false" customHeight="true" outlineLevel="0" collapsed="false">
      <c r="A17" s="10" t="s">
        <v>518</v>
      </c>
      <c r="B17" s="10" t="s">
        <v>519</v>
      </c>
      <c r="C17" s="55" t="n">
        <v>0.0746</v>
      </c>
      <c r="D17" s="55" t="n">
        <v>0.049827</v>
      </c>
      <c r="E17" s="55" t="n">
        <v>0</v>
      </c>
      <c r="F17" s="55" t="n">
        <v>0</v>
      </c>
      <c r="G17" s="55" t="n">
        <v>0</v>
      </c>
      <c r="H17" s="55" t="n">
        <v>0.000425</v>
      </c>
      <c r="I17" s="55" t="n">
        <v>0.3881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0.512952</v>
      </c>
      <c r="O17" s="55" t="n">
        <v>0.550109587357566</v>
      </c>
    </row>
    <row r="18" customFormat="false" ht="15" hidden="false" customHeight="true" outlineLevel="0" collapsed="false">
      <c r="A18" s="10" t="s">
        <v>520</v>
      </c>
      <c r="B18" s="10" t="s">
        <v>521</v>
      </c>
      <c r="C18" s="55" t="n">
        <v>0.0318</v>
      </c>
      <c r="D18" s="55" t="n">
        <v>0.0162435</v>
      </c>
      <c r="E18" s="55" t="n">
        <v>0</v>
      </c>
      <c r="F18" s="55" t="n">
        <v>0</v>
      </c>
      <c r="G18" s="55" t="n">
        <v>0</v>
      </c>
      <c r="H18" s="55" t="n">
        <v>0.0091</v>
      </c>
      <c r="I18" s="55" t="n">
        <v>0.2695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0.3266435</v>
      </c>
      <c r="O18" s="55" t="n">
        <v>0.430775385664824</v>
      </c>
    </row>
    <row r="19" customFormat="false" ht="15" hidden="false" customHeight="true" outlineLevel="0" collapsed="false">
      <c r="A19" s="10" t="s">
        <v>522</v>
      </c>
      <c r="B19" s="10" t="s">
        <v>523</v>
      </c>
      <c r="C19" s="55" t="n">
        <v>0.106072</v>
      </c>
      <c r="D19" s="55" t="n">
        <v>0.00676209</v>
      </c>
      <c r="E19" s="55" t="n">
        <v>0</v>
      </c>
      <c r="F19" s="55" t="n">
        <v>0</v>
      </c>
      <c r="G19" s="55" t="n">
        <v>0.0915120576536283</v>
      </c>
      <c r="H19" s="55" t="n">
        <v>1.200515</v>
      </c>
      <c r="I19" s="55" t="n">
        <v>0.2936</v>
      </c>
      <c r="J19" s="55" t="n">
        <v>0</v>
      </c>
      <c r="K19" s="55" t="n">
        <v>0.338581824</v>
      </c>
      <c r="L19" s="55" t="n">
        <v>0</v>
      </c>
      <c r="M19" s="55" t="n">
        <v>0.11415999</v>
      </c>
      <c r="N19" s="55" t="n">
        <v>2.15120296165363</v>
      </c>
      <c r="O19" s="55" t="n">
        <v>3.23633235340984</v>
      </c>
    </row>
    <row r="20" customFormat="false" ht="15" hidden="false" customHeight="true" outlineLevel="0" collapsed="false">
      <c r="A20" s="10" t="s">
        <v>525</v>
      </c>
      <c r="B20" s="10" t="s">
        <v>526</v>
      </c>
      <c r="C20" s="55" t="n">
        <v>0.1254</v>
      </c>
      <c r="D20" s="55" t="n">
        <v>0.031875</v>
      </c>
      <c r="E20" s="55" t="n">
        <v>0</v>
      </c>
      <c r="F20" s="55" t="n">
        <v>0</v>
      </c>
      <c r="G20" s="55" t="n">
        <v>0.0377739159288903</v>
      </c>
      <c r="H20" s="55" t="n">
        <v>0.35512</v>
      </c>
      <c r="I20" s="55" t="n">
        <v>0.6774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1.22756891592889</v>
      </c>
      <c r="O20" s="55" t="n">
        <v>1.78886419116875</v>
      </c>
    </row>
    <row r="21" customFormat="false" ht="15" hidden="false" customHeight="true" outlineLevel="0" collapsed="false">
      <c r="A21" s="10" t="s">
        <v>527</v>
      </c>
      <c r="B21" s="10" t="s">
        <v>528</v>
      </c>
      <c r="C21" s="55" t="n">
        <v>0.130402485583257</v>
      </c>
      <c r="D21" s="55" t="n">
        <v>0</v>
      </c>
      <c r="E21" s="55" t="n">
        <v>0</v>
      </c>
      <c r="F21" s="55" t="n">
        <v>0</v>
      </c>
      <c r="G21" s="55" t="n">
        <v>0.104883231756906</v>
      </c>
      <c r="H21" s="55" t="n">
        <v>0.76117</v>
      </c>
      <c r="I21" s="55" t="n">
        <v>0.4766</v>
      </c>
      <c r="J21" s="55" t="n">
        <v>0</v>
      </c>
      <c r="K21" s="55" t="n">
        <v>0.324904986</v>
      </c>
      <c r="L21" s="55" t="n">
        <v>0</v>
      </c>
      <c r="M21" s="55" t="n">
        <v>0</v>
      </c>
      <c r="N21" s="55" t="n">
        <v>1.79796070334016</v>
      </c>
      <c r="O21" s="55" t="n">
        <v>2.73368583561885</v>
      </c>
    </row>
    <row r="22" customFormat="false" ht="15" hidden="false" customHeight="true" outlineLevel="0" collapsed="false">
      <c r="A22" s="10" t="s">
        <v>530</v>
      </c>
      <c r="B22" s="10" t="s">
        <v>531</v>
      </c>
      <c r="C22" s="55" t="n">
        <v>0.07032872</v>
      </c>
      <c r="D22" s="55" t="n">
        <v>0</v>
      </c>
      <c r="E22" s="55" t="n">
        <v>0</v>
      </c>
      <c r="F22" s="55" t="n">
        <v>0</v>
      </c>
      <c r="G22" s="55" t="n">
        <v>0.385385938084879</v>
      </c>
      <c r="H22" s="55" t="n">
        <v>1.289165</v>
      </c>
      <c r="I22" s="55" t="n">
        <v>0.8523</v>
      </c>
      <c r="J22" s="55" t="n">
        <v>0</v>
      </c>
      <c r="K22" s="55" t="n">
        <v>0.81688635</v>
      </c>
      <c r="L22" s="55" t="n">
        <v>0</v>
      </c>
      <c r="M22" s="55" t="n">
        <v>0</v>
      </c>
      <c r="N22" s="55" t="n">
        <v>3.41406600808488</v>
      </c>
      <c r="O22" s="55" t="n">
        <v>4.59257756413231</v>
      </c>
    </row>
    <row r="23" customFormat="false" ht="15" hidden="false" customHeight="true" outlineLevel="0" collapsed="false">
      <c r="A23" s="10" t="s">
        <v>532</v>
      </c>
      <c r="B23" s="10" t="s">
        <v>533</v>
      </c>
      <c r="C23" s="55" t="n">
        <v>0.0533858735493249</v>
      </c>
      <c r="D23" s="55" t="n">
        <v>0.0043670025</v>
      </c>
      <c r="E23" s="55" t="n">
        <v>0</v>
      </c>
      <c r="F23" s="55" t="n">
        <v>0</v>
      </c>
      <c r="G23" s="55" t="n">
        <v>0.00843305399863339</v>
      </c>
      <c r="H23" s="55" t="n">
        <v>0.741155</v>
      </c>
      <c r="I23" s="55" t="n">
        <v>0.3246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1.13194093004796</v>
      </c>
      <c r="O23" s="55" t="n">
        <v>1.72188408458302</v>
      </c>
    </row>
    <row r="24" customFormat="false" ht="15" hidden="false" customHeight="true" outlineLevel="0" collapsed="false">
      <c r="A24" s="10" t="s">
        <v>534</v>
      </c>
      <c r="B24" s="10" t="s">
        <v>534</v>
      </c>
      <c r="C24" s="55" t="n">
        <v>0</v>
      </c>
      <c r="D24" s="55" t="n">
        <v>0</v>
      </c>
      <c r="E24" s="55" t="n">
        <v>0</v>
      </c>
      <c r="F24" s="55" t="n">
        <v>0</v>
      </c>
      <c r="G24" s="55" t="n">
        <v>0.0571950360335177</v>
      </c>
      <c r="H24" s="55" t="n">
        <v>0.519035</v>
      </c>
      <c r="I24" s="55" t="n">
        <v>0.9313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1.50753003603352</v>
      </c>
      <c r="O24" s="55" t="n">
        <v>1.8716181569507</v>
      </c>
    </row>
    <row r="25" customFormat="false" ht="15" hidden="false" customHeight="true" outlineLevel="0" collapsed="false">
      <c r="A25" s="10" t="s">
        <v>535</v>
      </c>
      <c r="B25" s="10" t="s">
        <v>535</v>
      </c>
      <c r="C25" s="55" t="n">
        <v>0.116868834478486</v>
      </c>
      <c r="D25" s="55" t="n">
        <v>0.0387729844413012</v>
      </c>
      <c r="E25" s="55" t="n">
        <v>0</v>
      </c>
      <c r="F25" s="55" t="n">
        <v>0</v>
      </c>
      <c r="G25" s="55" t="n">
        <v>0.734543111732004</v>
      </c>
      <c r="H25" s="55" t="n">
        <v>3.16705240421868</v>
      </c>
      <c r="I25" s="55" t="n">
        <v>0.9594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5.01663733487047</v>
      </c>
      <c r="O25" s="55" t="n">
        <v>6.72218756052721</v>
      </c>
    </row>
    <row r="26" customFormat="false" ht="15" hidden="false" customHeight="true" outlineLevel="0" collapsed="false">
      <c r="A26" s="10" t="s">
        <v>537</v>
      </c>
      <c r="B26" s="10" t="s">
        <v>537</v>
      </c>
      <c r="C26" s="55" t="n">
        <v>0.0334542771047291</v>
      </c>
      <c r="D26" s="55" t="n">
        <v>0.0114633171391673</v>
      </c>
      <c r="E26" s="55" t="n">
        <v>0</v>
      </c>
      <c r="F26" s="55" t="n">
        <v>0</v>
      </c>
      <c r="G26" s="55" t="n">
        <v>0.465726344138639</v>
      </c>
      <c r="H26" s="55" t="n">
        <v>2.48131707152082</v>
      </c>
      <c r="I26" s="55" t="n">
        <v>0.435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3.42696100990336</v>
      </c>
      <c r="O26" s="55" t="n">
        <v>4.29360005786951</v>
      </c>
    </row>
    <row r="27" customFormat="false" ht="15" hidden="false" customHeight="true" outlineLevel="0" collapsed="false">
      <c r="A27" s="10" t="s">
        <v>538</v>
      </c>
      <c r="B27" s="10" t="s">
        <v>539</v>
      </c>
      <c r="C27" s="55" t="n">
        <v>0.0440000000000001</v>
      </c>
      <c r="D27" s="55" t="n">
        <v>0.021505</v>
      </c>
      <c r="E27" s="55" t="n">
        <v>0</v>
      </c>
      <c r="F27" s="55" t="n">
        <v>0</v>
      </c>
      <c r="G27" s="55" t="n">
        <v>0.153505129914256</v>
      </c>
      <c r="H27" s="55" t="n">
        <v>1.83869380726893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2.05770393718319</v>
      </c>
      <c r="O27" s="55" t="n">
        <v>2.75809055437904</v>
      </c>
    </row>
    <row r="28" customFormat="false" ht="15" hidden="false" customHeight="true" outlineLevel="0" collapsed="false">
      <c r="A28" s="10" t="s">
        <v>540</v>
      </c>
      <c r="B28" s="10" t="s">
        <v>541</v>
      </c>
      <c r="C28" s="55" t="n">
        <v>0.0694121788102782</v>
      </c>
      <c r="D28" s="55" t="n">
        <v>0</v>
      </c>
      <c r="E28" s="55" t="n">
        <v>0</v>
      </c>
      <c r="F28" s="55" t="n">
        <v>0</v>
      </c>
      <c r="G28" s="55" t="n">
        <v>0.0915120576536283</v>
      </c>
      <c r="H28" s="55" t="n">
        <v>0.3508</v>
      </c>
      <c r="I28" s="55" t="n">
        <v>0.7823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1.29402423646391</v>
      </c>
      <c r="O28" s="55" t="n">
        <v>1.72142653052011</v>
      </c>
    </row>
    <row r="29" customFormat="false" ht="15" hidden="false" customHeight="true" outlineLevel="0" collapsed="false">
      <c r="A29" s="10" t="s">
        <v>543</v>
      </c>
      <c r="B29" s="10" t="s">
        <v>544</v>
      </c>
      <c r="C29" s="55" t="n">
        <v>0</v>
      </c>
      <c r="D29" s="55" t="n">
        <v>0</v>
      </c>
      <c r="E29" s="55" t="n">
        <v>0</v>
      </c>
      <c r="F29" s="55" t="n">
        <v>0</v>
      </c>
      <c r="G29" s="55" t="n">
        <v>0.146037308423042</v>
      </c>
      <c r="H29" s="55" t="n">
        <v>0.115695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0.261732308423043</v>
      </c>
      <c r="O29" s="55" t="n">
        <v>0.331379221363959</v>
      </c>
    </row>
    <row r="30" customFormat="false" ht="15" hidden="false" customHeight="true" outlineLevel="0" collapsed="false">
      <c r="B30" s="7" t="s">
        <v>1045</v>
      </c>
      <c r="C30" s="56" t="n">
        <v>2.15515523697423</v>
      </c>
      <c r="D30" s="56" t="n">
        <v>0.602538846580469</v>
      </c>
      <c r="E30" s="56" t="n">
        <v>0</v>
      </c>
      <c r="F30" s="56" t="n">
        <v>0.1204</v>
      </c>
      <c r="G30" s="56" t="n">
        <v>12.3111359505405</v>
      </c>
      <c r="H30" s="56" t="n">
        <v>20.1002232830084</v>
      </c>
      <c r="I30" s="56" t="n">
        <v>12.7936</v>
      </c>
      <c r="J30" s="56" t="n">
        <v>0</v>
      </c>
      <c r="K30" s="56" t="n">
        <v>1.48037316</v>
      </c>
      <c r="L30" s="56" t="n">
        <v>1.61285497853561</v>
      </c>
      <c r="M30" s="56" t="n">
        <v>0.55605299</v>
      </c>
      <c r="N30" s="56" t="n">
        <v>51.7323344456392</v>
      </c>
      <c r="O30" s="56" t="n">
        <v>72.6631319137089</v>
      </c>
    </row>
    <row r="31" customFormat="false" ht="15" hidden="false" customHeight="true" outlineLevel="0" collapsed="false">
      <c r="B31" s="7" t="s">
        <v>1046</v>
      </c>
      <c r="C31" s="57" t="n">
        <v>0.0152148368905354</v>
      </c>
      <c r="D31" s="57" t="n">
        <v>0.00448152028126482</v>
      </c>
      <c r="E31" s="57" t="n">
        <v>0</v>
      </c>
      <c r="F31" s="57" t="n">
        <v>0.000451030787856112</v>
      </c>
      <c r="G31" s="57" t="n">
        <v>0.0622470488326576</v>
      </c>
      <c r="H31" s="57" t="n">
        <v>0.127890054113167</v>
      </c>
      <c r="I31" s="57" t="n">
        <v>0.0826711849496581</v>
      </c>
      <c r="J31" s="57" t="n">
        <v>0</v>
      </c>
      <c r="K31" s="57" t="n">
        <v>0.00989583333333334</v>
      </c>
      <c r="L31" s="57" t="n">
        <v>0.00368453812008975</v>
      </c>
      <c r="M31" s="57" t="n">
        <v>0.00352357736814574</v>
      </c>
      <c r="N31" s="57" t="n">
        <v>0.310059624676708</v>
      </c>
      <c r="O31" s="57" t="n">
        <v>0.436183132164717</v>
      </c>
    </row>
    <row r="32" customFormat="false" ht="15" hidden="false" customHeight="true" outlineLevel="0" collapsed="false">
      <c r="B32" s="7" t="s">
        <v>1047</v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58" t="n">
        <v>0</v>
      </c>
      <c r="I32" s="58" t="n">
        <v>0</v>
      </c>
      <c r="J32" s="58" t="n">
        <v>0</v>
      </c>
      <c r="K32" s="58" t="n">
        <v>0</v>
      </c>
      <c r="L32" s="58" t="n">
        <v>0</v>
      </c>
      <c r="M32" s="58" t="n">
        <v>0</v>
      </c>
      <c r="N32" s="58" t="n">
        <v>0</v>
      </c>
      <c r="O32" s="58" t="n">
        <v>0</v>
      </c>
    </row>
    <row r="35" customFormat="false" ht="15" hidden="false" customHeight="true" outlineLevel="0" collapsed="false">
      <c r="A35" s="9" t="s">
        <v>1048</v>
      </c>
    </row>
    <row r="36" customFormat="false" ht="39.75" hidden="false" customHeight="true" outlineLevel="0" collapsed="false">
      <c r="A36" s="21" t="s">
        <v>51</v>
      </c>
      <c r="B36" s="21" t="s">
        <v>52</v>
      </c>
      <c r="C36" s="21" t="s">
        <v>1033</v>
      </c>
      <c r="D36" s="21" t="s">
        <v>1034</v>
      </c>
      <c r="E36" s="21" t="s">
        <v>1035</v>
      </c>
      <c r="F36" s="21" t="s">
        <v>1036</v>
      </c>
      <c r="G36" s="21" t="s">
        <v>1037</v>
      </c>
      <c r="H36" s="21" t="s">
        <v>1038</v>
      </c>
      <c r="I36" s="21" t="s">
        <v>891</v>
      </c>
      <c r="J36" s="21" t="s">
        <v>1039</v>
      </c>
      <c r="K36" s="21" t="s">
        <v>1040</v>
      </c>
      <c r="L36" s="21" t="s">
        <v>1041</v>
      </c>
      <c r="M36" s="21" t="s">
        <v>1042</v>
      </c>
      <c r="N36" s="21" t="s">
        <v>1043</v>
      </c>
      <c r="O36" s="21" t="s">
        <v>1044</v>
      </c>
    </row>
    <row r="37" customFormat="false" ht="15" hidden="false" customHeight="true" outlineLevel="0" collapsed="false">
      <c r="A37" s="10" t="s">
        <v>496</v>
      </c>
      <c r="B37" s="10" t="s">
        <v>497</v>
      </c>
      <c r="C37" s="55" t="n">
        <v>0.1245</v>
      </c>
      <c r="D37" s="55" t="n">
        <v>0</v>
      </c>
      <c r="E37" s="55" t="n">
        <v>0</v>
      </c>
      <c r="F37" s="55" t="n">
        <v>0.0091</v>
      </c>
      <c r="G37" s="55" t="n">
        <v>3.50602488942233</v>
      </c>
      <c r="H37" s="55" t="n">
        <v>1.46056</v>
      </c>
      <c r="I37" s="55" t="n">
        <v>0.90155</v>
      </c>
      <c r="J37" s="55" t="n">
        <v>0</v>
      </c>
      <c r="K37" s="55" t="n">
        <v>0</v>
      </c>
      <c r="L37" s="55" t="n">
        <v>0</v>
      </c>
      <c r="M37" s="55" t="n">
        <v>0.082203</v>
      </c>
      <c r="N37" s="55" t="n">
        <v>6.08393788942233</v>
      </c>
      <c r="O37" s="55" t="n">
        <v>6.90516543495858</v>
      </c>
    </row>
    <row r="38" customFormat="false" ht="15" hidden="false" customHeight="true" outlineLevel="0" collapsed="false">
      <c r="A38" s="10" t="s">
        <v>499</v>
      </c>
      <c r="B38" s="10" t="s">
        <v>500</v>
      </c>
      <c r="C38" s="55" t="n">
        <v>0.0688</v>
      </c>
      <c r="D38" s="55" t="n">
        <v>0</v>
      </c>
      <c r="E38" s="55" t="n">
        <v>0</v>
      </c>
      <c r="F38" s="55" t="n">
        <v>0.0091</v>
      </c>
      <c r="G38" s="55" t="n">
        <v>4.62006302508695</v>
      </c>
      <c r="H38" s="55" t="n">
        <v>0.6377225</v>
      </c>
      <c r="I38" s="55" t="n">
        <v>0.41655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5.75223552508695</v>
      </c>
      <c r="O38" s="55" t="n">
        <v>6.12068551630785</v>
      </c>
    </row>
    <row r="39" customFormat="false" ht="15" hidden="false" customHeight="true" outlineLevel="0" collapsed="false">
      <c r="A39" s="10" t="s">
        <v>501</v>
      </c>
      <c r="B39" s="10" t="s">
        <v>502</v>
      </c>
      <c r="C39" s="55" t="n">
        <v>0.071</v>
      </c>
      <c r="D39" s="55" t="n">
        <v>0</v>
      </c>
      <c r="E39" s="55" t="n">
        <v>0</v>
      </c>
      <c r="F39" s="55" t="n">
        <v>0.0091</v>
      </c>
      <c r="G39" s="55" t="n">
        <v>4.75311936064827</v>
      </c>
      <c r="H39" s="55" t="n">
        <v>0.4746025</v>
      </c>
      <c r="I39" s="55" t="n">
        <v>0.18595</v>
      </c>
      <c r="J39" s="55" t="n">
        <v>0</v>
      </c>
      <c r="K39" s="55" t="n">
        <v>0</v>
      </c>
      <c r="L39" s="55" t="n">
        <v>0</v>
      </c>
      <c r="M39" s="55" t="n">
        <v>0.083322</v>
      </c>
      <c r="N39" s="55" t="n">
        <v>5.57709386064827</v>
      </c>
      <c r="O39" s="55" t="n">
        <v>5.89078880789866</v>
      </c>
    </row>
    <row r="40" customFormat="false" ht="15" hidden="false" customHeight="true" outlineLevel="0" collapsed="false">
      <c r="A40" s="10" t="s">
        <v>503</v>
      </c>
      <c r="B40" s="10" t="s">
        <v>504</v>
      </c>
      <c r="C40" s="55" t="n">
        <v>0.1287</v>
      </c>
      <c r="D40" s="55" t="n">
        <v>0</v>
      </c>
      <c r="E40" s="55" t="n">
        <v>0</v>
      </c>
      <c r="F40" s="55" t="n">
        <v>0.0091</v>
      </c>
      <c r="G40" s="55" t="n">
        <v>0.449806074316856</v>
      </c>
      <c r="H40" s="55" t="n">
        <v>0.3150425</v>
      </c>
      <c r="I40" s="55" t="n">
        <v>0.6301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1.53274857431686</v>
      </c>
      <c r="O40" s="55" t="n">
        <v>1.79711509221589</v>
      </c>
    </row>
    <row r="41" customFormat="false" ht="15" hidden="false" customHeight="true" outlineLevel="0" collapsed="false">
      <c r="A41" s="10" t="s">
        <v>505</v>
      </c>
      <c r="B41" s="10" t="s">
        <v>506</v>
      </c>
      <c r="C41" s="55" t="n">
        <v>0.062</v>
      </c>
      <c r="D41" s="55" t="n">
        <v>0</v>
      </c>
      <c r="E41" s="55" t="n">
        <v>0</v>
      </c>
      <c r="F41" s="55" t="n">
        <v>0.0091</v>
      </c>
      <c r="G41" s="55" t="n">
        <v>1.5656789776147</v>
      </c>
      <c r="H41" s="55" t="n">
        <v>1.360285</v>
      </c>
      <c r="I41" s="55" t="n">
        <v>0.20155</v>
      </c>
      <c r="J41" s="55" t="n">
        <v>0</v>
      </c>
      <c r="K41" s="55" t="n">
        <v>0</v>
      </c>
      <c r="L41" s="55" t="n">
        <v>0</v>
      </c>
      <c r="M41" s="55" t="n">
        <v>0.14584</v>
      </c>
      <c r="N41" s="55" t="n">
        <v>3.3444539776147</v>
      </c>
      <c r="O41" s="55" t="n">
        <v>3.95983958564719</v>
      </c>
    </row>
    <row r="42" customFormat="false" ht="15" hidden="false" customHeight="true" outlineLevel="0" collapsed="false">
      <c r="A42" s="10" t="s">
        <v>507</v>
      </c>
      <c r="B42" s="10" t="s">
        <v>508</v>
      </c>
      <c r="C42" s="55" t="n">
        <v>0.0329</v>
      </c>
      <c r="D42" s="55" t="n">
        <v>0</v>
      </c>
      <c r="E42" s="55" t="n">
        <v>0</v>
      </c>
      <c r="F42" s="55" t="n">
        <v>0.0091</v>
      </c>
      <c r="G42" s="55" t="n">
        <v>6.98291149085271</v>
      </c>
      <c r="H42" s="55" t="n">
        <v>1.190595</v>
      </c>
      <c r="I42" s="55" t="n">
        <v>0.082</v>
      </c>
      <c r="J42" s="55" t="n">
        <v>0</v>
      </c>
      <c r="K42" s="55" t="n">
        <v>0</v>
      </c>
      <c r="L42" s="55" t="n">
        <v>0</v>
      </c>
      <c r="M42" s="55" t="n">
        <v>0.100328</v>
      </c>
      <c r="N42" s="55" t="n">
        <v>8.39783449085271</v>
      </c>
      <c r="O42" s="55" t="n">
        <v>8.9082911988407</v>
      </c>
    </row>
    <row r="43" customFormat="false" ht="15" hidden="false" customHeight="true" outlineLevel="0" collapsed="false">
      <c r="A43" s="10" t="s">
        <v>509</v>
      </c>
      <c r="B43" s="10" t="s">
        <v>509</v>
      </c>
      <c r="C43" s="55" t="n">
        <v>0.0619</v>
      </c>
      <c r="D43" s="55" t="n">
        <v>0</v>
      </c>
      <c r="E43" s="55" t="n">
        <v>0</v>
      </c>
      <c r="F43" s="55" t="n">
        <v>0</v>
      </c>
      <c r="G43" s="55" t="n">
        <v>0.0398768010820675</v>
      </c>
      <c r="H43" s="55" t="n">
        <v>0.014925</v>
      </c>
      <c r="I43" s="55" t="n">
        <v>0.23575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0.352451801082068</v>
      </c>
      <c r="O43" s="55" t="n">
        <v>0.38117987777077</v>
      </c>
    </row>
    <row r="44" customFormat="false" ht="15" hidden="false" customHeight="true" outlineLevel="0" collapsed="false">
      <c r="A44" s="10" t="s">
        <v>510</v>
      </c>
      <c r="B44" s="10" t="s">
        <v>511</v>
      </c>
      <c r="C44" s="55" t="n">
        <v>0.0286</v>
      </c>
      <c r="D44" s="55" t="n">
        <v>0</v>
      </c>
      <c r="E44" s="55" t="n">
        <v>0</v>
      </c>
      <c r="F44" s="55" t="n">
        <v>0</v>
      </c>
      <c r="G44" s="55" t="n">
        <v>0.0220130287290035</v>
      </c>
      <c r="H44" s="55" t="n">
        <v>0.0266</v>
      </c>
      <c r="I44" s="55" t="n">
        <v>0.2536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0.330813028729004</v>
      </c>
      <c r="O44" s="55" t="n">
        <v>0.374647217314999</v>
      </c>
    </row>
    <row r="45" customFormat="false" ht="15" hidden="false" customHeight="true" outlineLevel="0" collapsed="false">
      <c r="A45" s="10" t="s">
        <v>512</v>
      </c>
      <c r="B45" s="10" t="s">
        <v>513</v>
      </c>
      <c r="C45" s="55" t="n">
        <v>0.0281</v>
      </c>
      <c r="D45" s="55" t="n">
        <v>0</v>
      </c>
      <c r="E45" s="55" t="n">
        <v>0</v>
      </c>
      <c r="F45" s="55" t="n">
        <v>0</v>
      </c>
      <c r="G45" s="55" t="n">
        <v>0</v>
      </c>
      <c r="H45" s="55" t="n">
        <v>0.0066</v>
      </c>
      <c r="I45" s="55" t="n">
        <v>0.2551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0.2898</v>
      </c>
      <c r="O45" s="55" t="n">
        <v>0.304605819665965</v>
      </c>
    </row>
    <row r="46" customFormat="false" ht="15" hidden="false" customHeight="true" outlineLevel="0" collapsed="false">
      <c r="A46" s="10" t="s">
        <v>514</v>
      </c>
      <c r="B46" s="10" t="s">
        <v>515</v>
      </c>
      <c r="C46" s="55" t="n">
        <v>0.033</v>
      </c>
      <c r="D46" s="55" t="n">
        <v>0</v>
      </c>
      <c r="E46" s="55" t="n">
        <v>0</v>
      </c>
      <c r="F46" s="55" t="n">
        <v>0</v>
      </c>
      <c r="G46" s="55" t="n">
        <v>0</v>
      </c>
      <c r="H46" s="55" t="n">
        <v>0.049675</v>
      </c>
      <c r="I46" s="55" t="n">
        <v>0.01145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0.094125</v>
      </c>
      <c r="O46" s="55" t="n">
        <v>0.15925386957563</v>
      </c>
    </row>
    <row r="47" customFormat="false" ht="15" hidden="false" customHeight="true" outlineLevel="0" collapsed="false">
      <c r="A47" s="10" t="s">
        <v>516</v>
      </c>
      <c r="B47" s="10" t="s">
        <v>517</v>
      </c>
      <c r="C47" s="55" t="n">
        <v>0.005549</v>
      </c>
      <c r="D47" s="55" t="n">
        <v>0</v>
      </c>
      <c r="E47" s="55" t="n">
        <v>0</v>
      </c>
      <c r="F47" s="55" t="n">
        <v>0</v>
      </c>
      <c r="G47" s="55" t="n">
        <v>0</v>
      </c>
      <c r="H47" s="55" t="n">
        <v>0.0644625</v>
      </c>
      <c r="I47" s="55" t="n">
        <v>0.02815</v>
      </c>
      <c r="J47" s="55" t="n">
        <v>0</v>
      </c>
      <c r="K47" s="55" t="n">
        <v>0</v>
      </c>
      <c r="L47" s="55" t="n">
        <v>0</v>
      </c>
      <c r="M47" s="55" t="n">
        <v>0.0302</v>
      </c>
      <c r="N47" s="55" t="n">
        <v>0.1283615</v>
      </c>
      <c r="O47" s="55" t="n">
        <v>0.210828895160729</v>
      </c>
    </row>
    <row r="48" customFormat="false" ht="15" hidden="false" customHeight="true" outlineLevel="0" collapsed="false">
      <c r="A48" s="10" t="s">
        <v>518</v>
      </c>
      <c r="B48" s="10" t="s">
        <v>519</v>
      </c>
      <c r="C48" s="55" t="n">
        <v>0.0373</v>
      </c>
      <c r="D48" s="55" t="n">
        <v>0</v>
      </c>
      <c r="E48" s="55" t="n">
        <v>0</v>
      </c>
      <c r="F48" s="55" t="n">
        <v>0</v>
      </c>
      <c r="G48" s="55" t="n">
        <v>0</v>
      </c>
      <c r="H48" s="55" t="n">
        <v>0.0002125</v>
      </c>
      <c r="I48" s="55" t="n">
        <v>0.19405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0.2315625</v>
      </c>
      <c r="O48" s="55" t="n">
        <v>0.233749401232125</v>
      </c>
    </row>
    <row r="49" customFormat="false" ht="15" hidden="false" customHeight="true" outlineLevel="0" collapsed="false">
      <c r="A49" s="10" t="s">
        <v>520</v>
      </c>
      <c r="B49" s="10" t="s">
        <v>521</v>
      </c>
      <c r="C49" s="55" t="n">
        <v>0.0159</v>
      </c>
      <c r="D49" s="55" t="n">
        <v>0</v>
      </c>
      <c r="E49" s="55" t="n">
        <v>0</v>
      </c>
      <c r="F49" s="55" t="n">
        <v>0</v>
      </c>
      <c r="G49" s="55" t="n">
        <v>0</v>
      </c>
      <c r="H49" s="55" t="n">
        <v>0.00455</v>
      </c>
      <c r="I49" s="55" t="n">
        <v>0.13475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0.1552</v>
      </c>
      <c r="O49" s="55" t="n">
        <v>0.161641417962902</v>
      </c>
    </row>
    <row r="50" customFormat="false" ht="15" hidden="false" customHeight="true" outlineLevel="0" collapsed="false">
      <c r="A50" s="10" t="s">
        <v>522</v>
      </c>
      <c r="B50" s="10" t="s">
        <v>523</v>
      </c>
      <c r="C50" s="55" t="n">
        <v>0.053036</v>
      </c>
      <c r="D50" s="55" t="n">
        <v>0</v>
      </c>
      <c r="E50" s="55" t="n">
        <v>0</v>
      </c>
      <c r="F50" s="55" t="n">
        <v>0</v>
      </c>
      <c r="G50" s="55" t="n">
        <v>0.363412476271975</v>
      </c>
      <c r="H50" s="55" t="n">
        <v>0.8209975</v>
      </c>
      <c r="I50" s="55" t="n">
        <v>0.1468</v>
      </c>
      <c r="J50" s="55" t="n">
        <v>0</v>
      </c>
      <c r="K50" s="55" t="n">
        <v>0</v>
      </c>
      <c r="L50" s="55" t="n">
        <v>0</v>
      </c>
      <c r="M50" s="55" t="n">
        <v>0.11415999</v>
      </c>
      <c r="N50" s="55" t="n">
        <v>1.49840596627198</v>
      </c>
      <c r="O50" s="55" t="n">
        <v>1.98584844424957</v>
      </c>
    </row>
    <row r="51" customFormat="false" ht="15" hidden="false" customHeight="true" outlineLevel="0" collapsed="false">
      <c r="A51" s="10" t="s">
        <v>525</v>
      </c>
      <c r="B51" s="10" t="s">
        <v>526</v>
      </c>
      <c r="C51" s="55" t="n">
        <v>0.0627</v>
      </c>
      <c r="D51" s="55" t="n">
        <v>0</v>
      </c>
      <c r="E51" s="55" t="n">
        <v>0</v>
      </c>
      <c r="F51" s="55" t="n">
        <v>0</v>
      </c>
      <c r="G51" s="55" t="n">
        <v>0.124971679769017</v>
      </c>
      <c r="H51" s="55" t="n">
        <v>0.53018</v>
      </c>
      <c r="I51" s="55" t="n">
        <v>0.3387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1.05655167976902</v>
      </c>
      <c r="O51" s="55" t="n">
        <v>1.27855033717342</v>
      </c>
    </row>
    <row r="52" customFormat="false" ht="15" hidden="false" customHeight="true" outlineLevel="0" collapsed="false">
      <c r="A52" s="10" t="s">
        <v>527</v>
      </c>
      <c r="B52" s="10" t="s">
        <v>528</v>
      </c>
      <c r="C52" s="55" t="n">
        <v>0.06382103</v>
      </c>
      <c r="D52" s="55" t="n">
        <v>0</v>
      </c>
      <c r="E52" s="55" t="n">
        <v>0</v>
      </c>
      <c r="F52" s="55" t="n">
        <v>0</v>
      </c>
      <c r="G52" s="55" t="n">
        <v>0.420654932780541</v>
      </c>
      <c r="H52" s="55" t="n">
        <v>0.384805</v>
      </c>
      <c r="I52" s="55" t="n">
        <v>0.2383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1.10758096278054</v>
      </c>
      <c r="O52" s="55" t="n">
        <v>1.42822821490558</v>
      </c>
    </row>
    <row r="53" customFormat="false" ht="15" hidden="false" customHeight="true" outlineLevel="0" collapsed="false">
      <c r="A53" s="10" t="s">
        <v>530</v>
      </c>
      <c r="B53" s="10" t="s">
        <v>531</v>
      </c>
      <c r="C53" s="55" t="n">
        <v>0.03516436</v>
      </c>
      <c r="D53" s="55" t="n">
        <v>0</v>
      </c>
      <c r="E53" s="55" t="n">
        <v>0</v>
      </c>
      <c r="F53" s="55" t="n">
        <v>0</v>
      </c>
      <c r="G53" s="55" t="n">
        <v>0.790766006342628</v>
      </c>
      <c r="H53" s="55" t="n">
        <v>1.0320225</v>
      </c>
      <c r="I53" s="55" t="n">
        <v>0.42615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2.28410286634263</v>
      </c>
      <c r="O53" s="55" t="n">
        <v>2.80413518740096</v>
      </c>
    </row>
    <row r="54" customFormat="false" ht="15" hidden="false" customHeight="true" outlineLevel="0" collapsed="false">
      <c r="A54" s="10" t="s">
        <v>532</v>
      </c>
      <c r="B54" s="10" t="s">
        <v>533</v>
      </c>
      <c r="C54" s="55" t="n">
        <v>0.0159838</v>
      </c>
      <c r="D54" s="55" t="n">
        <v>0</v>
      </c>
      <c r="E54" s="55" t="n">
        <v>0</v>
      </c>
      <c r="F54" s="55" t="n">
        <v>0</v>
      </c>
      <c r="G54" s="55" t="n">
        <v>0.0398768010820675</v>
      </c>
      <c r="H54" s="55" t="n">
        <v>0.6247575</v>
      </c>
      <c r="I54" s="55" t="n">
        <v>0.1623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0.842918101082068</v>
      </c>
      <c r="O54" s="55" t="n">
        <v>1.08091670586102</v>
      </c>
    </row>
    <row r="55" customFormat="false" ht="15" hidden="false" customHeight="true" outlineLevel="0" collapsed="false">
      <c r="A55" s="10" t="s">
        <v>534</v>
      </c>
      <c r="B55" s="10" t="s">
        <v>534</v>
      </c>
      <c r="C55" s="55" t="n">
        <v>0</v>
      </c>
      <c r="D55" s="55" t="n">
        <v>0</v>
      </c>
      <c r="E55" s="55" t="n">
        <v>0</v>
      </c>
      <c r="F55" s="55" t="n">
        <v>0</v>
      </c>
      <c r="G55" s="55" t="n">
        <v>0.227132797669985</v>
      </c>
      <c r="H55" s="55" t="n">
        <v>0.5179775</v>
      </c>
      <c r="I55" s="55" t="n">
        <v>0.46565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1.21076029766999</v>
      </c>
      <c r="O55" s="55" t="n">
        <v>1.44045233779089</v>
      </c>
    </row>
    <row r="56" customFormat="false" ht="15" hidden="false" customHeight="true" outlineLevel="0" collapsed="false">
      <c r="A56" s="10" t="s">
        <v>535</v>
      </c>
      <c r="B56" s="10" t="s">
        <v>535</v>
      </c>
      <c r="C56" s="55" t="n">
        <v>0.0528872763052702</v>
      </c>
      <c r="D56" s="55" t="n">
        <v>0</v>
      </c>
      <c r="E56" s="55" t="n">
        <v>0</v>
      </c>
      <c r="F56" s="55" t="n">
        <v>0</v>
      </c>
      <c r="G56" s="55" t="n">
        <v>2.02153777747785</v>
      </c>
      <c r="H56" s="55" t="n">
        <v>4.26405360632802</v>
      </c>
      <c r="I56" s="55" t="n">
        <v>0.4797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6.81817866011114</v>
      </c>
      <c r="O56" s="55" t="n">
        <v>7.65537986761474</v>
      </c>
    </row>
    <row r="57" customFormat="false" ht="15" hidden="false" customHeight="true" outlineLevel="0" collapsed="false">
      <c r="A57" s="10" t="s">
        <v>537</v>
      </c>
      <c r="B57" s="10" t="s">
        <v>537</v>
      </c>
      <c r="C57" s="55" t="n">
        <v>0.0167271385523646</v>
      </c>
      <c r="D57" s="55" t="n">
        <v>0</v>
      </c>
      <c r="E57" s="55" t="n">
        <v>0</v>
      </c>
      <c r="F57" s="55" t="n">
        <v>0</v>
      </c>
      <c r="G57" s="55" t="n">
        <v>1.06756963809295</v>
      </c>
      <c r="H57" s="55" t="n">
        <v>3.71417560728123</v>
      </c>
      <c r="I57" s="55" t="n">
        <v>0.2175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5.01597238392655</v>
      </c>
      <c r="O57" s="55" t="n">
        <v>5.53145674204359</v>
      </c>
    </row>
    <row r="58" customFormat="false" ht="15" hidden="false" customHeight="true" outlineLevel="0" collapsed="false">
      <c r="A58" s="10" t="s">
        <v>538</v>
      </c>
      <c r="B58" s="10" t="s">
        <v>539</v>
      </c>
      <c r="C58" s="55" t="n">
        <v>0.022</v>
      </c>
      <c r="D58" s="55" t="n">
        <v>0</v>
      </c>
      <c r="E58" s="55" t="n">
        <v>0</v>
      </c>
      <c r="F58" s="55" t="n">
        <v>0</v>
      </c>
      <c r="G58" s="55" t="n">
        <v>0.531788851598691</v>
      </c>
      <c r="H58" s="55" t="n">
        <v>2.7580407109034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3.31182956250209</v>
      </c>
      <c r="O58" s="55" t="n">
        <v>3.70945028588326</v>
      </c>
    </row>
    <row r="59" customFormat="false" ht="15" hidden="false" customHeight="true" outlineLevel="0" collapsed="false">
      <c r="A59" s="10" t="s">
        <v>540</v>
      </c>
      <c r="B59" s="10" t="s">
        <v>541</v>
      </c>
      <c r="C59" s="55" t="n">
        <v>0.0347060894051391</v>
      </c>
      <c r="D59" s="55" t="n">
        <v>0</v>
      </c>
      <c r="E59" s="55" t="n">
        <v>0</v>
      </c>
      <c r="F59" s="55" t="n">
        <v>0</v>
      </c>
      <c r="G59" s="55" t="n">
        <v>0.363412476271975</v>
      </c>
      <c r="H59" s="55" t="n">
        <v>0.315725</v>
      </c>
      <c r="I59" s="55" t="n">
        <v>0.39115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1.10499356567712</v>
      </c>
      <c r="O59" s="55" t="n">
        <v>1.28453249384359</v>
      </c>
    </row>
    <row r="60" customFormat="false" ht="15" hidden="false" customHeight="true" outlineLevel="0" collapsed="false">
      <c r="A60" s="10" t="s">
        <v>543</v>
      </c>
      <c r="B60" s="10" t="s">
        <v>544</v>
      </c>
      <c r="C60" s="55" t="n">
        <v>0</v>
      </c>
      <c r="D60" s="55" t="n">
        <v>0</v>
      </c>
      <c r="E60" s="55" t="n">
        <v>0</v>
      </c>
      <c r="F60" s="55" t="n">
        <v>0</v>
      </c>
      <c r="G60" s="55" t="n">
        <v>0.224693594224689</v>
      </c>
      <c r="H60" s="55" t="n">
        <v>0.0751675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0.299861094224689</v>
      </c>
      <c r="O60" s="55" t="n">
        <v>0.343281701338044</v>
      </c>
    </row>
    <row r="61" customFormat="false" ht="15" hidden="false" customHeight="true" outlineLevel="0" collapsed="false">
      <c r="B61" s="7" t="s">
        <v>1045</v>
      </c>
      <c r="C61" s="56" t="n">
        <v>1.05527469426277</v>
      </c>
      <c r="D61" s="56" t="n">
        <v>0</v>
      </c>
      <c r="E61" s="56" t="n">
        <v>0</v>
      </c>
      <c r="F61" s="56" t="n">
        <v>0.0546</v>
      </c>
      <c r="G61" s="56" t="n">
        <v>28.1153106793353</v>
      </c>
      <c r="H61" s="56" t="n">
        <v>20.6437349245126</v>
      </c>
      <c r="I61" s="56" t="n">
        <v>6.3968</v>
      </c>
      <c r="J61" s="56" t="n">
        <v>0</v>
      </c>
      <c r="K61" s="56" t="n">
        <v>0</v>
      </c>
      <c r="L61" s="56" t="n">
        <v>0</v>
      </c>
      <c r="M61" s="56" t="n">
        <v>0.55605299</v>
      </c>
      <c r="N61" s="56" t="n">
        <v>56.8217732881107</v>
      </c>
      <c r="O61" s="56" t="n">
        <v>63.9500244526566</v>
      </c>
    </row>
    <row r="62" customFormat="false" ht="15" hidden="false" customHeight="true" outlineLevel="0" collapsed="false">
      <c r="B62" s="7" t="s">
        <v>1046</v>
      </c>
      <c r="C62" s="57" t="n">
        <v>0.00744357550108763</v>
      </c>
      <c r="D62" s="57" t="n">
        <v>0</v>
      </c>
      <c r="E62" s="57" t="n">
        <v>0</v>
      </c>
      <c r="F62" s="57" t="n">
        <v>0.000207282682469853</v>
      </c>
      <c r="G62" s="57" t="n">
        <v>0.140654644036016</v>
      </c>
      <c r="H62" s="57" t="n">
        <v>0.129567856737583</v>
      </c>
      <c r="I62" s="57" t="n">
        <v>0.041335592474829</v>
      </c>
      <c r="J62" s="57" t="n">
        <v>0</v>
      </c>
      <c r="K62" s="57" t="n">
        <v>0</v>
      </c>
      <c r="L62" s="57" t="n">
        <v>0</v>
      </c>
      <c r="M62" s="57" t="n">
        <v>0.00352357736814574</v>
      </c>
      <c r="N62" s="57" t="n">
        <v>0.322732528800132</v>
      </c>
      <c r="O62" s="57" t="n">
        <v>0.367696169676412</v>
      </c>
    </row>
    <row r="63" customFormat="false" ht="15" hidden="false" customHeight="true" outlineLevel="0" collapsed="false">
      <c r="B63" s="7" t="s">
        <v>1047</v>
      </c>
      <c r="C63" s="58" t="n">
        <v>0</v>
      </c>
      <c r="D63" s="58" t="n">
        <v>0</v>
      </c>
      <c r="E63" s="58" t="n">
        <v>0</v>
      </c>
      <c r="F63" s="58" t="n">
        <v>0</v>
      </c>
      <c r="G63" s="58" t="n">
        <v>0</v>
      </c>
      <c r="H63" s="58" t="n">
        <v>0</v>
      </c>
      <c r="I63" s="58" t="n">
        <v>0</v>
      </c>
      <c r="J63" s="58" t="n">
        <v>0</v>
      </c>
      <c r="K63" s="58" t="n">
        <v>0</v>
      </c>
      <c r="L63" s="58" t="n">
        <v>0</v>
      </c>
      <c r="M63" s="58" t="n">
        <v>0</v>
      </c>
      <c r="N63" s="58" t="n">
        <v>0</v>
      </c>
      <c r="O63" s="58" t="n">
        <v>0</v>
      </c>
    </row>
    <row r="66" customFormat="false" ht="15" hidden="false" customHeight="true" outlineLevel="0" collapsed="false">
      <c r="A66" s="9" t="s">
        <v>1049</v>
      </c>
    </row>
    <row r="67" customFormat="false" ht="39.75" hidden="false" customHeight="true" outlineLevel="0" collapsed="false">
      <c r="A67" s="21" t="s">
        <v>51</v>
      </c>
      <c r="B67" s="21" t="s">
        <v>52</v>
      </c>
      <c r="C67" s="21" t="s">
        <v>1033</v>
      </c>
      <c r="D67" s="21" t="s">
        <v>1034</v>
      </c>
      <c r="E67" s="21" t="s">
        <v>1035</v>
      </c>
      <c r="F67" s="21" t="s">
        <v>1036</v>
      </c>
      <c r="G67" s="21" t="s">
        <v>1037</v>
      </c>
      <c r="H67" s="21" t="s">
        <v>1038</v>
      </c>
      <c r="I67" s="21" t="s">
        <v>891</v>
      </c>
      <c r="J67" s="21" t="s">
        <v>1039</v>
      </c>
      <c r="K67" s="21" t="s">
        <v>1040</v>
      </c>
      <c r="L67" s="21" t="s">
        <v>1041</v>
      </c>
      <c r="M67" s="21" t="s">
        <v>1042</v>
      </c>
      <c r="N67" s="21" t="s">
        <v>1043</v>
      </c>
      <c r="O67" s="21" t="s">
        <v>1044</v>
      </c>
    </row>
    <row r="68" customFormat="false" ht="15" hidden="false" customHeight="true" outlineLevel="0" collapsed="false">
      <c r="A68" s="10" t="s">
        <v>496</v>
      </c>
      <c r="B68" s="10" t="s">
        <v>497</v>
      </c>
      <c r="C68" s="55" t="n">
        <v>17.0495676523086</v>
      </c>
      <c r="D68" s="55" t="n">
        <v>0.44268</v>
      </c>
      <c r="E68" s="55" t="n">
        <v>0</v>
      </c>
      <c r="F68" s="55" t="n">
        <v>0.091</v>
      </c>
      <c r="G68" s="55" t="n">
        <v>0.882157631967335</v>
      </c>
      <c r="H68" s="55" t="n">
        <v>10.89214</v>
      </c>
      <c r="I68" s="55" t="n">
        <v>9.0155</v>
      </c>
      <c r="J68" s="55" t="n">
        <v>-13.4012</v>
      </c>
      <c r="K68" s="55" t="n">
        <v>0</v>
      </c>
      <c r="L68" s="55" t="n">
        <v>0</v>
      </c>
      <c r="M68" s="55" t="n">
        <v>1.233045</v>
      </c>
      <c r="N68" s="55" t="n">
        <v>26.204890284276</v>
      </c>
      <c r="O68" s="55" t="n">
        <v>63.2563904326121</v>
      </c>
    </row>
    <row r="69" customFormat="false" ht="15" hidden="false" customHeight="true" outlineLevel="0" collapsed="false">
      <c r="A69" s="10" t="s">
        <v>499</v>
      </c>
      <c r="B69" s="10" t="s">
        <v>500</v>
      </c>
      <c r="C69" s="55" t="n">
        <v>8.06616877019063</v>
      </c>
      <c r="D69" s="55" t="n">
        <v>0.270555</v>
      </c>
      <c r="E69" s="55" t="n">
        <v>0</v>
      </c>
      <c r="F69" s="55" t="n">
        <v>0.091</v>
      </c>
      <c r="G69" s="55" t="n">
        <v>1.95586550922658</v>
      </c>
      <c r="H69" s="55" t="n">
        <v>4.44689</v>
      </c>
      <c r="I69" s="55" t="n">
        <v>4.1655</v>
      </c>
      <c r="J69" s="55" t="n">
        <v>-8.7135</v>
      </c>
      <c r="K69" s="55" t="n">
        <v>0</v>
      </c>
      <c r="L69" s="55" t="n">
        <v>16.2063429983909</v>
      </c>
      <c r="M69" s="55" t="n">
        <v>0</v>
      </c>
      <c r="N69" s="55" t="n">
        <v>26.4888222778081</v>
      </c>
      <c r="O69" s="55" t="n">
        <v>55.2121309902589</v>
      </c>
    </row>
    <row r="70" customFormat="false" ht="15" hidden="false" customHeight="true" outlineLevel="0" collapsed="false">
      <c r="A70" s="10" t="s">
        <v>501</v>
      </c>
      <c r="B70" s="10" t="s">
        <v>502</v>
      </c>
      <c r="C70" s="55" t="n">
        <v>15.2237968354745</v>
      </c>
      <c r="D70" s="55" t="n">
        <v>0.05661</v>
      </c>
      <c r="E70" s="55" t="n">
        <v>0</v>
      </c>
      <c r="F70" s="55" t="n">
        <v>0.151</v>
      </c>
      <c r="G70" s="55" t="n">
        <v>1.9775306592183</v>
      </c>
      <c r="H70" s="55" t="n">
        <v>3.34001</v>
      </c>
      <c r="I70" s="55" t="n">
        <v>1.8595</v>
      </c>
      <c r="J70" s="55" t="n">
        <v>-7.169125</v>
      </c>
      <c r="K70" s="55" t="n">
        <v>0</v>
      </c>
      <c r="L70" s="55" t="n">
        <v>0</v>
      </c>
      <c r="M70" s="55" t="n">
        <v>1.24983</v>
      </c>
      <c r="N70" s="55" t="n">
        <v>16.6891524946928</v>
      </c>
      <c r="O70" s="55" t="n">
        <v>41.403599649873</v>
      </c>
    </row>
    <row r="71" customFormat="false" ht="15" hidden="false" customHeight="true" outlineLevel="0" collapsed="false">
      <c r="A71" s="10" t="s">
        <v>503</v>
      </c>
      <c r="B71" s="10" t="s">
        <v>504</v>
      </c>
      <c r="C71" s="55" t="n">
        <v>22.8846243632022</v>
      </c>
      <c r="D71" s="55" t="n">
        <v>0.35955</v>
      </c>
      <c r="E71" s="55" t="n">
        <v>0</v>
      </c>
      <c r="F71" s="55" t="n">
        <v>0.143</v>
      </c>
      <c r="G71" s="55" t="n">
        <v>0.0668261982798583</v>
      </c>
      <c r="H71" s="55" t="n">
        <v>3.08052</v>
      </c>
      <c r="I71" s="55" t="n">
        <v>6.301</v>
      </c>
      <c r="J71" s="55" t="n">
        <v>-6.25815</v>
      </c>
      <c r="K71" s="55" t="n">
        <v>0</v>
      </c>
      <c r="L71" s="55" t="n">
        <v>0</v>
      </c>
      <c r="M71" s="55" t="n">
        <v>0</v>
      </c>
      <c r="N71" s="55" t="n">
        <v>26.5773705614821</v>
      </c>
      <c r="O71" s="55" t="n">
        <v>57.9237177994376</v>
      </c>
    </row>
    <row r="72" customFormat="false" ht="15" hidden="false" customHeight="true" outlineLevel="0" collapsed="false">
      <c r="A72" s="10" t="s">
        <v>505</v>
      </c>
      <c r="B72" s="10" t="s">
        <v>506</v>
      </c>
      <c r="C72" s="55" t="n">
        <v>8.94675709463199</v>
      </c>
      <c r="D72" s="55" t="n">
        <v>0.21369</v>
      </c>
      <c r="E72" s="55" t="n">
        <v>0</v>
      </c>
      <c r="F72" s="55" t="n">
        <v>0.091</v>
      </c>
      <c r="G72" s="55" t="n">
        <v>0.462780427080511</v>
      </c>
      <c r="H72" s="55" t="n">
        <v>8.67339</v>
      </c>
      <c r="I72" s="55" t="n">
        <v>2.0155</v>
      </c>
      <c r="J72" s="55" t="n">
        <v>-3.8909</v>
      </c>
      <c r="K72" s="55" t="n">
        <v>0</v>
      </c>
      <c r="L72" s="55" t="n">
        <v>0</v>
      </c>
      <c r="M72" s="55" t="n">
        <v>2.1876</v>
      </c>
      <c r="N72" s="55" t="n">
        <v>18.6998175217125</v>
      </c>
      <c r="O72" s="55" t="n">
        <v>42.1812063182004</v>
      </c>
    </row>
    <row r="73" customFormat="false" ht="15" hidden="false" customHeight="true" outlineLevel="0" collapsed="false">
      <c r="A73" s="10" t="s">
        <v>507</v>
      </c>
      <c r="B73" s="10" t="s">
        <v>508</v>
      </c>
      <c r="C73" s="55" t="n">
        <v>6.78587066103006</v>
      </c>
      <c r="D73" s="55" t="n">
        <v>0.082875</v>
      </c>
      <c r="E73" s="55" t="n">
        <v>0</v>
      </c>
      <c r="F73" s="55" t="n">
        <v>0.091</v>
      </c>
      <c r="G73" s="55" t="n">
        <v>2.71961770373195</v>
      </c>
      <c r="H73" s="55" t="n">
        <v>7.34273</v>
      </c>
      <c r="I73" s="55" t="n">
        <v>0.82</v>
      </c>
      <c r="J73" s="55" t="n">
        <v>-2.6383</v>
      </c>
      <c r="K73" s="55" t="n">
        <v>0</v>
      </c>
      <c r="L73" s="55" t="n">
        <v>0</v>
      </c>
      <c r="M73" s="55" t="n">
        <v>1.50492</v>
      </c>
      <c r="N73" s="55" t="n">
        <v>16.708713364762</v>
      </c>
      <c r="O73" s="55" t="n">
        <v>35.3284711295717</v>
      </c>
    </row>
    <row r="74" customFormat="false" ht="15" hidden="false" customHeight="true" outlineLevel="0" collapsed="false">
      <c r="A74" s="10" t="s">
        <v>509</v>
      </c>
      <c r="B74" s="10" t="s">
        <v>509</v>
      </c>
      <c r="C74" s="55" t="n">
        <v>10.8428948079535</v>
      </c>
      <c r="D74" s="55" t="n">
        <v>0.186405</v>
      </c>
      <c r="E74" s="55" t="n">
        <v>0</v>
      </c>
      <c r="F74" s="55" t="n">
        <v>0</v>
      </c>
      <c r="G74" s="55" t="n">
        <v>0.00181359047769625</v>
      </c>
      <c r="H74" s="55" t="n">
        <v>0.2965</v>
      </c>
      <c r="I74" s="55" t="n">
        <v>2.3575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13.6851133984312</v>
      </c>
      <c r="O74" s="55" t="n">
        <v>26.3426651097728</v>
      </c>
    </row>
    <row r="75" customFormat="false" ht="15" hidden="false" customHeight="true" outlineLevel="0" collapsed="false">
      <c r="A75" s="10" t="s">
        <v>510</v>
      </c>
      <c r="B75" s="10" t="s">
        <v>511</v>
      </c>
      <c r="C75" s="55" t="n">
        <v>4.126452590621</v>
      </c>
      <c r="D75" s="55" t="n">
        <v>0.10455</v>
      </c>
      <c r="E75" s="55" t="n">
        <v>0</v>
      </c>
      <c r="F75" s="55" t="n">
        <v>0</v>
      </c>
      <c r="G75" s="55" t="n">
        <v>0.000601790033192104</v>
      </c>
      <c r="H75" s="55" t="n">
        <v>0.4783</v>
      </c>
      <c r="I75" s="55" t="n">
        <v>2.536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7.24590438065419</v>
      </c>
      <c r="O75" s="55" t="n">
        <v>12.8285664421103</v>
      </c>
    </row>
    <row r="76" customFormat="false" ht="15" hidden="false" customHeight="true" outlineLevel="0" collapsed="false">
      <c r="A76" s="10" t="s">
        <v>512</v>
      </c>
      <c r="B76" s="10" t="s">
        <v>513</v>
      </c>
      <c r="C76" s="55" t="n">
        <v>8.16530259771755</v>
      </c>
      <c r="D76" s="55" t="n">
        <v>0.038505</v>
      </c>
      <c r="E76" s="55" t="n">
        <v>0</v>
      </c>
      <c r="F76" s="55" t="n">
        <v>0</v>
      </c>
      <c r="G76" s="55" t="n">
        <v>0</v>
      </c>
      <c r="H76" s="55" t="n">
        <v>0.1014</v>
      </c>
      <c r="I76" s="55" t="n">
        <v>2.551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10.8562075977176</v>
      </c>
      <c r="O76" s="55" t="n">
        <v>20.541319208743</v>
      </c>
    </row>
    <row r="77" customFormat="false" ht="15" hidden="false" customHeight="true" outlineLevel="0" collapsed="false">
      <c r="A77" s="10" t="s">
        <v>514</v>
      </c>
      <c r="B77" s="10" t="s">
        <v>515</v>
      </c>
      <c r="C77" s="55" t="n">
        <v>6.05064483906397</v>
      </c>
      <c r="D77" s="55" t="n">
        <v>0.068085</v>
      </c>
      <c r="E77" s="55" t="n">
        <v>0</v>
      </c>
      <c r="F77" s="55" t="n">
        <v>0</v>
      </c>
      <c r="G77" s="55" t="n">
        <v>0</v>
      </c>
      <c r="H77" s="55" t="n">
        <v>0.89235</v>
      </c>
      <c r="I77" s="55" t="n">
        <v>0.1145</v>
      </c>
      <c r="J77" s="55" t="n">
        <v>-1.807425</v>
      </c>
      <c r="K77" s="55" t="n">
        <v>0</v>
      </c>
      <c r="L77" s="55" t="n">
        <v>0</v>
      </c>
      <c r="M77" s="55" t="n">
        <v>0</v>
      </c>
      <c r="N77" s="55" t="n">
        <v>5.31815483906397</v>
      </c>
      <c r="O77" s="55" t="n">
        <v>13.7356605943219</v>
      </c>
    </row>
    <row r="78" customFormat="false" ht="15" hidden="false" customHeight="true" outlineLevel="0" collapsed="false">
      <c r="A78" s="10" t="s">
        <v>516</v>
      </c>
      <c r="B78" s="10" t="s">
        <v>517</v>
      </c>
      <c r="C78" s="55" t="n">
        <v>0.0418694481419326</v>
      </c>
      <c r="D78" s="55" t="n">
        <v>0.03467235</v>
      </c>
      <c r="E78" s="55" t="n">
        <v>0</v>
      </c>
      <c r="F78" s="55" t="n">
        <v>0</v>
      </c>
      <c r="G78" s="55" t="n">
        <v>0</v>
      </c>
      <c r="H78" s="55" t="n">
        <v>0.9824</v>
      </c>
      <c r="I78" s="55" t="n">
        <v>0.2815</v>
      </c>
      <c r="J78" s="55" t="n">
        <v>-2.685</v>
      </c>
      <c r="K78" s="55" t="n">
        <v>0</v>
      </c>
      <c r="L78" s="55" t="n">
        <v>0</v>
      </c>
      <c r="M78" s="55" t="n">
        <v>0.453</v>
      </c>
      <c r="N78" s="55" t="n">
        <v>-0.891558201858068</v>
      </c>
      <c r="O78" s="55" t="n">
        <v>1.21867732886846</v>
      </c>
    </row>
    <row r="79" customFormat="false" ht="15" hidden="false" customHeight="true" outlineLevel="0" collapsed="false">
      <c r="A79" s="10" t="s">
        <v>518</v>
      </c>
      <c r="B79" s="10" t="s">
        <v>519</v>
      </c>
      <c r="C79" s="55" t="n">
        <v>0.905144137057402</v>
      </c>
      <c r="D79" s="55" t="n">
        <v>0.21318</v>
      </c>
      <c r="E79" s="55" t="n">
        <v>0</v>
      </c>
      <c r="F79" s="55" t="n">
        <v>0</v>
      </c>
      <c r="G79" s="55" t="n">
        <v>0</v>
      </c>
      <c r="H79" s="55" t="n">
        <v>0.00305</v>
      </c>
      <c r="I79" s="55" t="n">
        <v>1.9405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3.0618741370574</v>
      </c>
      <c r="O79" s="55" t="n">
        <v>3.94208467914748</v>
      </c>
    </row>
    <row r="80" customFormat="false" ht="15" hidden="false" customHeight="true" outlineLevel="0" collapsed="false">
      <c r="A80" s="10" t="s">
        <v>520</v>
      </c>
      <c r="B80" s="10" t="s">
        <v>521</v>
      </c>
      <c r="C80" s="55" t="n">
        <v>2.07057368975533</v>
      </c>
      <c r="D80" s="55" t="n">
        <v>0.07497</v>
      </c>
      <c r="E80" s="55" t="n">
        <v>0</v>
      </c>
      <c r="F80" s="55" t="n">
        <v>0</v>
      </c>
      <c r="G80" s="55" t="n">
        <v>0</v>
      </c>
      <c r="H80" s="55" t="n">
        <v>0.06</v>
      </c>
      <c r="I80" s="55" t="n">
        <v>1.3475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3.55304368975533</v>
      </c>
      <c r="O80" s="55" t="n">
        <v>5.95208081914537</v>
      </c>
    </row>
    <row r="81" customFormat="false" ht="15" hidden="false" customHeight="true" outlineLevel="0" collapsed="false">
      <c r="A81" s="10" t="s">
        <v>522</v>
      </c>
      <c r="B81" s="10" t="s">
        <v>523</v>
      </c>
      <c r="C81" s="55" t="n">
        <v>6.01505059851175</v>
      </c>
      <c r="D81" s="55" t="n">
        <v>0.02704836</v>
      </c>
      <c r="E81" s="55" t="n">
        <v>0</v>
      </c>
      <c r="F81" s="55" t="n">
        <v>0</v>
      </c>
      <c r="G81" s="55" t="n">
        <v>0.0576352906047536</v>
      </c>
      <c r="H81" s="55" t="n">
        <v>6.71724</v>
      </c>
      <c r="I81" s="55" t="n">
        <v>1.468</v>
      </c>
      <c r="J81" s="55" t="n">
        <v>-1.0968</v>
      </c>
      <c r="K81" s="55" t="n">
        <v>0.84645456</v>
      </c>
      <c r="L81" s="55" t="n">
        <v>0</v>
      </c>
      <c r="M81" s="55" t="n">
        <v>1.71239985</v>
      </c>
      <c r="N81" s="55" t="n">
        <v>15.7470286591165</v>
      </c>
      <c r="O81" s="55" t="n">
        <v>36.106227125335</v>
      </c>
    </row>
    <row r="82" customFormat="false" ht="15" hidden="false" customHeight="true" outlineLevel="0" collapsed="false">
      <c r="A82" s="10" t="s">
        <v>525</v>
      </c>
      <c r="B82" s="10" t="s">
        <v>526</v>
      </c>
      <c r="C82" s="55" t="n">
        <v>4.7614327324494</v>
      </c>
      <c r="D82" s="55" t="n">
        <v>0.1275</v>
      </c>
      <c r="E82" s="55" t="n">
        <v>0</v>
      </c>
      <c r="F82" s="55" t="n">
        <v>0</v>
      </c>
      <c r="G82" s="55" t="n">
        <v>0.0180159142509884</v>
      </c>
      <c r="H82" s="55" t="n">
        <v>1.25392</v>
      </c>
      <c r="I82" s="55" t="n">
        <v>3.387</v>
      </c>
      <c r="J82" s="55" t="n">
        <v>-2.47365</v>
      </c>
      <c r="K82" s="55" t="n">
        <v>0</v>
      </c>
      <c r="L82" s="55" t="n">
        <v>0</v>
      </c>
      <c r="M82" s="55" t="n">
        <v>0</v>
      </c>
      <c r="N82" s="55" t="n">
        <v>7.07421864670039</v>
      </c>
      <c r="O82" s="55" t="n">
        <v>18.0162997157389</v>
      </c>
    </row>
    <row r="83" customFormat="false" ht="15" hidden="false" customHeight="true" outlineLevel="0" collapsed="false">
      <c r="A83" s="10" t="s">
        <v>527</v>
      </c>
      <c r="B83" s="10" t="s">
        <v>528</v>
      </c>
      <c r="C83" s="55" t="n">
        <v>8.42387295366871</v>
      </c>
      <c r="D83" s="55" t="n">
        <v>0</v>
      </c>
      <c r="E83" s="55" t="n">
        <v>0</v>
      </c>
      <c r="F83" s="55" t="n">
        <v>0</v>
      </c>
      <c r="G83" s="55" t="n">
        <v>0.0653134474462911</v>
      </c>
      <c r="H83" s="55" t="n">
        <v>3.98757</v>
      </c>
      <c r="I83" s="55" t="n">
        <v>2.383</v>
      </c>
      <c r="J83" s="55" t="n">
        <v>-0.8684</v>
      </c>
      <c r="K83" s="55" t="n">
        <v>0.812262465</v>
      </c>
      <c r="L83" s="55" t="n">
        <v>0</v>
      </c>
      <c r="M83" s="55" t="n">
        <v>0</v>
      </c>
      <c r="N83" s="55" t="n">
        <v>14.803618866115</v>
      </c>
      <c r="O83" s="55" t="n">
        <v>33.8622443378886</v>
      </c>
    </row>
    <row r="84" customFormat="false" ht="15" hidden="false" customHeight="true" outlineLevel="0" collapsed="false">
      <c r="A84" s="10" t="s">
        <v>530</v>
      </c>
      <c r="B84" s="10" t="s">
        <v>531</v>
      </c>
      <c r="C84" s="55" t="n">
        <v>6.62032066695216</v>
      </c>
      <c r="D84" s="55" t="n">
        <v>0</v>
      </c>
      <c r="E84" s="55" t="n">
        <v>0</v>
      </c>
      <c r="F84" s="55" t="n">
        <v>0</v>
      </c>
      <c r="G84" s="55" t="n">
        <v>0.334212004900089</v>
      </c>
      <c r="H84" s="55" t="n">
        <v>6.22799</v>
      </c>
      <c r="I84" s="55" t="n">
        <v>4.2615</v>
      </c>
      <c r="J84" s="55" t="n">
        <v>-1.7625</v>
      </c>
      <c r="K84" s="55" t="n">
        <v>2.042215875</v>
      </c>
      <c r="L84" s="55" t="n">
        <v>0</v>
      </c>
      <c r="M84" s="55" t="n">
        <v>0</v>
      </c>
      <c r="N84" s="55" t="n">
        <v>17.7237385468523</v>
      </c>
      <c r="O84" s="55" t="n">
        <v>38.8278909080679</v>
      </c>
    </row>
    <row r="85" customFormat="false" ht="15" hidden="false" customHeight="true" outlineLevel="0" collapsed="false">
      <c r="A85" s="10" t="s">
        <v>532</v>
      </c>
      <c r="B85" s="10" t="s">
        <v>533</v>
      </c>
      <c r="C85" s="55" t="n">
        <v>3.52622666088058</v>
      </c>
      <c r="D85" s="55" t="n">
        <v>0.01746801</v>
      </c>
      <c r="E85" s="55" t="n">
        <v>0</v>
      </c>
      <c r="F85" s="55" t="n">
        <v>0</v>
      </c>
      <c r="G85" s="55" t="n">
        <v>0.00181359047769625</v>
      </c>
      <c r="H85" s="55" t="n">
        <v>3.38948</v>
      </c>
      <c r="I85" s="55" t="n">
        <v>1.623</v>
      </c>
      <c r="J85" s="55" t="n">
        <v>-0.71865</v>
      </c>
      <c r="K85" s="55" t="n">
        <v>0</v>
      </c>
      <c r="L85" s="55" t="n">
        <v>0</v>
      </c>
      <c r="M85" s="55" t="n">
        <v>0</v>
      </c>
      <c r="N85" s="55" t="n">
        <v>7.83933826135828</v>
      </c>
      <c r="O85" s="55" t="n">
        <v>16.8793421246562</v>
      </c>
    </row>
    <row r="86" customFormat="false" ht="15" hidden="false" customHeight="true" outlineLevel="0" collapsed="false">
      <c r="A86" s="10" t="s">
        <v>534</v>
      </c>
      <c r="B86" s="10" t="s">
        <v>534</v>
      </c>
      <c r="C86" s="55" t="n">
        <v>0</v>
      </c>
      <c r="D86" s="55" t="n">
        <v>0</v>
      </c>
      <c r="E86" s="55" t="n">
        <v>0</v>
      </c>
      <c r="F86" s="55" t="n">
        <v>0</v>
      </c>
      <c r="G86" s="55" t="n">
        <v>0.036022056627971</v>
      </c>
      <c r="H86" s="55" t="n">
        <v>2.36446</v>
      </c>
      <c r="I86" s="55" t="n">
        <v>4.6565</v>
      </c>
      <c r="J86" s="55" t="n">
        <v>-0.30925</v>
      </c>
      <c r="K86" s="55" t="n">
        <v>0</v>
      </c>
      <c r="L86" s="55" t="n">
        <v>0</v>
      </c>
      <c r="M86" s="55" t="n">
        <v>0</v>
      </c>
      <c r="N86" s="55" t="n">
        <v>6.74773205662797</v>
      </c>
      <c r="O86" s="55" t="n">
        <v>12.0694826302123</v>
      </c>
    </row>
    <row r="87" customFormat="false" ht="15" hidden="false" customHeight="true" outlineLevel="0" collapsed="false">
      <c r="A87" s="10" t="s">
        <v>535</v>
      </c>
      <c r="B87" s="10" t="s">
        <v>535</v>
      </c>
      <c r="C87" s="55" t="n">
        <v>8.20166141256532</v>
      </c>
      <c r="D87" s="55" t="n">
        <v>0.168578193223049</v>
      </c>
      <c r="E87" s="55" t="n">
        <v>0</v>
      </c>
      <c r="F87" s="55" t="n">
        <v>0</v>
      </c>
      <c r="G87" s="55" t="n">
        <v>0.485687756499047</v>
      </c>
      <c r="H87" s="55" t="n">
        <v>12.9374459147654</v>
      </c>
      <c r="I87" s="55" t="n">
        <v>4.797</v>
      </c>
      <c r="J87" s="55" t="n">
        <v>-2.29915</v>
      </c>
      <c r="K87" s="55" t="n">
        <v>0</v>
      </c>
      <c r="L87" s="55" t="n">
        <v>0</v>
      </c>
      <c r="M87" s="55" t="n">
        <v>0</v>
      </c>
      <c r="N87" s="55" t="n">
        <v>24.2912232770528</v>
      </c>
      <c r="O87" s="55" t="n">
        <v>49.4865221183526</v>
      </c>
    </row>
    <row r="88" customFormat="false" ht="15" hidden="false" customHeight="true" outlineLevel="0" collapsed="false">
      <c r="A88" s="10" t="s">
        <v>537</v>
      </c>
      <c r="B88" s="10" t="s">
        <v>537</v>
      </c>
      <c r="C88" s="55" t="n">
        <v>1.87618873818675</v>
      </c>
      <c r="D88" s="55" t="n">
        <v>0.0479859787220958</v>
      </c>
      <c r="E88" s="55" t="n">
        <v>0</v>
      </c>
      <c r="F88" s="55" t="n">
        <v>0</v>
      </c>
      <c r="G88" s="55" t="n">
        <v>0.372928036919959</v>
      </c>
      <c r="H88" s="55" t="n">
        <v>8.70410975032287</v>
      </c>
      <c r="I88" s="55" t="n">
        <v>2.175</v>
      </c>
      <c r="J88" s="55" t="n">
        <v>-1.00925</v>
      </c>
      <c r="K88" s="55" t="n">
        <v>0</v>
      </c>
      <c r="L88" s="55" t="n">
        <v>0</v>
      </c>
      <c r="M88" s="55" t="n">
        <v>0</v>
      </c>
      <c r="N88" s="55" t="n">
        <v>12.1669625041517</v>
      </c>
      <c r="O88" s="55" t="n">
        <v>23.6855154941576</v>
      </c>
    </row>
    <row r="89" customFormat="false" ht="15" hidden="false" customHeight="true" outlineLevel="0" collapsed="false">
      <c r="A89" s="10" t="s">
        <v>538</v>
      </c>
      <c r="B89" s="10" t="s">
        <v>539</v>
      </c>
      <c r="C89" s="55" t="n">
        <v>2.13919200573206</v>
      </c>
      <c r="D89" s="55" t="n">
        <v>0.0935000000000002</v>
      </c>
      <c r="E89" s="55" t="n">
        <v>0</v>
      </c>
      <c r="F89" s="55" t="n">
        <v>0</v>
      </c>
      <c r="G89" s="55" t="n">
        <v>0.0832622555795959</v>
      </c>
      <c r="H89" s="55" t="n">
        <v>6.43542832544126</v>
      </c>
      <c r="I89" s="55" t="n">
        <v>0</v>
      </c>
      <c r="J89" s="55" t="n">
        <v>-0.85305</v>
      </c>
      <c r="K89" s="55" t="n">
        <v>0</v>
      </c>
      <c r="L89" s="55" t="n">
        <v>0</v>
      </c>
      <c r="M89" s="55" t="n">
        <v>0</v>
      </c>
      <c r="N89" s="55" t="n">
        <v>7.89833258675291</v>
      </c>
      <c r="O89" s="55" t="n">
        <v>17.147773666848</v>
      </c>
    </row>
    <row r="90" customFormat="false" ht="15" hidden="false" customHeight="true" outlineLevel="0" collapsed="false">
      <c r="A90" s="10" t="s">
        <v>540</v>
      </c>
      <c r="B90" s="10" t="s">
        <v>541</v>
      </c>
      <c r="C90" s="55" t="n">
        <v>2.64705751777069</v>
      </c>
      <c r="D90" s="55" t="n">
        <v>0</v>
      </c>
      <c r="E90" s="55" t="n">
        <v>0</v>
      </c>
      <c r="F90" s="55" t="n">
        <v>0</v>
      </c>
      <c r="G90" s="55" t="n">
        <v>0.0576352906047536</v>
      </c>
      <c r="H90" s="55" t="n">
        <v>2.00395</v>
      </c>
      <c r="I90" s="55" t="n">
        <v>3.9115</v>
      </c>
      <c r="J90" s="55" t="n">
        <v>-1.5898</v>
      </c>
      <c r="K90" s="55" t="n">
        <v>0</v>
      </c>
      <c r="L90" s="55" t="n">
        <v>0</v>
      </c>
      <c r="M90" s="55" t="n">
        <v>0</v>
      </c>
      <c r="N90" s="55" t="n">
        <v>7.03034280837544</v>
      </c>
      <c r="O90" s="55" t="n">
        <v>16.0927229044831</v>
      </c>
    </row>
    <row r="91" customFormat="false" ht="15" hidden="false" customHeight="true" outlineLevel="0" collapsed="false">
      <c r="A91" s="10" t="s">
        <v>543</v>
      </c>
      <c r="B91" s="10" t="s">
        <v>544</v>
      </c>
      <c r="C91" s="55" t="n">
        <v>0</v>
      </c>
      <c r="D91" s="55" t="n">
        <v>0</v>
      </c>
      <c r="E91" s="55" t="n">
        <v>0</v>
      </c>
      <c r="F91" s="55" t="n">
        <v>0</v>
      </c>
      <c r="G91" s="55" t="n">
        <v>0.140237436832629</v>
      </c>
      <c r="H91" s="55" t="n">
        <v>0.61442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0.754657436832629</v>
      </c>
      <c r="O91" s="55" t="n">
        <v>1.72029002613064</v>
      </c>
    </row>
    <row r="92" customFormat="false" ht="15" hidden="false" customHeight="true" outlineLevel="0" collapsed="false">
      <c r="B92" s="7" t="s">
        <v>1045</v>
      </c>
      <c r="C92" s="56" t="n">
        <v>155.370670773866</v>
      </c>
      <c r="D92" s="56" t="n">
        <v>2.62840789194515</v>
      </c>
      <c r="E92" s="56" t="n">
        <v>0</v>
      </c>
      <c r="F92" s="56" t="n">
        <v>0.658</v>
      </c>
      <c r="G92" s="56" t="n">
        <v>9.7199565907592</v>
      </c>
      <c r="H92" s="56" t="n">
        <v>95.2256939905295</v>
      </c>
      <c r="I92" s="56" t="n">
        <v>63.968</v>
      </c>
      <c r="J92" s="56" t="n">
        <v>-59.5441</v>
      </c>
      <c r="K92" s="56" t="n">
        <v>3.7009329</v>
      </c>
      <c r="L92" s="56" t="n">
        <v>16.2063429983909</v>
      </c>
      <c r="M92" s="56" t="n">
        <v>8.34079485</v>
      </c>
      <c r="N92" s="56" t="n">
        <v>296.274699995491</v>
      </c>
      <c r="O92" s="56" t="n">
        <v>643.760881553934</v>
      </c>
    </row>
    <row r="93" customFormat="false" ht="15" hidden="false" customHeight="true" outlineLevel="0" collapsed="false">
      <c r="B93" s="7" t="s">
        <v>1046</v>
      </c>
      <c r="C93" s="57" t="n">
        <v>1.03303220556875</v>
      </c>
      <c r="D93" s="57" t="n">
        <v>0.0195446461842821</v>
      </c>
      <c r="E93" s="57" t="n">
        <v>0</v>
      </c>
      <c r="F93" s="57" t="n">
        <v>0.00243748105386259</v>
      </c>
      <c r="G93" s="57" t="n">
        <v>0.0497874915173317</v>
      </c>
      <c r="H93" s="57" t="n">
        <v>0.608476544012223</v>
      </c>
      <c r="I93" s="57" t="n">
        <v>0.41335592474829</v>
      </c>
      <c r="J93" s="57" t="n">
        <v>-0.32421399767388</v>
      </c>
      <c r="K93" s="57" t="n">
        <v>0.0247395833333333</v>
      </c>
      <c r="L93" s="57" t="n">
        <v>0.0370230983935314</v>
      </c>
      <c r="M93" s="57" t="n">
        <v>0.0528536605221861</v>
      </c>
      <c r="N93" s="57" t="n">
        <v>1.91703663765991</v>
      </c>
      <c r="O93" s="57" t="n">
        <v>4.13739936594611</v>
      </c>
    </row>
    <row r="94" customFormat="false" ht="15" hidden="false" customHeight="true" outlineLevel="0" collapsed="false">
      <c r="B94" s="7" t="s">
        <v>1047</v>
      </c>
      <c r="C94" s="58" t="n">
        <v>4</v>
      </c>
      <c r="D94" s="58" t="n">
        <v>0</v>
      </c>
      <c r="E94" s="58" t="n">
        <v>0</v>
      </c>
      <c r="F94" s="58" t="n">
        <v>0</v>
      </c>
      <c r="G94" s="58" t="n">
        <v>0</v>
      </c>
      <c r="H94" s="58" t="n">
        <v>1</v>
      </c>
      <c r="I94" s="58" t="n">
        <v>0</v>
      </c>
      <c r="J94" s="58" t="n">
        <v>0</v>
      </c>
      <c r="K94" s="58" t="n">
        <v>0</v>
      </c>
      <c r="L94" s="58" t="n">
        <v>1</v>
      </c>
      <c r="M94" s="58" t="n">
        <v>0</v>
      </c>
      <c r="N94" s="58" t="n">
        <v>7</v>
      </c>
      <c r="O94" s="58" t="n">
        <v>13</v>
      </c>
    </row>
    <row r="97" customFormat="false" ht="15" hidden="false" customHeight="true" outlineLevel="0" collapsed="false">
      <c r="A97" s="9" t="s">
        <v>1050</v>
      </c>
    </row>
    <row r="98" customFormat="false" ht="39.75" hidden="false" customHeight="true" outlineLevel="0" collapsed="false">
      <c r="A98" s="21" t="s">
        <v>51</v>
      </c>
      <c r="B98" s="21" t="s">
        <v>52</v>
      </c>
      <c r="C98" s="21" t="s">
        <v>1033</v>
      </c>
      <c r="D98" s="21" t="s">
        <v>1034</v>
      </c>
      <c r="E98" s="21" t="s">
        <v>1035</v>
      </c>
      <c r="F98" s="21" t="s">
        <v>1036</v>
      </c>
      <c r="G98" s="21" t="s">
        <v>1037</v>
      </c>
      <c r="H98" s="21" t="s">
        <v>1038</v>
      </c>
      <c r="I98" s="21" t="s">
        <v>891</v>
      </c>
      <c r="J98" s="21" t="s">
        <v>1039</v>
      </c>
      <c r="K98" s="21" t="s">
        <v>1040</v>
      </c>
      <c r="L98" s="21" t="s">
        <v>1041</v>
      </c>
      <c r="M98" s="21" t="s">
        <v>1042</v>
      </c>
      <c r="N98" s="21" t="s">
        <v>1043</v>
      </c>
      <c r="O98" s="21" t="s">
        <v>1044</v>
      </c>
    </row>
    <row r="99" customFormat="false" ht="15" hidden="false" customHeight="true" outlineLevel="0" collapsed="false">
      <c r="A99" s="10" t="s">
        <v>496</v>
      </c>
      <c r="B99" s="10" t="s">
        <v>497</v>
      </c>
      <c r="C99" s="55" t="n">
        <v>0.249</v>
      </c>
      <c r="D99" s="55" t="n">
        <v>0.211752</v>
      </c>
      <c r="E99" s="55" t="n">
        <v>0</v>
      </c>
      <c r="F99" s="55" t="n">
        <v>0.0364</v>
      </c>
      <c r="G99" s="55" t="n">
        <v>0.782157631967335</v>
      </c>
      <c r="H99" s="55" t="n">
        <v>3.36179</v>
      </c>
      <c r="I99" s="55" t="n">
        <v>2.70465</v>
      </c>
      <c r="J99" s="55" t="n">
        <v>0</v>
      </c>
      <c r="K99" s="55" t="n">
        <v>0</v>
      </c>
      <c r="L99" s="55" t="n">
        <v>0</v>
      </c>
      <c r="M99" s="55" t="n">
        <v>0.082203</v>
      </c>
      <c r="N99" s="55" t="n">
        <v>7.42795263196734</v>
      </c>
      <c r="O99" s="55" t="n">
        <v>35.7857348899333</v>
      </c>
    </row>
    <row r="100" customFormat="false" ht="15" hidden="false" customHeight="true" outlineLevel="0" collapsed="false">
      <c r="A100" s="10" t="s">
        <v>499</v>
      </c>
      <c r="B100" s="10" t="s">
        <v>500</v>
      </c>
      <c r="C100" s="55" t="n">
        <v>0.1376</v>
      </c>
      <c r="D100" s="55" t="n">
        <v>0.127245</v>
      </c>
      <c r="E100" s="55" t="n">
        <v>0</v>
      </c>
      <c r="F100" s="55" t="n">
        <v>0.0364</v>
      </c>
      <c r="G100" s="55" t="n">
        <v>1.61586550922658</v>
      </c>
      <c r="H100" s="55" t="n">
        <v>1.35954</v>
      </c>
      <c r="I100" s="55" t="n">
        <v>1.24965</v>
      </c>
      <c r="J100" s="55" t="n">
        <v>0</v>
      </c>
      <c r="K100" s="55" t="n">
        <v>0</v>
      </c>
      <c r="L100" s="55" t="n">
        <v>1.73138049212771</v>
      </c>
      <c r="M100" s="55" t="n">
        <v>0</v>
      </c>
      <c r="N100" s="55" t="n">
        <v>6.2576810013543</v>
      </c>
      <c r="O100" s="55" t="n">
        <v>32.6076501757618</v>
      </c>
    </row>
    <row r="101" customFormat="false" ht="15" hidden="false" customHeight="true" outlineLevel="0" collapsed="false">
      <c r="A101" s="10" t="s">
        <v>501</v>
      </c>
      <c r="B101" s="10" t="s">
        <v>502</v>
      </c>
      <c r="C101" s="55" t="n">
        <v>0.142</v>
      </c>
      <c r="D101" s="55" t="n">
        <v>0.027234</v>
      </c>
      <c r="E101" s="55" t="n">
        <v>0</v>
      </c>
      <c r="F101" s="55" t="n">
        <v>0.0484</v>
      </c>
      <c r="G101" s="55" t="n">
        <v>1.6375306592183</v>
      </c>
      <c r="H101" s="55" t="n">
        <v>1.048585</v>
      </c>
      <c r="I101" s="55" t="n">
        <v>0.55785</v>
      </c>
      <c r="J101" s="55" t="n">
        <v>0</v>
      </c>
      <c r="K101" s="55" t="n">
        <v>0</v>
      </c>
      <c r="L101" s="55" t="n">
        <v>0</v>
      </c>
      <c r="M101" s="55" t="n">
        <v>0.083322</v>
      </c>
      <c r="N101" s="55" t="n">
        <v>3.5449216592183</v>
      </c>
      <c r="O101" s="55" t="n">
        <v>21.4226446742575</v>
      </c>
    </row>
    <row r="102" customFormat="false" ht="15" hidden="false" customHeight="true" outlineLevel="0" collapsed="false">
      <c r="A102" s="10" t="s">
        <v>503</v>
      </c>
      <c r="B102" s="10" t="s">
        <v>504</v>
      </c>
      <c r="C102" s="55" t="n">
        <v>0.2574</v>
      </c>
      <c r="D102" s="55" t="n">
        <v>0.172737</v>
      </c>
      <c r="E102" s="55" t="n">
        <v>0</v>
      </c>
      <c r="F102" s="55" t="n">
        <v>0.0468</v>
      </c>
      <c r="G102" s="55" t="n">
        <v>0.0668261982798583</v>
      </c>
      <c r="H102" s="55" t="n">
        <v>0.946995</v>
      </c>
      <c r="I102" s="55" t="n">
        <v>1.8903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3.38105819827986</v>
      </c>
      <c r="O102" s="55" t="n">
        <v>26.2153923100238</v>
      </c>
    </row>
    <row r="103" customFormat="false" ht="15" hidden="false" customHeight="true" outlineLevel="0" collapsed="false">
      <c r="A103" s="10" t="s">
        <v>505</v>
      </c>
      <c r="B103" s="10" t="s">
        <v>506</v>
      </c>
      <c r="C103" s="55" t="n">
        <v>0.133652096573801</v>
      </c>
      <c r="D103" s="55" t="n">
        <v>0.103122</v>
      </c>
      <c r="E103" s="55" t="n">
        <v>0</v>
      </c>
      <c r="F103" s="55" t="n">
        <v>0.0364</v>
      </c>
      <c r="G103" s="55" t="n">
        <v>0.422600427080511</v>
      </c>
      <c r="H103" s="55" t="n">
        <v>2.610815</v>
      </c>
      <c r="I103" s="55" t="n">
        <v>0.60465</v>
      </c>
      <c r="J103" s="55" t="n">
        <v>0</v>
      </c>
      <c r="K103" s="55" t="n">
        <v>0</v>
      </c>
      <c r="L103" s="55" t="n">
        <v>0</v>
      </c>
      <c r="M103" s="55" t="n">
        <v>0.14584</v>
      </c>
      <c r="N103" s="55" t="n">
        <v>4.05707952365431</v>
      </c>
      <c r="O103" s="55" t="n">
        <v>22.4323123184891</v>
      </c>
    </row>
    <row r="104" customFormat="false" ht="15" hidden="false" customHeight="true" outlineLevel="0" collapsed="false">
      <c r="A104" s="10" t="s">
        <v>507</v>
      </c>
      <c r="B104" s="10" t="s">
        <v>508</v>
      </c>
      <c r="C104" s="55" t="n">
        <v>0.0658</v>
      </c>
      <c r="D104" s="55" t="n">
        <v>0.03927</v>
      </c>
      <c r="E104" s="55" t="n">
        <v>0</v>
      </c>
      <c r="F104" s="55" t="n">
        <v>0.0364</v>
      </c>
      <c r="G104" s="55" t="n">
        <v>2.27961770373195</v>
      </c>
      <c r="H104" s="55" t="n">
        <v>2.201705</v>
      </c>
      <c r="I104" s="55" t="n">
        <v>0.246</v>
      </c>
      <c r="J104" s="55" t="n">
        <v>0</v>
      </c>
      <c r="K104" s="55" t="n">
        <v>0</v>
      </c>
      <c r="L104" s="55" t="n">
        <v>0</v>
      </c>
      <c r="M104" s="55" t="n">
        <v>0.100328</v>
      </c>
      <c r="N104" s="55" t="n">
        <v>4.96912070373195</v>
      </c>
      <c r="O104" s="55" t="n">
        <v>19.6614920261524</v>
      </c>
    </row>
    <row r="105" customFormat="false" ht="15" hidden="false" customHeight="true" outlineLevel="0" collapsed="false">
      <c r="A105" s="10" t="s">
        <v>509</v>
      </c>
      <c r="B105" s="10" t="s">
        <v>509</v>
      </c>
      <c r="C105" s="55" t="n">
        <v>0.1238</v>
      </c>
      <c r="D105" s="55" t="n">
        <v>0.088383</v>
      </c>
      <c r="E105" s="55" t="n">
        <v>0</v>
      </c>
      <c r="F105" s="55" t="n">
        <v>0</v>
      </c>
      <c r="G105" s="55" t="n">
        <v>0.00181359047769625</v>
      </c>
      <c r="H105" s="55" t="n">
        <v>0.088925</v>
      </c>
      <c r="I105" s="55" t="n">
        <v>0.70725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1.0101715904777</v>
      </c>
      <c r="O105" s="55" t="n">
        <v>10.0965510656596</v>
      </c>
    </row>
    <row r="106" customFormat="false" ht="15" hidden="false" customHeight="true" outlineLevel="0" collapsed="false">
      <c r="A106" s="10" t="s">
        <v>510</v>
      </c>
      <c r="B106" s="10" t="s">
        <v>511</v>
      </c>
      <c r="C106" s="55" t="n">
        <v>0.0572</v>
      </c>
      <c r="D106" s="55" t="n">
        <v>0.049164</v>
      </c>
      <c r="E106" s="55" t="n">
        <v>0</v>
      </c>
      <c r="F106" s="55" t="n">
        <v>0</v>
      </c>
      <c r="G106" s="55" t="n">
        <v>0.000601790033192104</v>
      </c>
      <c r="H106" s="55" t="n">
        <v>0.15075</v>
      </c>
      <c r="I106" s="55" t="n">
        <v>0.7608</v>
      </c>
      <c r="J106" s="55" t="n">
        <v>0</v>
      </c>
      <c r="K106" s="55" t="n">
        <v>0</v>
      </c>
      <c r="L106" s="55" t="n">
        <v>0</v>
      </c>
      <c r="M106" s="55" t="n">
        <v>0</v>
      </c>
      <c r="N106" s="55" t="n">
        <v>1.01851579003319</v>
      </c>
      <c r="O106" s="55" t="n">
        <v>5.05020090717489</v>
      </c>
    </row>
    <row r="107" customFormat="false" ht="15" hidden="false" customHeight="true" outlineLevel="0" collapsed="false">
      <c r="A107" s="10" t="s">
        <v>512</v>
      </c>
      <c r="B107" s="10" t="s">
        <v>513</v>
      </c>
      <c r="C107" s="55" t="n">
        <v>0.0562</v>
      </c>
      <c r="D107" s="55" t="n">
        <v>0.018156</v>
      </c>
      <c r="E107" s="55" t="n">
        <v>0</v>
      </c>
      <c r="F107" s="55" t="n">
        <v>0</v>
      </c>
      <c r="G107" s="55" t="n">
        <v>0</v>
      </c>
      <c r="H107" s="55" t="n">
        <v>0.03025</v>
      </c>
      <c r="I107" s="55" t="n">
        <v>0.7653</v>
      </c>
      <c r="J107" s="55" t="n">
        <v>0</v>
      </c>
      <c r="K107" s="55" t="n">
        <v>0</v>
      </c>
      <c r="L107" s="55" t="n">
        <v>0</v>
      </c>
      <c r="M107" s="55" t="n">
        <v>0</v>
      </c>
      <c r="N107" s="55" t="n">
        <v>0.869906</v>
      </c>
      <c r="O107" s="55" t="n">
        <v>7.49141457637394</v>
      </c>
    </row>
    <row r="108" customFormat="false" ht="15" hidden="false" customHeight="true" outlineLevel="0" collapsed="false">
      <c r="A108" s="10" t="s">
        <v>514</v>
      </c>
      <c r="B108" s="10" t="s">
        <v>515</v>
      </c>
      <c r="C108" s="55" t="n">
        <v>0.066</v>
      </c>
      <c r="D108" s="55" t="n">
        <v>0.032691</v>
      </c>
      <c r="E108" s="55" t="n">
        <v>0</v>
      </c>
      <c r="F108" s="55" t="n">
        <v>0</v>
      </c>
      <c r="G108" s="55" t="n">
        <v>0</v>
      </c>
      <c r="H108" s="55" t="n">
        <v>0.277775</v>
      </c>
      <c r="I108" s="55" t="n">
        <v>0.03435</v>
      </c>
      <c r="J108" s="55" t="n">
        <v>0</v>
      </c>
      <c r="K108" s="55" t="n">
        <v>0</v>
      </c>
      <c r="L108" s="55" t="n">
        <v>0</v>
      </c>
      <c r="M108" s="55" t="n">
        <v>0</v>
      </c>
      <c r="N108" s="55" t="n">
        <v>0.410816</v>
      </c>
      <c r="O108" s="55" t="n">
        <v>6.49941503464698</v>
      </c>
    </row>
    <row r="109" customFormat="false" ht="15" hidden="false" customHeight="true" outlineLevel="0" collapsed="false">
      <c r="A109" s="10" t="s">
        <v>516</v>
      </c>
      <c r="B109" s="10" t="s">
        <v>517</v>
      </c>
      <c r="C109" s="55" t="n">
        <v>0.011098</v>
      </c>
      <c r="D109" s="55" t="n">
        <v>0.01651329</v>
      </c>
      <c r="E109" s="55" t="n">
        <v>0</v>
      </c>
      <c r="F109" s="55" t="n">
        <v>0</v>
      </c>
      <c r="G109" s="55" t="n">
        <v>0</v>
      </c>
      <c r="H109" s="55" t="n">
        <v>0.321125</v>
      </c>
      <c r="I109" s="55" t="n">
        <v>0.08445</v>
      </c>
      <c r="J109" s="55" t="n">
        <v>0</v>
      </c>
      <c r="K109" s="55" t="n">
        <v>0</v>
      </c>
      <c r="L109" s="55" t="n">
        <v>0</v>
      </c>
      <c r="M109" s="55" t="n">
        <v>0.0302</v>
      </c>
      <c r="N109" s="55" t="n">
        <v>0.46338629</v>
      </c>
      <c r="O109" s="55" t="n">
        <v>2.01913909207173</v>
      </c>
    </row>
    <row r="110" customFormat="false" ht="15" hidden="false" customHeight="true" outlineLevel="0" collapsed="false">
      <c r="A110" s="10" t="s">
        <v>518</v>
      </c>
      <c r="B110" s="10" t="s">
        <v>519</v>
      </c>
      <c r="C110" s="55" t="n">
        <v>0.0746</v>
      </c>
      <c r="D110" s="55" t="n">
        <v>0.103122</v>
      </c>
      <c r="E110" s="55" t="n">
        <v>0</v>
      </c>
      <c r="F110" s="55" t="n">
        <v>0</v>
      </c>
      <c r="G110" s="55" t="n">
        <v>0</v>
      </c>
      <c r="H110" s="55" t="n">
        <v>0.000975</v>
      </c>
      <c r="I110" s="55" t="n">
        <v>0.58215</v>
      </c>
      <c r="J110" s="55" t="n">
        <v>0</v>
      </c>
      <c r="K110" s="55" t="n">
        <v>0</v>
      </c>
      <c r="L110" s="55" t="n">
        <v>0</v>
      </c>
      <c r="M110" s="55" t="n">
        <v>0</v>
      </c>
      <c r="N110" s="55" t="n">
        <v>0.760847</v>
      </c>
      <c r="O110" s="55" t="n">
        <v>1.37590967048086</v>
      </c>
    </row>
    <row r="111" customFormat="false" ht="15" hidden="false" customHeight="true" outlineLevel="0" collapsed="false">
      <c r="A111" s="10" t="s">
        <v>520</v>
      </c>
      <c r="B111" s="10" t="s">
        <v>521</v>
      </c>
      <c r="C111" s="55" t="n">
        <v>0.0318</v>
      </c>
      <c r="D111" s="55" t="n">
        <v>0.034986</v>
      </c>
      <c r="E111" s="55" t="n">
        <v>0</v>
      </c>
      <c r="F111" s="55" t="n">
        <v>0</v>
      </c>
      <c r="G111" s="55" t="n">
        <v>0</v>
      </c>
      <c r="H111" s="55" t="n">
        <v>0.0181</v>
      </c>
      <c r="I111" s="55" t="n">
        <v>0.40425</v>
      </c>
      <c r="J111" s="55" t="n">
        <v>0</v>
      </c>
      <c r="K111" s="55" t="n">
        <v>0</v>
      </c>
      <c r="L111" s="55" t="n">
        <v>0</v>
      </c>
      <c r="M111" s="55" t="n">
        <v>0</v>
      </c>
      <c r="N111" s="55" t="n">
        <v>0.489136</v>
      </c>
      <c r="O111" s="55" t="n">
        <v>2.2035198351318</v>
      </c>
    </row>
    <row r="112" customFormat="false" ht="15" hidden="false" customHeight="true" outlineLevel="0" collapsed="false">
      <c r="A112" s="10" t="s">
        <v>522</v>
      </c>
      <c r="B112" s="10" t="s">
        <v>523</v>
      </c>
      <c r="C112" s="55" t="n">
        <v>0.106072</v>
      </c>
      <c r="D112" s="55" t="n">
        <v>0.01352418</v>
      </c>
      <c r="E112" s="55" t="n">
        <v>0</v>
      </c>
      <c r="F112" s="55" t="n">
        <v>0</v>
      </c>
      <c r="G112" s="55" t="n">
        <v>0.0576352906047536</v>
      </c>
      <c r="H112" s="55" t="n">
        <v>2.03439</v>
      </c>
      <c r="I112" s="55" t="n">
        <v>0.4404</v>
      </c>
      <c r="J112" s="55" t="n">
        <v>0</v>
      </c>
      <c r="K112" s="55" t="n">
        <v>0.84645456</v>
      </c>
      <c r="L112" s="55" t="n">
        <v>0</v>
      </c>
      <c r="M112" s="55" t="n">
        <v>0.11415999</v>
      </c>
      <c r="N112" s="55" t="n">
        <v>3.61263602060475</v>
      </c>
      <c r="O112" s="55" t="n">
        <v>17.6920338380067</v>
      </c>
    </row>
    <row r="113" customFormat="false" ht="15" hidden="false" customHeight="true" outlineLevel="0" collapsed="false">
      <c r="A113" s="10" t="s">
        <v>525</v>
      </c>
      <c r="B113" s="10" t="s">
        <v>526</v>
      </c>
      <c r="C113" s="55" t="n">
        <v>0.1254</v>
      </c>
      <c r="D113" s="55" t="n">
        <v>0.06375</v>
      </c>
      <c r="E113" s="55" t="n">
        <v>0</v>
      </c>
      <c r="F113" s="55" t="n">
        <v>0</v>
      </c>
      <c r="G113" s="55" t="n">
        <v>0.0180159142509884</v>
      </c>
      <c r="H113" s="55" t="n">
        <v>0.35907</v>
      </c>
      <c r="I113" s="55" t="n">
        <v>1.0161</v>
      </c>
      <c r="J113" s="55" t="n">
        <v>0</v>
      </c>
      <c r="K113" s="55" t="n">
        <v>0</v>
      </c>
      <c r="L113" s="55" t="n">
        <v>0</v>
      </c>
      <c r="M113" s="55" t="n">
        <v>0</v>
      </c>
      <c r="N113" s="55" t="n">
        <v>1.58233591425099</v>
      </c>
      <c r="O113" s="55" t="n">
        <v>8.9869643372666</v>
      </c>
    </row>
    <row r="114" customFormat="false" ht="15" hidden="false" customHeight="true" outlineLevel="0" collapsed="false">
      <c r="A114" s="10" t="s">
        <v>527</v>
      </c>
      <c r="B114" s="10" t="s">
        <v>528</v>
      </c>
      <c r="C114" s="55" t="n">
        <v>0.130772469699611</v>
      </c>
      <c r="D114" s="55" t="n">
        <v>0</v>
      </c>
      <c r="E114" s="55" t="n">
        <v>0</v>
      </c>
      <c r="F114" s="55" t="n">
        <v>0</v>
      </c>
      <c r="G114" s="55" t="n">
        <v>0.0653134474462911</v>
      </c>
      <c r="H114" s="55" t="n">
        <v>1.229795</v>
      </c>
      <c r="I114" s="55" t="n">
        <v>0.7149</v>
      </c>
      <c r="J114" s="55" t="n">
        <v>0</v>
      </c>
      <c r="K114" s="55" t="n">
        <v>0.812262465</v>
      </c>
      <c r="L114" s="55" t="n">
        <v>0</v>
      </c>
      <c r="M114" s="55" t="n">
        <v>0</v>
      </c>
      <c r="N114" s="55" t="n">
        <v>2.9530433821459</v>
      </c>
      <c r="O114" s="55" t="n">
        <v>15.9838081430379</v>
      </c>
    </row>
    <row r="115" customFormat="false" ht="15" hidden="false" customHeight="true" outlineLevel="0" collapsed="false">
      <c r="A115" s="10" t="s">
        <v>530</v>
      </c>
      <c r="B115" s="10" t="s">
        <v>531</v>
      </c>
      <c r="C115" s="55" t="n">
        <v>0.07032872</v>
      </c>
      <c r="D115" s="55" t="n">
        <v>0</v>
      </c>
      <c r="E115" s="55" t="n">
        <v>0</v>
      </c>
      <c r="F115" s="55" t="n">
        <v>0</v>
      </c>
      <c r="G115" s="55" t="n">
        <v>0.304212004900089</v>
      </c>
      <c r="H115" s="55" t="n">
        <v>1.92169</v>
      </c>
      <c r="I115" s="55" t="n">
        <v>1.27845</v>
      </c>
      <c r="J115" s="55" t="n">
        <v>0</v>
      </c>
      <c r="K115" s="55" t="n">
        <v>2.042215875</v>
      </c>
      <c r="L115" s="55" t="n">
        <v>0</v>
      </c>
      <c r="M115" s="55" t="n">
        <v>0</v>
      </c>
      <c r="N115" s="55" t="n">
        <v>5.61689659990009</v>
      </c>
      <c r="O115" s="55" t="n">
        <v>21.2313186591731</v>
      </c>
    </row>
    <row r="116" customFormat="false" ht="15" hidden="false" customHeight="true" outlineLevel="0" collapsed="false">
      <c r="A116" s="10" t="s">
        <v>532</v>
      </c>
      <c r="B116" s="10" t="s">
        <v>533</v>
      </c>
      <c r="C116" s="55" t="n">
        <v>0.0557013228725513</v>
      </c>
      <c r="D116" s="55" t="n">
        <v>0.008734005</v>
      </c>
      <c r="E116" s="55" t="n">
        <v>0</v>
      </c>
      <c r="F116" s="55" t="n">
        <v>0</v>
      </c>
      <c r="G116" s="55" t="n">
        <v>0.00181359047769625</v>
      </c>
      <c r="H116" s="55" t="n">
        <v>1.01713</v>
      </c>
      <c r="I116" s="55" t="n">
        <v>0.4869</v>
      </c>
      <c r="J116" s="55" t="n">
        <v>0</v>
      </c>
      <c r="K116" s="55" t="n">
        <v>0</v>
      </c>
      <c r="L116" s="55" t="n">
        <v>0</v>
      </c>
      <c r="M116" s="55" t="n">
        <v>0</v>
      </c>
      <c r="N116" s="55" t="n">
        <v>1.57027891835025</v>
      </c>
      <c r="O116" s="55" t="n">
        <v>8.78414825784978</v>
      </c>
    </row>
    <row r="117" customFormat="false" ht="15" hidden="false" customHeight="true" outlineLevel="0" collapsed="false">
      <c r="A117" s="10" t="s">
        <v>534</v>
      </c>
      <c r="B117" s="10" t="s">
        <v>534</v>
      </c>
      <c r="C117" s="55" t="n">
        <v>0</v>
      </c>
      <c r="D117" s="55" t="n">
        <v>0</v>
      </c>
      <c r="E117" s="55" t="n">
        <v>0</v>
      </c>
      <c r="F117" s="55" t="n">
        <v>0</v>
      </c>
      <c r="G117" s="55" t="n">
        <v>0.036022056627971</v>
      </c>
      <c r="H117" s="55" t="n">
        <v>0.71711</v>
      </c>
      <c r="I117" s="55" t="n">
        <v>1.39695</v>
      </c>
      <c r="J117" s="55" t="n">
        <v>0</v>
      </c>
      <c r="K117" s="55" t="n">
        <v>0</v>
      </c>
      <c r="L117" s="55" t="n">
        <v>0</v>
      </c>
      <c r="M117" s="55" t="n">
        <v>0</v>
      </c>
      <c r="N117" s="55" t="n">
        <v>2.15008205662797</v>
      </c>
      <c r="O117" s="55" t="n">
        <v>6.39482677069223</v>
      </c>
    </row>
    <row r="118" customFormat="false" ht="15" hidden="false" customHeight="true" outlineLevel="0" collapsed="false">
      <c r="A118" s="10" t="s">
        <v>535</v>
      </c>
      <c r="B118" s="10" t="s">
        <v>535</v>
      </c>
      <c r="C118" s="55" t="n">
        <v>0.117461415489088</v>
      </c>
      <c r="D118" s="55" t="n">
        <v>0.0809175327470635</v>
      </c>
      <c r="E118" s="55" t="n">
        <v>0</v>
      </c>
      <c r="F118" s="55" t="n">
        <v>0</v>
      </c>
      <c r="G118" s="55" t="n">
        <v>0.455687756499047</v>
      </c>
      <c r="H118" s="55" t="n">
        <v>3.86572740421868</v>
      </c>
      <c r="I118" s="55" t="n">
        <v>1.4391</v>
      </c>
      <c r="J118" s="55" t="n">
        <v>0</v>
      </c>
      <c r="K118" s="55" t="n">
        <v>0</v>
      </c>
      <c r="L118" s="55" t="n">
        <v>0</v>
      </c>
      <c r="M118" s="55" t="n">
        <v>0</v>
      </c>
      <c r="N118" s="55" t="n">
        <v>5.95889410895388</v>
      </c>
      <c r="O118" s="55" t="n">
        <v>26.5968598869414</v>
      </c>
    </row>
    <row r="119" customFormat="false" ht="15" hidden="false" customHeight="true" outlineLevel="0" collapsed="false">
      <c r="A119" s="10" t="s">
        <v>537</v>
      </c>
      <c r="B119" s="10" t="s">
        <v>537</v>
      </c>
      <c r="C119" s="55" t="n">
        <v>0.0334542771047291</v>
      </c>
      <c r="D119" s="55" t="n">
        <v>0.0234598118196913</v>
      </c>
      <c r="E119" s="55" t="n">
        <v>0</v>
      </c>
      <c r="F119" s="55" t="n">
        <v>0</v>
      </c>
      <c r="G119" s="55" t="n">
        <v>0.342928036919959</v>
      </c>
      <c r="H119" s="55" t="n">
        <v>2.48911707152082</v>
      </c>
      <c r="I119" s="55" t="n">
        <v>0.6525</v>
      </c>
      <c r="J119" s="55" t="n">
        <v>0</v>
      </c>
      <c r="K119" s="55" t="n">
        <v>0</v>
      </c>
      <c r="L119" s="55" t="n">
        <v>0</v>
      </c>
      <c r="M119" s="55" t="n">
        <v>0</v>
      </c>
      <c r="N119" s="55" t="n">
        <v>3.5414591973652</v>
      </c>
      <c r="O119" s="55" t="n">
        <v>13.4823908625528</v>
      </c>
    </row>
    <row r="120" customFormat="false" ht="15" hidden="false" customHeight="true" outlineLevel="0" collapsed="false">
      <c r="A120" s="10" t="s">
        <v>538</v>
      </c>
      <c r="B120" s="10" t="s">
        <v>539</v>
      </c>
      <c r="C120" s="55" t="n">
        <v>0.0440000000000001</v>
      </c>
      <c r="D120" s="55" t="n">
        <v>0.0448800000000001</v>
      </c>
      <c r="E120" s="55" t="n">
        <v>0</v>
      </c>
      <c r="F120" s="55" t="n">
        <v>0</v>
      </c>
      <c r="G120" s="55" t="n">
        <v>0.0832622555795959</v>
      </c>
      <c r="H120" s="55" t="n">
        <v>1.83869380726893</v>
      </c>
      <c r="I120" s="55" t="n">
        <v>0</v>
      </c>
      <c r="J120" s="55" t="n">
        <v>0</v>
      </c>
      <c r="K120" s="55" t="n">
        <v>0</v>
      </c>
      <c r="L120" s="55" t="n">
        <v>0</v>
      </c>
      <c r="M120" s="55" t="n">
        <v>0</v>
      </c>
      <c r="N120" s="55" t="n">
        <v>2.01083606284853</v>
      </c>
      <c r="O120" s="55" t="n">
        <v>10.100212429938</v>
      </c>
    </row>
    <row r="121" customFormat="false" ht="15" hidden="false" customHeight="true" outlineLevel="0" collapsed="false">
      <c r="A121" s="10" t="s">
        <v>540</v>
      </c>
      <c r="B121" s="10" t="s">
        <v>541</v>
      </c>
      <c r="C121" s="55" t="n">
        <v>0.0694121788102782</v>
      </c>
      <c r="D121" s="55" t="n">
        <v>0</v>
      </c>
      <c r="E121" s="55" t="n">
        <v>0</v>
      </c>
      <c r="F121" s="55" t="n">
        <v>0</v>
      </c>
      <c r="G121" s="55" t="n">
        <v>0.0576352906047536</v>
      </c>
      <c r="H121" s="55" t="n">
        <v>0.6215</v>
      </c>
      <c r="I121" s="55" t="n">
        <v>1.17345</v>
      </c>
      <c r="J121" s="55" t="n">
        <v>0</v>
      </c>
      <c r="K121" s="55" t="n">
        <v>0</v>
      </c>
      <c r="L121" s="55" t="n">
        <v>0</v>
      </c>
      <c r="M121" s="55" t="n">
        <v>0</v>
      </c>
      <c r="N121" s="55" t="n">
        <v>1.92199746941503</v>
      </c>
      <c r="O121" s="55" t="n">
        <v>7.60953817535831</v>
      </c>
    </row>
    <row r="122" customFormat="false" ht="15" hidden="false" customHeight="true" outlineLevel="0" collapsed="false">
      <c r="A122" s="10" t="s">
        <v>543</v>
      </c>
      <c r="B122" s="10" t="s">
        <v>544</v>
      </c>
      <c r="C122" s="55" t="n">
        <v>0</v>
      </c>
      <c r="D122" s="55" t="n">
        <v>0</v>
      </c>
      <c r="E122" s="55" t="n">
        <v>0</v>
      </c>
      <c r="F122" s="55" t="n">
        <v>0</v>
      </c>
      <c r="G122" s="55" t="n">
        <v>0.125237436832629</v>
      </c>
      <c r="H122" s="55" t="n">
        <v>0.187545</v>
      </c>
      <c r="I122" s="55" t="n">
        <v>0</v>
      </c>
      <c r="J122" s="55" t="n">
        <v>0</v>
      </c>
      <c r="K122" s="55" t="n">
        <v>0</v>
      </c>
      <c r="L122" s="55" t="n">
        <v>0</v>
      </c>
      <c r="M122" s="55" t="n">
        <v>0</v>
      </c>
      <c r="N122" s="55" t="n">
        <v>0.312782436832629</v>
      </c>
      <c r="O122" s="55" t="n">
        <v>1.1274525073814</v>
      </c>
    </row>
    <row r="123" customFormat="false" ht="15" hidden="false" customHeight="true" outlineLevel="0" collapsed="false">
      <c r="B123" s="7" t="s">
        <v>1045</v>
      </c>
      <c r="C123" s="56" t="n">
        <v>2.15875248055006</v>
      </c>
      <c r="D123" s="56" t="n">
        <v>1.25964081956676</v>
      </c>
      <c r="E123" s="56" t="n">
        <v>0</v>
      </c>
      <c r="F123" s="56" t="n">
        <v>0.2408</v>
      </c>
      <c r="G123" s="56" t="n">
        <v>8.3547765907592</v>
      </c>
      <c r="H123" s="56" t="n">
        <v>28.6990982830084</v>
      </c>
      <c r="I123" s="56" t="n">
        <v>19.1904</v>
      </c>
      <c r="J123" s="56" t="n">
        <v>0</v>
      </c>
      <c r="K123" s="56" t="n">
        <v>3.7009329</v>
      </c>
      <c r="L123" s="56" t="n">
        <v>1.73138049212771</v>
      </c>
      <c r="M123" s="56" t="n">
        <v>0.55605299</v>
      </c>
      <c r="N123" s="56" t="n">
        <v>65.8918345560122</v>
      </c>
      <c r="O123" s="56" t="n">
        <v>330.850930444356</v>
      </c>
    </row>
    <row r="124" customFormat="false" ht="15" hidden="false" customHeight="true" outlineLevel="0" collapsed="false">
      <c r="B124" s="7" t="s">
        <v>1046</v>
      </c>
      <c r="C124" s="57" t="n">
        <v>0.0152441671425951</v>
      </c>
      <c r="D124" s="57" t="n">
        <v>0.00936768182733535</v>
      </c>
      <c r="E124" s="57" t="n">
        <v>0</v>
      </c>
      <c r="F124" s="57" t="n">
        <v>0.000902061575712225</v>
      </c>
      <c r="G124" s="57" t="n">
        <v>0.043243401082396</v>
      </c>
      <c r="H124" s="57" t="n">
        <v>0.183352666079804</v>
      </c>
      <c r="I124" s="57" t="n">
        <v>0.124006777424487</v>
      </c>
      <c r="J124" s="57" t="n">
        <v>0</v>
      </c>
      <c r="K124" s="57" t="n">
        <v>0.0247395833333333</v>
      </c>
      <c r="L124" s="57" t="n">
        <v>0.00395530751897882</v>
      </c>
      <c r="M124" s="57" t="n">
        <v>0.00352357736814574</v>
      </c>
      <c r="N124" s="57" t="n">
        <v>0.408335223352787</v>
      </c>
      <c r="O124" s="57" t="n">
        <v>2.07077340713219</v>
      </c>
    </row>
    <row r="125" customFormat="false" ht="15" hidden="false" customHeight="true" outlineLevel="0" collapsed="false">
      <c r="B125" s="7" t="s">
        <v>1047</v>
      </c>
      <c r="C125" s="58" t="n">
        <v>0</v>
      </c>
      <c r="D125" s="58" t="n">
        <v>0</v>
      </c>
      <c r="E125" s="58" t="n">
        <v>0</v>
      </c>
      <c r="F125" s="58" t="n">
        <v>0</v>
      </c>
      <c r="G125" s="58" t="n">
        <v>0</v>
      </c>
      <c r="H125" s="58" t="n">
        <v>0</v>
      </c>
      <c r="I125" s="58" t="n">
        <v>0</v>
      </c>
      <c r="J125" s="58" t="n">
        <v>0</v>
      </c>
      <c r="K125" s="58" t="n">
        <v>0</v>
      </c>
      <c r="L125" s="58" t="n">
        <v>0</v>
      </c>
      <c r="M125" s="58" t="n">
        <v>0</v>
      </c>
      <c r="N125" s="58" t="n">
        <v>0</v>
      </c>
      <c r="O125" s="58" t="n">
        <v>8</v>
      </c>
    </row>
    <row r="128" customFormat="false" ht="15" hidden="false" customHeight="true" outlineLevel="0" collapsed="false">
      <c r="A128" s="9" t="s">
        <v>1051</v>
      </c>
    </row>
    <row r="129" customFormat="false" ht="39.75" hidden="false" customHeight="true" outlineLevel="0" collapsed="false">
      <c r="A129" s="21" t="s">
        <v>51</v>
      </c>
      <c r="B129" s="21" t="s">
        <v>52</v>
      </c>
      <c r="C129" s="21" t="s">
        <v>1033</v>
      </c>
      <c r="D129" s="21" t="s">
        <v>1034</v>
      </c>
      <c r="E129" s="21" t="s">
        <v>1035</v>
      </c>
      <c r="F129" s="21" t="s">
        <v>1036</v>
      </c>
      <c r="G129" s="21" t="s">
        <v>1037</v>
      </c>
      <c r="H129" s="21" t="s">
        <v>1038</v>
      </c>
      <c r="I129" s="21" t="s">
        <v>891</v>
      </c>
      <c r="J129" s="21" t="s">
        <v>1039</v>
      </c>
      <c r="K129" s="21" t="s">
        <v>1040</v>
      </c>
      <c r="L129" s="21" t="s">
        <v>1041</v>
      </c>
      <c r="M129" s="21" t="s">
        <v>1042</v>
      </c>
      <c r="N129" s="21" t="s">
        <v>1043</v>
      </c>
      <c r="O129" s="21" t="s">
        <v>1044</v>
      </c>
    </row>
    <row r="130" customFormat="false" ht="15" hidden="false" customHeight="true" outlineLevel="0" collapsed="false">
      <c r="A130" s="10" t="s">
        <v>496</v>
      </c>
      <c r="B130" s="10" t="s">
        <v>497</v>
      </c>
      <c r="C130" s="55" t="n">
        <v>36.4429599121985</v>
      </c>
      <c r="D130" s="55" t="n">
        <v>3.7356</v>
      </c>
      <c r="E130" s="55" t="n">
        <v>0</v>
      </c>
      <c r="F130" s="55" t="n">
        <v>0.273</v>
      </c>
      <c r="G130" s="55" t="n">
        <v>3.50602488942233</v>
      </c>
      <c r="H130" s="55" t="n">
        <v>17.68396</v>
      </c>
      <c r="I130" s="55" t="n">
        <v>12.6217</v>
      </c>
      <c r="J130" s="55" t="n">
        <v>13.4012</v>
      </c>
      <c r="K130" s="55" t="n">
        <v>0</v>
      </c>
      <c r="L130" s="55" t="n">
        <v>0</v>
      </c>
      <c r="M130" s="55" t="n">
        <v>2.877105</v>
      </c>
      <c r="N130" s="55" t="n">
        <v>90.5415498016209</v>
      </c>
      <c r="O130" s="55" t="n">
        <v>167.342947321811</v>
      </c>
    </row>
    <row r="131" customFormat="false" ht="15" hidden="false" customHeight="true" outlineLevel="0" collapsed="false">
      <c r="A131" s="10" t="s">
        <v>499</v>
      </c>
      <c r="B131" s="10" t="s">
        <v>500</v>
      </c>
      <c r="C131" s="55" t="n">
        <v>17.0109044894332</v>
      </c>
      <c r="D131" s="55" t="n">
        <v>2.31825</v>
      </c>
      <c r="E131" s="55" t="n">
        <v>0</v>
      </c>
      <c r="F131" s="55" t="n">
        <v>0.273</v>
      </c>
      <c r="G131" s="55" t="n">
        <v>4.62006302508695</v>
      </c>
      <c r="H131" s="55" t="n">
        <v>7.077</v>
      </c>
      <c r="I131" s="55" t="n">
        <v>5.8317</v>
      </c>
      <c r="J131" s="55" t="n">
        <v>8.7135</v>
      </c>
      <c r="K131" s="55" t="n">
        <v>0</v>
      </c>
      <c r="L131" s="55" t="n">
        <v>26.6603133124681</v>
      </c>
      <c r="M131" s="55" t="n">
        <v>0</v>
      </c>
      <c r="N131" s="55" t="n">
        <v>72.5047308269883</v>
      </c>
      <c r="O131" s="55" t="n">
        <v>145.313356961789</v>
      </c>
    </row>
    <row r="132" customFormat="false" ht="15" hidden="false" customHeight="true" outlineLevel="0" collapsed="false">
      <c r="A132" s="10" t="s">
        <v>501</v>
      </c>
      <c r="B132" s="10" t="s">
        <v>502</v>
      </c>
      <c r="C132" s="55" t="n">
        <v>32.4861176092882</v>
      </c>
      <c r="D132" s="55" t="n">
        <v>0.4752</v>
      </c>
      <c r="E132" s="55" t="n">
        <v>1.1925</v>
      </c>
      <c r="F132" s="55" t="n">
        <v>0.453</v>
      </c>
      <c r="G132" s="55" t="n">
        <v>4.75311936064827</v>
      </c>
      <c r="H132" s="55" t="n">
        <v>5.86777</v>
      </c>
      <c r="I132" s="55" t="n">
        <v>2.6033</v>
      </c>
      <c r="J132" s="55" t="n">
        <v>7.169125</v>
      </c>
      <c r="K132" s="55" t="n">
        <v>0</v>
      </c>
      <c r="L132" s="55" t="n">
        <v>0</v>
      </c>
      <c r="M132" s="55" t="n">
        <v>2.91627</v>
      </c>
      <c r="N132" s="55" t="n">
        <v>57.9164019699365</v>
      </c>
      <c r="O132" s="55" t="n">
        <v>103.869533047288</v>
      </c>
    </row>
    <row r="133" customFormat="false" ht="15" hidden="false" customHeight="true" outlineLevel="0" collapsed="false">
      <c r="A133" s="10" t="s">
        <v>503</v>
      </c>
      <c r="B133" s="10" t="s">
        <v>504</v>
      </c>
      <c r="C133" s="55" t="n">
        <v>49.3841067525463</v>
      </c>
      <c r="D133" s="55" t="n">
        <v>3.021975</v>
      </c>
      <c r="E133" s="55" t="n">
        <v>0</v>
      </c>
      <c r="F133" s="55" t="n">
        <v>0.429</v>
      </c>
      <c r="G133" s="55" t="n">
        <v>0.449806074316856</v>
      </c>
      <c r="H133" s="55" t="n">
        <v>4.8184</v>
      </c>
      <c r="I133" s="55" t="n">
        <v>8.8214</v>
      </c>
      <c r="J133" s="55" t="n">
        <v>6.25815</v>
      </c>
      <c r="K133" s="55" t="n">
        <v>0</v>
      </c>
      <c r="L133" s="55" t="n">
        <v>0</v>
      </c>
      <c r="M133" s="55" t="n">
        <v>0</v>
      </c>
      <c r="N133" s="55" t="n">
        <v>73.1828378268631</v>
      </c>
      <c r="O133" s="55" t="n">
        <v>131.599095800657</v>
      </c>
    </row>
    <row r="134" customFormat="false" ht="15" hidden="false" customHeight="true" outlineLevel="0" collapsed="false">
      <c r="A134" s="10" t="s">
        <v>505</v>
      </c>
      <c r="B134" s="10" t="s">
        <v>506</v>
      </c>
      <c r="C134" s="55" t="n">
        <v>19.3038427243796</v>
      </c>
      <c r="D134" s="55" t="n">
        <v>1.7886</v>
      </c>
      <c r="E134" s="55" t="n">
        <v>0</v>
      </c>
      <c r="F134" s="55" t="n">
        <v>0.273</v>
      </c>
      <c r="G134" s="55" t="n">
        <v>1.5656789776147</v>
      </c>
      <c r="H134" s="55" t="n">
        <v>13.3488</v>
      </c>
      <c r="I134" s="55" t="n">
        <v>2.8217</v>
      </c>
      <c r="J134" s="55" t="n">
        <v>3.8909</v>
      </c>
      <c r="K134" s="55" t="n">
        <v>0</v>
      </c>
      <c r="L134" s="55" t="n">
        <v>0</v>
      </c>
      <c r="M134" s="55" t="n">
        <v>5.1044</v>
      </c>
      <c r="N134" s="55" t="n">
        <v>48.0969217019943</v>
      </c>
      <c r="O134" s="55" t="n">
        <v>92.1213851345239</v>
      </c>
    </row>
    <row r="135" customFormat="false" ht="15" hidden="false" customHeight="true" outlineLevel="0" collapsed="false">
      <c r="A135" s="10" t="s">
        <v>507</v>
      </c>
      <c r="B135" s="10" t="s">
        <v>508</v>
      </c>
      <c r="C135" s="55" t="n">
        <v>14.6877979317651</v>
      </c>
      <c r="D135" s="55" t="n">
        <v>0.705375</v>
      </c>
      <c r="E135" s="55" t="n">
        <v>0</v>
      </c>
      <c r="F135" s="55" t="n">
        <v>0.273</v>
      </c>
      <c r="G135" s="55" t="n">
        <v>6.98291149085271</v>
      </c>
      <c r="H135" s="55" t="n">
        <v>10.83874</v>
      </c>
      <c r="I135" s="55" t="n">
        <v>1.148</v>
      </c>
      <c r="J135" s="55" t="n">
        <v>2.6383</v>
      </c>
      <c r="K135" s="55" t="n">
        <v>0</v>
      </c>
      <c r="L135" s="55" t="n">
        <v>0</v>
      </c>
      <c r="M135" s="55" t="n">
        <v>3.51148</v>
      </c>
      <c r="N135" s="55" t="n">
        <v>40.7856044226178</v>
      </c>
      <c r="O135" s="55" t="n">
        <v>76.5949372910787</v>
      </c>
    </row>
    <row r="136" customFormat="false" ht="15" hidden="false" customHeight="true" outlineLevel="0" collapsed="false">
      <c r="A136" s="10" t="s">
        <v>509</v>
      </c>
      <c r="B136" s="10" t="s">
        <v>509</v>
      </c>
      <c r="C136" s="55" t="n">
        <v>23.2608539113012</v>
      </c>
      <c r="D136" s="55" t="n">
        <v>1.58565</v>
      </c>
      <c r="E136" s="55" t="n">
        <v>0</v>
      </c>
      <c r="F136" s="55" t="n">
        <v>0</v>
      </c>
      <c r="G136" s="55" t="n">
        <v>0.0398768010820675</v>
      </c>
      <c r="H136" s="55" t="n">
        <v>0.55757</v>
      </c>
      <c r="I136" s="55" t="n">
        <v>3.3005</v>
      </c>
      <c r="J136" s="55" t="n">
        <v>0</v>
      </c>
      <c r="K136" s="55" t="n">
        <v>0</v>
      </c>
      <c r="L136" s="55" t="n">
        <v>0</v>
      </c>
      <c r="M136" s="55" t="n">
        <v>0</v>
      </c>
      <c r="N136" s="55" t="n">
        <v>28.7444507123833</v>
      </c>
      <c r="O136" s="55" t="n">
        <v>47.1519017034361</v>
      </c>
    </row>
    <row r="137" customFormat="false" ht="15" hidden="false" customHeight="true" outlineLevel="0" collapsed="false">
      <c r="A137" s="10" t="s">
        <v>510</v>
      </c>
      <c r="B137" s="10" t="s">
        <v>511</v>
      </c>
      <c r="C137" s="55" t="n">
        <v>8.78099941617616</v>
      </c>
      <c r="D137" s="55" t="n">
        <v>0.89595</v>
      </c>
      <c r="E137" s="55" t="n">
        <v>0</v>
      </c>
      <c r="F137" s="55" t="n">
        <v>0</v>
      </c>
      <c r="G137" s="55" t="n">
        <v>0.0220130287290035</v>
      </c>
      <c r="H137" s="55" t="n">
        <v>0.80204</v>
      </c>
      <c r="I137" s="55" t="n">
        <v>3.5504</v>
      </c>
      <c r="J137" s="55" t="n">
        <v>0</v>
      </c>
      <c r="K137" s="55" t="n">
        <v>0</v>
      </c>
      <c r="L137" s="55" t="n">
        <v>0</v>
      </c>
      <c r="M137" s="55" t="n">
        <v>0</v>
      </c>
      <c r="N137" s="55" t="n">
        <v>14.0514024449052</v>
      </c>
      <c r="O137" s="55" t="n">
        <v>27.061055175598</v>
      </c>
    </row>
    <row r="138" customFormat="false" ht="15" hidden="false" customHeight="true" outlineLevel="0" collapsed="false">
      <c r="A138" s="10" t="s">
        <v>512</v>
      </c>
      <c r="B138" s="10" t="s">
        <v>513</v>
      </c>
      <c r="C138" s="55" t="n">
        <v>17.9884688863716</v>
      </c>
      <c r="D138" s="55" t="n">
        <v>0.329175</v>
      </c>
      <c r="E138" s="55" t="n">
        <v>0</v>
      </c>
      <c r="F138" s="55" t="n">
        <v>0</v>
      </c>
      <c r="G138" s="55" t="n">
        <v>0</v>
      </c>
      <c r="H138" s="55" t="n">
        <v>0.1841</v>
      </c>
      <c r="I138" s="55" t="n">
        <v>3.5714</v>
      </c>
      <c r="J138" s="55" t="n">
        <v>0</v>
      </c>
      <c r="K138" s="55" t="n">
        <v>0</v>
      </c>
      <c r="L138" s="55" t="n">
        <v>0</v>
      </c>
      <c r="M138" s="55" t="n">
        <v>0</v>
      </c>
      <c r="N138" s="55" t="n">
        <v>22.0731438863716</v>
      </c>
      <c r="O138" s="55" t="n">
        <v>38.9647721067832</v>
      </c>
    </row>
    <row r="139" customFormat="false" ht="15" hidden="false" customHeight="true" outlineLevel="0" collapsed="false">
      <c r="A139" s="10" t="s">
        <v>514</v>
      </c>
      <c r="B139" s="10" t="s">
        <v>515</v>
      </c>
      <c r="C139" s="55" t="n">
        <v>12.810787819929</v>
      </c>
      <c r="D139" s="55" t="n">
        <v>0.57255</v>
      </c>
      <c r="E139" s="55" t="n">
        <v>0</v>
      </c>
      <c r="F139" s="55" t="n">
        <v>0</v>
      </c>
      <c r="G139" s="55" t="n">
        <v>0</v>
      </c>
      <c r="H139" s="55" t="n">
        <v>1.73102</v>
      </c>
      <c r="I139" s="55" t="n">
        <v>0.1603</v>
      </c>
      <c r="J139" s="55" t="n">
        <v>1.807425</v>
      </c>
      <c r="K139" s="55" t="n">
        <v>0</v>
      </c>
      <c r="L139" s="55" t="n">
        <v>0</v>
      </c>
      <c r="M139" s="55" t="n">
        <v>0</v>
      </c>
      <c r="N139" s="55" t="n">
        <v>17.082082819929</v>
      </c>
      <c r="O139" s="55" t="n">
        <v>32.54502991394</v>
      </c>
    </row>
    <row r="140" customFormat="false" ht="15" hidden="false" customHeight="true" outlineLevel="0" collapsed="false">
      <c r="A140" s="10" t="s">
        <v>516</v>
      </c>
      <c r="B140" s="10" t="s">
        <v>517</v>
      </c>
      <c r="C140" s="55" t="n">
        <v>0.098963244166182</v>
      </c>
      <c r="D140" s="55" t="n">
        <v>0.2937495</v>
      </c>
      <c r="E140" s="55" t="n">
        <v>0</v>
      </c>
      <c r="F140" s="55" t="n">
        <v>0</v>
      </c>
      <c r="G140" s="55" t="n">
        <v>0</v>
      </c>
      <c r="H140" s="55" t="n">
        <v>1.72368</v>
      </c>
      <c r="I140" s="55" t="n">
        <v>0.3941</v>
      </c>
      <c r="J140" s="55" t="n">
        <v>2.685</v>
      </c>
      <c r="K140" s="55" t="n">
        <v>0</v>
      </c>
      <c r="L140" s="55" t="n">
        <v>0</v>
      </c>
      <c r="M140" s="55" t="n">
        <v>1.057</v>
      </c>
      <c r="N140" s="55" t="n">
        <v>6.25249274416618</v>
      </c>
      <c r="O140" s="55" t="n">
        <v>14.0669824688136</v>
      </c>
    </row>
    <row r="141" customFormat="false" ht="15" hidden="false" customHeight="true" outlineLevel="0" collapsed="false">
      <c r="A141" s="10" t="s">
        <v>518</v>
      </c>
      <c r="B141" s="10" t="s">
        <v>519</v>
      </c>
      <c r="C141" s="55" t="n">
        <v>1.93059912719403</v>
      </c>
      <c r="D141" s="55" t="n">
        <v>1.78035</v>
      </c>
      <c r="E141" s="55" t="n">
        <v>0</v>
      </c>
      <c r="F141" s="55" t="n">
        <v>0</v>
      </c>
      <c r="G141" s="55" t="n">
        <v>0</v>
      </c>
      <c r="H141" s="55" t="n">
        <v>0.00525</v>
      </c>
      <c r="I141" s="55" t="n">
        <v>2.7167</v>
      </c>
      <c r="J141" s="55" t="n">
        <v>0</v>
      </c>
      <c r="K141" s="55" t="n">
        <v>0</v>
      </c>
      <c r="L141" s="55" t="n">
        <v>0</v>
      </c>
      <c r="M141" s="55" t="n">
        <v>0</v>
      </c>
      <c r="N141" s="55" t="n">
        <v>6.43289912719403</v>
      </c>
      <c r="O141" s="55" t="n">
        <v>8.02338840523956</v>
      </c>
    </row>
    <row r="142" customFormat="false" ht="15" hidden="false" customHeight="true" outlineLevel="0" collapsed="false">
      <c r="A142" s="10" t="s">
        <v>520</v>
      </c>
      <c r="B142" s="10" t="s">
        <v>521</v>
      </c>
      <c r="C142" s="55" t="n">
        <v>4.4882055731551</v>
      </c>
      <c r="D142" s="55" t="n">
        <v>0.6468</v>
      </c>
      <c r="E142" s="55" t="n">
        <v>0</v>
      </c>
      <c r="F142" s="55" t="n">
        <v>0</v>
      </c>
      <c r="G142" s="55" t="n">
        <v>0</v>
      </c>
      <c r="H142" s="55" t="n">
        <v>0.104</v>
      </c>
      <c r="I142" s="55" t="n">
        <v>1.8865</v>
      </c>
      <c r="J142" s="55" t="n">
        <v>0</v>
      </c>
      <c r="K142" s="55" t="n">
        <v>0</v>
      </c>
      <c r="L142" s="55" t="n">
        <v>0</v>
      </c>
      <c r="M142" s="55" t="n">
        <v>0</v>
      </c>
      <c r="N142" s="55" t="n">
        <v>7.1255055731551</v>
      </c>
      <c r="O142" s="55" t="n">
        <v>11.1119611532784</v>
      </c>
    </row>
    <row r="143" customFormat="false" ht="15" hidden="false" customHeight="true" outlineLevel="0" collapsed="false">
      <c r="A143" s="10" t="s">
        <v>522</v>
      </c>
      <c r="B143" s="10" t="s">
        <v>523</v>
      </c>
      <c r="C143" s="55" t="n">
        <v>12.7134600563676</v>
      </c>
      <c r="D143" s="55" t="n">
        <v>0.2187735</v>
      </c>
      <c r="E143" s="55" t="n">
        <v>5.20954396875001</v>
      </c>
      <c r="F143" s="55" t="n">
        <v>0</v>
      </c>
      <c r="G143" s="55" t="n">
        <v>0.363412476271975</v>
      </c>
      <c r="H143" s="55" t="n">
        <v>10.90205</v>
      </c>
      <c r="I143" s="55" t="n">
        <v>2.0552</v>
      </c>
      <c r="J143" s="55" t="n">
        <v>1.0968</v>
      </c>
      <c r="K143" s="55" t="n">
        <v>1.69290912</v>
      </c>
      <c r="L143" s="55" t="n">
        <v>0</v>
      </c>
      <c r="M143" s="55" t="n">
        <v>3.99559965</v>
      </c>
      <c r="N143" s="55" t="n">
        <v>38.2477487713896</v>
      </c>
      <c r="O143" s="55" t="n">
        <v>80.2600929610457</v>
      </c>
    </row>
    <row r="144" customFormat="false" ht="15" hidden="false" customHeight="true" outlineLevel="0" collapsed="false">
      <c r="A144" s="10" t="s">
        <v>525</v>
      </c>
      <c r="B144" s="10" t="s">
        <v>526</v>
      </c>
      <c r="C144" s="55" t="n">
        <v>10.09519539521</v>
      </c>
      <c r="D144" s="55" t="n">
        <v>1.03125</v>
      </c>
      <c r="E144" s="55" t="n">
        <v>2.44125</v>
      </c>
      <c r="F144" s="55" t="n">
        <v>0</v>
      </c>
      <c r="G144" s="55" t="n">
        <v>0.124971679769017</v>
      </c>
      <c r="H144" s="55" t="n">
        <v>2.50336</v>
      </c>
      <c r="I144" s="55" t="n">
        <v>4.7418</v>
      </c>
      <c r="J144" s="55" t="n">
        <v>2.47365</v>
      </c>
      <c r="K144" s="55" t="n">
        <v>0</v>
      </c>
      <c r="L144" s="55" t="n">
        <v>0</v>
      </c>
      <c r="M144" s="55" t="n">
        <v>0</v>
      </c>
      <c r="N144" s="55" t="n">
        <v>23.411477074979</v>
      </c>
      <c r="O144" s="55" t="n">
        <v>53.7658053403115</v>
      </c>
    </row>
    <row r="145" customFormat="false" ht="15" hidden="false" customHeight="true" outlineLevel="0" collapsed="false">
      <c r="A145" s="10" t="s">
        <v>527</v>
      </c>
      <c r="B145" s="10" t="s">
        <v>528</v>
      </c>
      <c r="C145" s="55" t="n">
        <v>17.762768215649</v>
      </c>
      <c r="D145" s="55" t="n">
        <v>0</v>
      </c>
      <c r="E145" s="55" t="n">
        <v>3.8532375</v>
      </c>
      <c r="F145" s="55" t="n">
        <v>0</v>
      </c>
      <c r="G145" s="55" t="n">
        <v>0.420654932780541</v>
      </c>
      <c r="H145" s="55" t="n">
        <v>6.06156</v>
      </c>
      <c r="I145" s="55" t="n">
        <v>3.3362</v>
      </c>
      <c r="J145" s="55" t="n">
        <v>0.8684</v>
      </c>
      <c r="K145" s="55" t="n">
        <v>1.62452493</v>
      </c>
      <c r="L145" s="55" t="n">
        <v>0</v>
      </c>
      <c r="M145" s="55" t="n">
        <v>0</v>
      </c>
      <c r="N145" s="55" t="n">
        <v>33.9273455784296</v>
      </c>
      <c r="O145" s="55" t="n">
        <v>67.6274552143469</v>
      </c>
    </row>
    <row r="146" customFormat="false" ht="15" hidden="false" customHeight="true" outlineLevel="0" collapsed="false">
      <c r="A146" s="10" t="s">
        <v>530</v>
      </c>
      <c r="B146" s="10" t="s">
        <v>531</v>
      </c>
      <c r="C146" s="55" t="n">
        <v>14.2662747193845</v>
      </c>
      <c r="D146" s="55" t="n">
        <v>0</v>
      </c>
      <c r="E146" s="55" t="n">
        <v>1.384596675</v>
      </c>
      <c r="F146" s="55" t="n">
        <v>0</v>
      </c>
      <c r="G146" s="55" t="n">
        <v>0.790766006342628</v>
      </c>
      <c r="H146" s="55" t="n">
        <v>9.16908</v>
      </c>
      <c r="I146" s="55" t="n">
        <v>5.9661</v>
      </c>
      <c r="J146" s="55" t="n">
        <v>1.7625</v>
      </c>
      <c r="K146" s="55" t="n">
        <v>4.08443175</v>
      </c>
      <c r="L146" s="55" t="n">
        <v>0</v>
      </c>
      <c r="M146" s="55" t="n">
        <v>0</v>
      </c>
      <c r="N146" s="55" t="n">
        <v>37.4237491507271</v>
      </c>
      <c r="O146" s="55" t="n">
        <v>81.1584869638541</v>
      </c>
    </row>
    <row r="147" customFormat="false" ht="15" hidden="false" customHeight="true" outlineLevel="0" collapsed="false">
      <c r="A147" s="10" t="s">
        <v>532</v>
      </c>
      <c r="B147" s="10" t="s">
        <v>533</v>
      </c>
      <c r="C147" s="55" t="n">
        <v>7.28515233268986</v>
      </c>
      <c r="D147" s="55" t="n">
        <v>0.141285375</v>
      </c>
      <c r="E147" s="55" t="n">
        <v>0</v>
      </c>
      <c r="F147" s="55" t="n">
        <v>0</v>
      </c>
      <c r="G147" s="55" t="n">
        <v>0.0398768010820675</v>
      </c>
      <c r="H147" s="55" t="n">
        <v>5.01831</v>
      </c>
      <c r="I147" s="55" t="n">
        <v>2.2722</v>
      </c>
      <c r="J147" s="55" t="n">
        <v>0.71865</v>
      </c>
      <c r="K147" s="55" t="n">
        <v>0</v>
      </c>
      <c r="L147" s="55" t="n">
        <v>0</v>
      </c>
      <c r="M147" s="55" t="n">
        <v>0</v>
      </c>
      <c r="N147" s="55" t="n">
        <v>15.4754745087719</v>
      </c>
      <c r="O147" s="55" t="n">
        <v>37.4211481641165</v>
      </c>
    </row>
    <row r="148" customFormat="false" ht="15" hidden="false" customHeight="true" outlineLevel="0" collapsed="false">
      <c r="A148" s="10" t="s">
        <v>534</v>
      </c>
      <c r="B148" s="10" t="s">
        <v>534</v>
      </c>
      <c r="C148" s="55" t="n">
        <v>0</v>
      </c>
      <c r="D148" s="55" t="n">
        <v>0</v>
      </c>
      <c r="E148" s="55" t="n">
        <v>0</v>
      </c>
      <c r="F148" s="55" t="n">
        <v>0</v>
      </c>
      <c r="G148" s="55" t="n">
        <v>0.227132797669985</v>
      </c>
      <c r="H148" s="55" t="n">
        <v>3.40627</v>
      </c>
      <c r="I148" s="55" t="n">
        <v>6.5191</v>
      </c>
      <c r="J148" s="55" t="n">
        <v>0.30925</v>
      </c>
      <c r="K148" s="55" t="n">
        <v>0</v>
      </c>
      <c r="L148" s="55" t="n">
        <v>0</v>
      </c>
      <c r="M148" s="55" t="n">
        <v>0</v>
      </c>
      <c r="N148" s="55" t="n">
        <v>10.46175279767</v>
      </c>
      <c r="O148" s="55" t="n">
        <v>29.2789027486616</v>
      </c>
    </row>
    <row r="149" customFormat="false" ht="15" hidden="false" customHeight="true" outlineLevel="0" collapsed="false">
      <c r="A149" s="10" t="s">
        <v>535</v>
      </c>
      <c r="B149" s="10" t="s">
        <v>535</v>
      </c>
      <c r="C149" s="55" t="n">
        <v>17.5821247722919</v>
      </c>
      <c r="D149" s="55" t="n">
        <v>1.41804009593506</v>
      </c>
      <c r="E149" s="55" t="n">
        <v>0</v>
      </c>
      <c r="F149" s="55" t="n">
        <v>0</v>
      </c>
      <c r="G149" s="55" t="n">
        <v>2.02153777747785</v>
      </c>
      <c r="H149" s="55" t="n">
        <v>18.5865433189841</v>
      </c>
      <c r="I149" s="55" t="n">
        <v>6.7158</v>
      </c>
      <c r="J149" s="55" t="n">
        <v>2.29915</v>
      </c>
      <c r="K149" s="55" t="n">
        <v>0</v>
      </c>
      <c r="L149" s="55" t="n">
        <v>0</v>
      </c>
      <c r="M149" s="55" t="n">
        <v>0</v>
      </c>
      <c r="N149" s="55" t="n">
        <v>48.6231959646889</v>
      </c>
      <c r="O149" s="55" t="n">
        <v>97.3022906701138</v>
      </c>
    </row>
    <row r="150" customFormat="false" ht="15" hidden="false" customHeight="true" outlineLevel="0" collapsed="false">
      <c r="A150" s="10" t="s">
        <v>537</v>
      </c>
      <c r="B150" s="10" t="s">
        <v>537</v>
      </c>
      <c r="C150" s="55" t="n">
        <v>4.14707452297286</v>
      </c>
      <c r="D150" s="55" t="n">
        <v>0.396746817538897</v>
      </c>
      <c r="E150" s="55" t="n">
        <v>0</v>
      </c>
      <c r="F150" s="55" t="n">
        <v>0</v>
      </c>
      <c r="G150" s="55" t="n">
        <v>1.06756963809295</v>
      </c>
      <c r="H150" s="55" t="n">
        <v>11.4712668218437</v>
      </c>
      <c r="I150" s="55" t="n">
        <v>3.045</v>
      </c>
      <c r="J150" s="55" t="n">
        <v>1.00925</v>
      </c>
      <c r="K150" s="55" t="n">
        <v>0</v>
      </c>
      <c r="L150" s="55" t="n">
        <v>0</v>
      </c>
      <c r="M150" s="55" t="n">
        <v>0</v>
      </c>
      <c r="N150" s="55" t="n">
        <v>21.1369078004484</v>
      </c>
      <c r="O150" s="55" t="n">
        <v>47.8996942812661</v>
      </c>
    </row>
    <row r="151" customFormat="false" ht="15" hidden="false" customHeight="true" outlineLevel="0" collapsed="false">
      <c r="A151" s="10" t="s">
        <v>538</v>
      </c>
      <c r="B151" s="10" t="s">
        <v>539</v>
      </c>
      <c r="C151" s="55" t="n">
        <v>4.61133937317787</v>
      </c>
      <c r="D151" s="55" t="n">
        <v>0.786500000000002</v>
      </c>
      <c r="E151" s="55" t="n">
        <v>0</v>
      </c>
      <c r="F151" s="55" t="n">
        <v>0</v>
      </c>
      <c r="G151" s="55" t="n">
        <v>0.531788851598691</v>
      </c>
      <c r="H151" s="55" t="n">
        <v>8.53088213271019</v>
      </c>
      <c r="I151" s="55" t="n">
        <v>0</v>
      </c>
      <c r="J151" s="55" t="n">
        <v>0.85305</v>
      </c>
      <c r="K151" s="55" t="n">
        <v>0</v>
      </c>
      <c r="L151" s="55" t="n">
        <v>0</v>
      </c>
      <c r="M151" s="55" t="n">
        <v>0</v>
      </c>
      <c r="N151" s="55" t="n">
        <v>15.3135603574867</v>
      </c>
      <c r="O151" s="55" t="n">
        <v>30.9828618774724</v>
      </c>
    </row>
    <row r="152" customFormat="false" ht="15" hidden="false" customHeight="true" outlineLevel="0" collapsed="false">
      <c r="A152" s="10" t="s">
        <v>540</v>
      </c>
      <c r="B152" s="10" t="s">
        <v>541</v>
      </c>
      <c r="C152" s="55" t="n">
        <v>5.53352297095727</v>
      </c>
      <c r="D152" s="55" t="n">
        <v>0</v>
      </c>
      <c r="E152" s="55" t="n">
        <v>2.69271383315734</v>
      </c>
      <c r="F152" s="55" t="n">
        <v>0</v>
      </c>
      <c r="G152" s="55" t="n">
        <v>0.363412476271975</v>
      </c>
      <c r="H152" s="55" t="n">
        <v>3.28342</v>
      </c>
      <c r="I152" s="55" t="n">
        <v>5.4761</v>
      </c>
      <c r="J152" s="55" t="n">
        <v>1.5898</v>
      </c>
      <c r="K152" s="55" t="n">
        <v>0</v>
      </c>
      <c r="L152" s="55" t="n">
        <v>0</v>
      </c>
      <c r="M152" s="55" t="n">
        <v>0</v>
      </c>
      <c r="N152" s="55" t="n">
        <v>18.9389692803866</v>
      </c>
      <c r="O152" s="55" t="n">
        <v>40.6598325496584</v>
      </c>
    </row>
    <row r="153" customFormat="false" ht="15" hidden="false" customHeight="true" outlineLevel="0" collapsed="false">
      <c r="A153" s="10" t="s">
        <v>543</v>
      </c>
      <c r="B153" s="10" t="s">
        <v>544</v>
      </c>
      <c r="C153" s="55" t="n">
        <v>0</v>
      </c>
      <c r="D153" s="55" t="n">
        <v>0</v>
      </c>
      <c r="E153" s="55" t="n">
        <v>0</v>
      </c>
      <c r="F153" s="55" t="n">
        <v>0</v>
      </c>
      <c r="G153" s="55" t="n">
        <v>0.224693594224689</v>
      </c>
      <c r="H153" s="55" t="n">
        <v>0.93222</v>
      </c>
      <c r="I153" s="55" t="n">
        <v>0</v>
      </c>
      <c r="J153" s="55" t="n">
        <v>0</v>
      </c>
      <c r="K153" s="55" t="n">
        <v>0</v>
      </c>
      <c r="L153" s="55" t="n">
        <v>0</v>
      </c>
      <c r="M153" s="55" t="n">
        <v>0</v>
      </c>
      <c r="N153" s="55" t="n">
        <v>1.15691359422469</v>
      </c>
      <c r="O153" s="55" t="n">
        <v>2.97081282723926</v>
      </c>
    </row>
    <row r="154" customFormat="false" ht="15" hidden="false" customHeight="true" outlineLevel="0" collapsed="false">
      <c r="B154" s="7" t="s">
        <v>1045</v>
      </c>
      <c r="C154" s="56" t="n">
        <v>332.671519756605</v>
      </c>
      <c r="D154" s="56" t="n">
        <v>22.141820288474</v>
      </c>
      <c r="E154" s="56" t="n">
        <v>16.7738419769074</v>
      </c>
      <c r="F154" s="56" t="n">
        <v>1.974</v>
      </c>
      <c r="G154" s="56" t="n">
        <v>28.1153106793353</v>
      </c>
      <c r="H154" s="56" t="n">
        <v>144.607292273538</v>
      </c>
      <c r="I154" s="56" t="n">
        <v>89.5552</v>
      </c>
      <c r="J154" s="56" t="n">
        <v>59.5441</v>
      </c>
      <c r="K154" s="56" t="n">
        <v>7.4018658</v>
      </c>
      <c r="L154" s="56" t="n">
        <v>26.6603133124681</v>
      </c>
      <c r="M154" s="56" t="n">
        <v>19.46185465</v>
      </c>
      <c r="N154" s="56" t="n">
        <v>748.907118737328</v>
      </c>
      <c r="O154" s="56" t="n">
        <v>1465.09373008232</v>
      </c>
    </row>
    <row r="155" customFormat="false" ht="15" hidden="false" customHeight="true" outlineLevel="0" collapsed="false">
      <c r="B155" s="7" t="s">
        <v>1046</v>
      </c>
      <c r="C155" s="57" t="n">
        <v>2.20932296009695</v>
      </c>
      <c r="D155" s="57" t="n">
        <v>0.164627364597668</v>
      </c>
      <c r="E155" s="57" t="n">
        <v>0.12527050507439</v>
      </c>
      <c r="F155" s="57" t="n">
        <v>0.00731244316158777</v>
      </c>
      <c r="G155" s="57" t="n">
        <v>0.140654644036016</v>
      </c>
      <c r="H155" s="57" t="n">
        <v>0.926168032296438</v>
      </c>
      <c r="I155" s="57" t="n">
        <v>0.578698294647606</v>
      </c>
      <c r="J155" s="57" t="n">
        <v>0.32421399767388</v>
      </c>
      <c r="K155" s="57" t="n">
        <v>0.0494791666666667</v>
      </c>
      <c r="L155" s="57" t="n">
        <v>0.0609050051000332</v>
      </c>
      <c r="M155" s="57" t="n">
        <v>0.123325207885101</v>
      </c>
      <c r="N155" s="57" t="n">
        <v>4.70997762123634</v>
      </c>
      <c r="O155" s="57" t="n">
        <v>9.21909902634806</v>
      </c>
    </row>
    <row r="156" customFormat="false" ht="15" hidden="false" customHeight="true" outlineLevel="0" collapsed="false">
      <c r="B156" s="7" t="s">
        <v>1047</v>
      </c>
      <c r="C156" s="58" t="n">
        <v>7</v>
      </c>
      <c r="D156" s="58" t="n">
        <v>0</v>
      </c>
      <c r="E156" s="58" t="n">
        <v>0</v>
      </c>
      <c r="F156" s="58" t="n">
        <v>0</v>
      </c>
      <c r="G156" s="58" t="n">
        <v>0</v>
      </c>
      <c r="H156" s="58" t="n">
        <v>2</v>
      </c>
      <c r="I156" s="58" t="n">
        <v>0</v>
      </c>
      <c r="J156" s="58" t="n">
        <v>0</v>
      </c>
      <c r="K156" s="58" t="n">
        <v>0</v>
      </c>
      <c r="L156" s="58" t="n">
        <v>1</v>
      </c>
      <c r="M156" s="58" t="n">
        <v>0</v>
      </c>
      <c r="N156" s="58" t="n">
        <v>14</v>
      </c>
      <c r="O156" s="58" t="n">
        <v>18</v>
      </c>
    </row>
    <row r="159" customFormat="false" ht="15" hidden="false" customHeight="true" outlineLevel="0" collapsed="false">
      <c r="A159" s="9" t="s">
        <v>1052</v>
      </c>
    </row>
    <row r="160" customFormat="false" ht="39.75" hidden="false" customHeight="true" outlineLevel="0" collapsed="false">
      <c r="A160" s="21" t="s">
        <v>51</v>
      </c>
      <c r="B160" s="21" t="s">
        <v>52</v>
      </c>
      <c r="C160" s="21" t="s">
        <v>1033</v>
      </c>
      <c r="D160" s="21" t="s">
        <v>1034</v>
      </c>
      <c r="E160" s="21" t="s">
        <v>1035</v>
      </c>
      <c r="F160" s="21" t="s">
        <v>1036</v>
      </c>
      <c r="G160" s="21" t="s">
        <v>1037</v>
      </c>
      <c r="H160" s="21" t="s">
        <v>1038</v>
      </c>
      <c r="I160" s="21" t="s">
        <v>891</v>
      </c>
      <c r="J160" s="21" t="s">
        <v>1039</v>
      </c>
      <c r="K160" s="21" t="s">
        <v>1040</v>
      </c>
      <c r="L160" s="21" t="s">
        <v>1041</v>
      </c>
      <c r="M160" s="21" t="s">
        <v>1042</v>
      </c>
      <c r="N160" s="21" t="s">
        <v>1043</v>
      </c>
      <c r="O160" s="21" t="s">
        <v>1044</v>
      </c>
    </row>
    <row r="161" customFormat="false" ht="15" hidden="false" customHeight="true" outlineLevel="0" collapsed="false">
      <c r="A161" s="10" t="s">
        <v>496</v>
      </c>
      <c r="B161" s="10" t="s">
        <v>497</v>
      </c>
      <c r="C161" s="55" t="n">
        <v>0.249</v>
      </c>
      <c r="D161" s="55" t="n">
        <v>0.211752</v>
      </c>
      <c r="E161" s="55" t="n">
        <v>0</v>
      </c>
      <c r="F161" s="55" t="n">
        <v>0.0364</v>
      </c>
      <c r="G161" s="55" t="n">
        <v>0.782157631967335</v>
      </c>
      <c r="H161" s="55" t="n">
        <v>3.36179</v>
      </c>
      <c r="I161" s="55" t="n">
        <v>2.70465</v>
      </c>
      <c r="J161" s="55" t="n">
        <v>0</v>
      </c>
      <c r="K161" s="55" t="n">
        <v>0</v>
      </c>
      <c r="L161" s="55" t="n">
        <v>0</v>
      </c>
      <c r="M161" s="55" t="n">
        <v>0.082203</v>
      </c>
      <c r="N161" s="55" t="n">
        <v>7.42795263196734</v>
      </c>
      <c r="O161" s="55" t="n">
        <v>35.7858601114869</v>
      </c>
    </row>
    <row r="162" customFormat="false" ht="15" hidden="false" customHeight="true" outlineLevel="0" collapsed="false">
      <c r="A162" s="10" t="s">
        <v>499</v>
      </c>
      <c r="B162" s="10" t="s">
        <v>500</v>
      </c>
      <c r="C162" s="55" t="n">
        <v>0.1376</v>
      </c>
      <c r="D162" s="55" t="n">
        <v>0.127245</v>
      </c>
      <c r="E162" s="55" t="n">
        <v>0</v>
      </c>
      <c r="F162" s="55" t="n">
        <v>0.0364</v>
      </c>
      <c r="G162" s="55" t="n">
        <v>1.61586550922658</v>
      </c>
      <c r="H162" s="55" t="n">
        <v>1.35954</v>
      </c>
      <c r="I162" s="55" t="n">
        <v>1.24965</v>
      </c>
      <c r="J162" s="55" t="n">
        <v>0</v>
      </c>
      <c r="K162" s="55" t="n">
        <v>0</v>
      </c>
      <c r="L162" s="55" t="n">
        <v>1.73138049212771</v>
      </c>
      <c r="M162" s="55" t="n">
        <v>0</v>
      </c>
      <c r="N162" s="55" t="n">
        <v>6.2576810013543</v>
      </c>
      <c r="O162" s="55" t="n">
        <v>32.6077072977566</v>
      </c>
    </row>
    <row r="163" customFormat="false" ht="15" hidden="false" customHeight="true" outlineLevel="0" collapsed="false">
      <c r="A163" s="10" t="s">
        <v>501</v>
      </c>
      <c r="B163" s="10" t="s">
        <v>502</v>
      </c>
      <c r="C163" s="55" t="n">
        <v>0.142</v>
      </c>
      <c r="D163" s="55" t="n">
        <v>0.027234</v>
      </c>
      <c r="E163" s="55" t="n">
        <v>0</v>
      </c>
      <c r="F163" s="55" t="n">
        <v>0.0484</v>
      </c>
      <c r="G163" s="55" t="n">
        <v>1.6375306592183</v>
      </c>
      <c r="H163" s="55" t="n">
        <v>1.048585</v>
      </c>
      <c r="I163" s="55" t="n">
        <v>0.55785</v>
      </c>
      <c r="J163" s="55" t="n">
        <v>0</v>
      </c>
      <c r="K163" s="55" t="n">
        <v>0</v>
      </c>
      <c r="L163" s="55" t="n">
        <v>0</v>
      </c>
      <c r="M163" s="55" t="n">
        <v>0.083322</v>
      </c>
      <c r="N163" s="55" t="n">
        <v>3.5449216592183</v>
      </c>
      <c r="O163" s="55" t="n">
        <v>21.4227057699954</v>
      </c>
    </row>
    <row r="164" customFormat="false" ht="15" hidden="false" customHeight="true" outlineLevel="0" collapsed="false">
      <c r="A164" s="10" t="s">
        <v>503</v>
      </c>
      <c r="B164" s="10" t="s">
        <v>504</v>
      </c>
      <c r="C164" s="55" t="n">
        <v>0.2574</v>
      </c>
      <c r="D164" s="55" t="n">
        <v>0.172737</v>
      </c>
      <c r="E164" s="55" t="n">
        <v>0</v>
      </c>
      <c r="F164" s="55" t="n">
        <v>0.0468</v>
      </c>
      <c r="G164" s="55" t="n">
        <v>0.0668261982798583</v>
      </c>
      <c r="H164" s="55" t="n">
        <v>0.946995</v>
      </c>
      <c r="I164" s="55" t="n">
        <v>1.8903</v>
      </c>
      <c r="J164" s="55" t="n">
        <v>0</v>
      </c>
      <c r="K164" s="55" t="n">
        <v>0</v>
      </c>
      <c r="L164" s="55" t="n">
        <v>0</v>
      </c>
      <c r="M164" s="55" t="n">
        <v>0</v>
      </c>
      <c r="N164" s="55" t="n">
        <v>3.38105819827986</v>
      </c>
      <c r="O164" s="55" t="n">
        <v>26.2154461822529</v>
      </c>
    </row>
    <row r="165" customFormat="false" ht="15" hidden="false" customHeight="true" outlineLevel="0" collapsed="false">
      <c r="A165" s="10" t="s">
        <v>505</v>
      </c>
      <c r="B165" s="10" t="s">
        <v>506</v>
      </c>
      <c r="C165" s="55" t="n">
        <v>0.133652096573801</v>
      </c>
      <c r="D165" s="55" t="n">
        <v>0.103122</v>
      </c>
      <c r="E165" s="55" t="n">
        <v>0</v>
      </c>
      <c r="F165" s="55" t="n">
        <v>0.0364</v>
      </c>
      <c r="G165" s="55" t="n">
        <v>0.422600427080511</v>
      </c>
      <c r="H165" s="55" t="n">
        <v>2.610815</v>
      </c>
      <c r="I165" s="55" t="n">
        <v>0.60465</v>
      </c>
      <c r="J165" s="55" t="n">
        <v>0</v>
      </c>
      <c r="K165" s="55" t="n">
        <v>0</v>
      </c>
      <c r="L165" s="55" t="n">
        <v>0</v>
      </c>
      <c r="M165" s="55" t="n">
        <v>0.14584</v>
      </c>
      <c r="N165" s="55" t="n">
        <v>4.05707952365431</v>
      </c>
      <c r="O165" s="55" t="n">
        <v>22.4323732143813</v>
      </c>
    </row>
    <row r="166" customFormat="false" ht="15" hidden="false" customHeight="true" outlineLevel="0" collapsed="false">
      <c r="A166" s="10" t="s">
        <v>507</v>
      </c>
      <c r="B166" s="10" t="s">
        <v>508</v>
      </c>
      <c r="C166" s="55" t="n">
        <v>0.0658</v>
      </c>
      <c r="D166" s="55" t="n">
        <v>0.03927</v>
      </c>
      <c r="E166" s="55" t="n">
        <v>0</v>
      </c>
      <c r="F166" s="55" t="n">
        <v>0.0364</v>
      </c>
      <c r="G166" s="55" t="n">
        <v>2.27961770373195</v>
      </c>
      <c r="H166" s="55" t="n">
        <v>2.201705</v>
      </c>
      <c r="I166" s="55" t="n">
        <v>0.246</v>
      </c>
      <c r="J166" s="55" t="n">
        <v>0</v>
      </c>
      <c r="K166" s="55" t="n">
        <v>0</v>
      </c>
      <c r="L166" s="55" t="n">
        <v>0</v>
      </c>
      <c r="M166" s="55" t="n">
        <v>0.100328</v>
      </c>
      <c r="N166" s="55" t="n">
        <v>4.96912070373195</v>
      </c>
      <c r="O166" s="55" t="n">
        <v>19.6615394840462</v>
      </c>
    </row>
    <row r="167" customFormat="false" ht="15" hidden="false" customHeight="true" outlineLevel="0" collapsed="false">
      <c r="A167" s="10" t="s">
        <v>509</v>
      </c>
      <c r="B167" s="10" t="s">
        <v>509</v>
      </c>
      <c r="C167" s="55" t="n">
        <v>0.1238</v>
      </c>
      <c r="D167" s="55" t="n">
        <v>0.088383</v>
      </c>
      <c r="E167" s="55" t="n">
        <v>0</v>
      </c>
      <c r="F167" s="55" t="n">
        <v>0</v>
      </c>
      <c r="G167" s="55" t="n">
        <v>0.00181359047769625</v>
      </c>
      <c r="H167" s="55" t="n">
        <v>0.088925</v>
      </c>
      <c r="I167" s="55" t="n">
        <v>0.70725</v>
      </c>
      <c r="J167" s="55" t="n">
        <v>0</v>
      </c>
      <c r="K167" s="55" t="n">
        <v>0</v>
      </c>
      <c r="L167" s="55" t="n">
        <v>0</v>
      </c>
      <c r="M167" s="55" t="n">
        <v>0</v>
      </c>
      <c r="N167" s="55" t="n">
        <v>1.0101715904777</v>
      </c>
      <c r="O167" s="55" t="n">
        <v>10.0965625718366</v>
      </c>
    </row>
    <row r="168" customFormat="false" ht="15" hidden="false" customHeight="true" outlineLevel="0" collapsed="false">
      <c r="A168" s="10" t="s">
        <v>510</v>
      </c>
      <c r="B168" s="10" t="s">
        <v>511</v>
      </c>
      <c r="C168" s="55" t="n">
        <v>0.0572</v>
      </c>
      <c r="D168" s="55" t="n">
        <v>0.049164</v>
      </c>
      <c r="E168" s="55" t="n">
        <v>0</v>
      </c>
      <c r="F168" s="55" t="n">
        <v>0</v>
      </c>
      <c r="G168" s="55" t="n">
        <v>0.000601790033192104</v>
      </c>
      <c r="H168" s="55" t="n">
        <v>0.15075</v>
      </c>
      <c r="I168" s="55" t="n">
        <v>0.7608</v>
      </c>
      <c r="J168" s="55" t="n">
        <v>0</v>
      </c>
      <c r="K168" s="55" t="n">
        <v>0</v>
      </c>
      <c r="L168" s="55" t="n">
        <v>0</v>
      </c>
      <c r="M168" s="55" t="n">
        <v>0</v>
      </c>
      <c r="N168" s="55" t="n">
        <v>1.01851579003319</v>
      </c>
      <c r="O168" s="55" t="n">
        <v>5.05021150626748</v>
      </c>
    </row>
    <row r="169" customFormat="false" ht="15" hidden="false" customHeight="true" outlineLevel="0" collapsed="false">
      <c r="A169" s="10" t="s">
        <v>512</v>
      </c>
      <c r="B169" s="10" t="s">
        <v>513</v>
      </c>
      <c r="C169" s="55" t="n">
        <v>0.0562</v>
      </c>
      <c r="D169" s="55" t="n">
        <v>0.018156</v>
      </c>
      <c r="E169" s="55" t="n">
        <v>0</v>
      </c>
      <c r="F169" s="55" t="n">
        <v>0</v>
      </c>
      <c r="G169" s="55" t="n">
        <v>0</v>
      </c>
      <c r="H169" s="55" t="n">
        <v>0.03025</v>
      </c>
      <c r="I169" s="55" t="n">
        <v>0.7653</v>
      </c>
      <c r="J169" s="55" t="n">
        <v>0</v>
      </c>
      <c r="K169" s="55" t="n">
        <v>0</v>
      </c>
      <c r="L169" s="55" t="n">
        <v>0</v>
      </c>
      <c r="M169" s="55" t="n">
        <v>0</v>
      </c>
      <c r="N169" s="55" t="n">
        <v>0.869906</v>
      </c>
      <c r="O169" s="55" t="n">
        <v>7.49142241136456</v>
      </c>
    </row>
    <row r="170" customFormat="false" ht="15" hidden="false" customHeight="true" outlineLevel="0" collapsed="false">
      <c r="A170" s="10" t="s">
        <v>514</v>
      </c>
      <c r="B170" s="10" t="s">
        <v>515</v>
      </c>
      <c r="C170" s="55" t="n">
        <v>0.066</v>
      </c>
      <c r="D170" s="55" t="n">
        <v>0.032691</v>
      </c>
      <c r="E170" s="55" t="n">
        <v>0</v>
      </c>
      <c r="F170" s="55" t="n">
        <v>0</v>
      </c>
      <c r="G170" s="55" t="n">
        <v>0</v>
      </c>
      <c r="H170" s="55" t="n">
        <v>0.277775</v>
      </c>
      <c r="I170" s="55" t="n">
        <v>0.03435</v>
      </c>
      <c r="J170" s="55" t="n">
        <v>0</v>
      </c>
      <c r="K170" s="55" t="n">
        <v>0</v>
      </c>
      <c r="L170" s="55" t="n">
        <v>0</v>
      </c>
      <c r="M170" s="55" t="n">
        <v>0</v>
      </c>
      <c r="N170" s="55" t="n">
        <v>0.410816</v>
      </c>
      <c r="O170" s="55" t="n">
        <v>6.4994290373828</v>
      </c>
    </row>
    <row r="171" customFormat="false" ht="15" hidden="false" customHeight="true" outlineLevel="0" collapsed="false">
      <c r="A171" s="10" t="s">
        <v>516</v>
      </c>
      <c r="B171" s="10" t="s">
        <v>517</v>
      </c>
      <c r="C171" s="55" t="n">
        <v>0.011098</v>
      </c>
      <c r="D171" s="55" t="n">
        <v>0.01651329</v>
      </c>
      <c r="E171" s="55" t="n">
        <v>0</v>
      </c>
      <c r="F171" s="55" t="n">
        <v>0</v>
      </c>
      <c r="G171" s="55" t="n">
        <v>0</v>
      </c>
      <c r="H171" s="55" t="n">
        <v>0.321125</v>
      </c>
      <c r="I171" s="55" t="n">
        <v>0.08445</v>
      </c>
      <c r="J171" s="55" t="n">
        <v>0</v>
      </c>
      <c r="K171" s="55" t="n">
        <v>0</v>
      </c>
      <c r="L171" s="55" t="n">
        <v>0</v>
      </c>
      <c r="M171" s="55" t="n">
        <v>0.0302</v>
      </c>
      <c r="N171" s="55" t="n">
        <v>0.46338629</v>
      </c>
      <c r="O171" s="55" t="n">
        <v>2.01915636831499</v>
      </c>
    </row>
    <row r="172" customFormat="false" ht="15" hidden="false" customHeight="true" outlineLevel="0" collapsed="false">
      <c r="A172" s="10" t="s">
        <v>518</v>
      </c>
      <c r="B172" s="10" t="s">
        <v>519</v>
      </c>
      <c r="C172" s="55" t="n">
        <v>0.0746</v>
      </c>
      <c r="D172" s="55" t="n">
        <v>0.103122</v>
      </c>
      <c r="E172" s="55" t="n">
        <v>0</v>
      </c>
      <c r="F172" s="55" t="n">
        <v>0</v>
      </c>
      <c r="G172" s="55" t="n">
        <v>0</v>
      </c>
      <c r="H172" s="55" t="n">
        <v>0.000975</v>
      </c>
      <c r="I172" s="55" t="n">
        <v>0.58215</v>
      </c>
      <c r="J172" s="55" t="n">
        <v>0</v>
      </c>
      <c r="K172" s="55" t="n">
        <v>0</v>
      </c>
      <c r="L172" s="55" t="n">
        <v>0</v>
      </c>
      <c r="M172" s="55" t="n">
        <v>0</v>
      </c>
      <c r="N172" s="55" t="n">
        <v>0.760847</v>
      </c>
      <c r="O172" s="55" t="n">
        <v>1.37591038153332</v>
      </c>
    </row>
    <row r="173" customFormat="false" ht="15" hidden="false" customHeight="true" outlineLevel="0" collapsed="false">
      <c r="A173" s="10" t="s">
        <v>520</v>
      </c>
      <c r="B173" s="10" t="s">
        <v>521</v>
      </c>
      <c r="C173" s="55" t="n">
        <v>0.0318</v>
      </c>
      <c r="D173" s="55" t="n">
        <v>0.034986</v>
      </c>
      <c r="E173" s="55" t="n">
        <v>0</v>
      </c>
      <c r="F173" s="55" t="n">
        <v>0</v>
      </c>
      <c r="G173" s="55" t="n">
        <v>0</v>
      </c>
      <c r="H173" s="55" t="n">
        <v>0.0181</v>
      </c>
      <c r="I173" s="55" t="n">
        <v>0.40425</v>
      </c>
      <c r="J173" s="55" t="n">
        <v>0</v>
      </c>
      <c r="K173" s="55" t="n">
        <v>0</v>
      </c>
      <c r="L173" s="55" t="n">
        <v>0</v>
      </c>
      <c r="M173" s="55" t="n">
        <v>0</v>
      </c>
      <c r="N173" s="55" t="n">
        <v>0.489136</v>
      </c>
      <c r="O173" s="55" t="n">
        <v>2.20352192915763</v>
      </c>
    </row>
    <row r="174" customFormat="false" ht="15" hidden="false" customHeight="true" outlineLevel="0" collapsed="false">
      <c r="A174" s="10" t="s">
        <v>522</v>
      </c>
      <c r="B174" s="10" t="s">
        <v>523</v>
      </c>
      <c r="C174" s="55" t="n">
        <v>0.106072</v>
      </c>
      <c r="D174" s="55" t="n">
        <v>0.01352418</v>
      </c>
      <c r="E174" s="55" t="n">
        <v>0</v>
      </c>
      <c r="F174" s="55" t="n">
        <v>0</v>
      </c>
      <c r="G174" s="55" t="n">
        <v>0.0576352906047536</v>
      </c>
      <c r="H174" s="55" t="n">
        <v>2.03439</v>
      </c>
      <c r="I174" s="55" t="n">
        <v>0.4404</v>
      </c>
      <c r="J174" s="55" t="n">
        <v>0</v>
      </c>
      <c r="K174" s="55" t="n">
        <v>0.84645456</v>
      </c>
      <c r="L174" s="55" t="n">
        <v>0</v>
      </c>
      <c r="M174" s="55" t="n">
        <v>0.11415999</v>
      </c>
      <c r="N174" s="55" t="n">
        <v>3.61263602060475</v>
      </c>
      <c r="O174" s="55" t="n">
        <v>17.6920919151753</v>
      </c>
    </row>
    <row r="175" customFormat="false" ht="15" hidden="false" customHeight="true" outlineLevel="0" collapsed="false">
      <c r="A175" s="10" t="s">
        <v>525</v>
      </c>
      <c r="B175" s="10" t="s">
        <v>526</v>
      </c>
      <c r="C175" s="55" t="n">
        <v>0.1254</v>
      </c>
      <c r="D175" s="55" t="n">
        <v>0.06375</v>
      </c>
      <c r="E175" s="55" t="n">
        <v>0</v>
      </c>
      <c r="F175" s="55" t="n">
        <v>0</v>
      </c>
      <c r="G175" s="55" t="n">
        <v>0.0180159142509884</v>
      </c>
      <c r="H175" s="55" t="n">
        <v>0.35907</v>
      </c>
      <c r="I175" s="55" t="n">
        <v>1.0161</v>
      </c>
      <c r="J175" s="55" t="n">
        <v>0</v>
      </c>
      <c r="K175" s="55" t="n">
        <v>0</v>
      </c>
      <c r="L175" s="55" t="n">
        <v>0</v>
      </c>
      <c r="M175" s="55" t="n">
        <v>0</v>
      </c>
      <c r="N175" s="55" t="n">
        <v>1.58233591425099</v>
      </c>
      <c r="O175" s="55" t="n">
        <v>8.98698952604459</v>
      </c>
    </row>
    <row r="176" customFormat="false" ht="15" hidden="false" customHeight="true" outlineLevel="0" collapsed="false">
      <c r="A176" s="10" t="s">
        <v>527</v>
      </c>
      <c r="B176" s="10" t="s">
        <v>528</v>
      </c>
      <c r="C176" s="55" t="n">
        <v>0.130772469699611</v>
      </c>
      <c r="D176" s="55" t="n">
        <v>0</v>
      </c>
      <c r="E176" s="55" t="n">
        <v>0</v>
      </c>
      <c r="F176" s="55" t="n">
        <v>0</v>
      </c>
      <c r="G176" s="55" t="n">
        <v>0.0653134474462911</v>
      </c>
      <c r="H176" s="55" t="n">
        <v>1.229795</v>
      </c>
      <c r="I176" s="55" t="n">
        <v>0.7149</v>
      </c>
      <c r="J176" s="55" t="n">
        <v>0</v>
      </c>
      <c r="K176" s="55" t="n">
        <v>0.812262465</v>
      </c>
      <c r="L176" s="55" t="n">
        <v>0</v>
      </c>
      <c r="M176" s="55" t="n">
        <v>0</v>
      </c>
      <c r="N176" s="55" t="n">
        <v>2.9530433821459</v>
      </c>
      <c r="O176" s="55" t="n">
        <v>15.9838601576745</v>
      </c>
    </row>
    <row r="177" customFormat="false" ht="15" hidden="false" customHeight="true" outlineLevel="0" collapsed="false">
      <c r="A177" s="10" t="s">
        <v>530</v>
      </c>
      <c r="B177" s="10" t="s">
        <v>531</v>
      </c>
      <c r="C177" s="55" t="n">
        <v>0.07032872</v>
      </c>
      <c r="D177" s="55" t="n">
        <v>0</v>
      </c>
      <c r="E177" s="55" t="n">
        <v>0</v>
      </c>
      <c r="F177" s="55" t="n">
        <v>0</v>
      </c>
      <c r="G177" s="55" t="n">
        <v>0.304212004900089</v>
      </c>
      <c r="H177" s="55" t="n">
        <v>1.92169</v>
      </c>
      <c r="I177" s="55" t="n">
        <v>1.27845</v>
      </c>
      <c r="J177" s="55" t="n">
        <v>0</v>
      </c>
      <c r="K177" s="55" t="n">
        <v>2.042215875</v>
      </c>
      <c r="L177" s="55" t="n">
        <v>0</v>
      </c>
      <c r="M177" s="55" t="n">
        <v>0</v>
      </c>
      <c r="N177" s="55" t="n">
        <v>5.61689659990009</v>
      </c>
      <c r="O177" s="55" t="n">
        <v>21.2313927686595</v>
      </c>
    </row>
    <row r="178" customFormat="false" ht="15" hidden="false" customHeight="true" outlineLevel="0" collapsed="false">
      <c r="A178" s="10" t="s">
        <v>532</v>
      </c>
      <c r="B178" s="10" t="s">
        <v>533</v>
      </c>
      <c r="C178" s="55" t="n">
        <v>0.0557013228725513</v>
      </c>
      <c r="D178" s="55" t="n">
        <v>0.008734005</v>
      </c>
      <c r="E178" s="55" t="n">
        <v>0</v>
      </c>
      <c r="F178" s="55" t="n">
        <v>0</v>
      </c>
      <c r="G178" s="55" t="n">
        <v>0.00181359047769625</v>
      </c>
      <c r="H178" s="55" t="n">
        <v>1.01713</v>
      </c>
      <c r="I178" s="55" t="n">
        <v>0.4869</v>
      </c>
      <c r="J178" s="55" t="n">
        <v>0</v>
      </c>
      <c r="K178" s="55" t="n">
        <v>0</v>
      </c>
      <c r="L178" s="55" t="n">
        <v>0</v>
      </c>
      <c r="M178" s="55" t="n">
        <v>0</v>
      </c>
      <c r="N178" s="55" t="n">
        <v>1.57027891835025</v>
      </c>
      <c r="O178" s="55" t="n">
        <v>8.78417112932602</v>
      </c>
    </row>
    <row r="179" customFormat="false" ht="15" hidden="false" customHeight="true" outlineLevel="0" collapsed="false">
      <c r="A179" s="10" t="s">
        <v>534</v>
      </c>
      <c r="B179" s="10" t="s">
        <v>534</v>
      </c>
      <c r="C179" s="55" t="n">
        <v>0</v>
      </c>
      <c r="D179" s="55" t="n">
        <v>0</v>
      </c>
      <c r="E179" s="55" t="n">
        <v>0</v>
      </c>
      <c r="F179" s="55" t="n">
        <v>0</v>
      </c>
      <c r="G179" s="55" t="n">
        <v>0.036022056627971</v>
      </c>
      <c r="H179" s="55" t="n">
        <v>0.71711</v>
      </c>
      <c r="I179" s="55" t="n">
        <v>1.39695</v>
      </c>
      <c r="J179" s="55" t="n">
        <v>0</v>
      </c>
      <c r="K179" s="55" t="n">
        <v>0</v>
      </c>
      <c r="L179" s="55" t="n">
        <v>0</v>
      </c>
      <c r="M179" s="55" t="n">
        <v>0</v>
      </c>
      <c r="N179" s="55" t="n">
        <v>2.15008205662797</v>
      </c>
      <c r="O179" s="55" t="n">
        <v>6.39485367256608</v>
      </c>
    </row>
    <row r="180" customFormat="false" ht="15" hidden="false" customHeight="true" outlineLevel="0" collapsed="false">
      <c r="A180" s="10" t="s">
        <v>535</v>
      </c>
      <c r="B180" s="10" t="s">
        <v>535</v>
      </c>
      <c r="C180" s="55" t="n">
        <v>0.117461415489088</v>
      </c>
      <c r="D180" s="55" t="n">
        <v>0.0809175327470635</v>
      </c>
      <c r="E180" s="55" t="n">
        <v>0</v>
      </c>
      <c r="F180" s="55" t="n">
        <v>0</v>
      </c>
      <c r="G180" s="55" t="n">
        <v>0.455687756499047</v>
      </c>
      <c r="H180" s="55" t="n">
        <v>3.86572740421868</v>
      </c>
      <c r="I180" s="55" t="n">
        <v>1.4391</v>
      </c>
      <c r="J180" s="55" t="n">
        <v>0</v>
      </c>
      <c r="K180" s="55" t="n">
        <v>0</v>
      </c>
      <c r="L180" s="55" t="n">
        <v>0</v>
      </c>
      <c r="M180" s="55" t="n">
        <v>0</v>
      </c>
      <c r="N180" s="55" t="n">
        <v>5.95889410895388</v>
      </c>
      <c r="O180" s="55" t="n">
        <v>26.5969543699889</v>
      </c>
    </row>
    <row r="181" customFormat="false" ht="15" hidden="false" customHeight="true" outlineLevel="0" collapsed="false">
      <c r="A181" s="10" t="s">
        <v>537</v>
      </c>
      <c r="B181" s="10" t="s">
        <v>537</v>
      </c>
      <c r="C181" s="55" t="n">
        <v>0.0334542771047291</v>
      </c>
      <c r="D181" s="55" t="n">
        <v>0.0234598118196913</v>
      </c>
      <c r="E181" s="55" t="n">
        <v>0</v>
      </c>
      <c r="F181" s="55" t="n">
        <v>0</v>
      </c>
      <c r="G181" s="55" t="n">
        <v>0.342928036919959</v>
      </c>
      <c r="H181" s="55" t="n">
        <v>2.48911707152082</v>
      </c>
      <c r="I181" s="55" t="n">
        <v>0.6525</v>
      </c>
      <c r="J181" s="55" t="n">
        <v>0</v>
      </c>
      <c r="K181" s="55" t="n">
        <v>0</v>
      </c>
      <c r="L181" s="55" t="n">
        <v>0</v>
      </c>
      <c r="M181" s="55" t="n">
        <v>0</v>
      </c>
      <c r="N181" s="55" t="n">
        <v>3.5414591973652</v>
      </c>
      <c r="O181" s="55" t="n">
        <v>13.4824091263014</v>
      </c>
    </row>
    <row r="182" customFormat="false" ht="15" hidden="false" customHeight="true" outlineLevel="0" collapsed="false">
      <c r="A182" s="10" t="s">
        <v>538</v>
      </c>
      <c r="B182" s="10" t="s">
        <v>539</v>
      </c>
      <c r="C182" s="55" t="n">
        <v>0.0440000000000001</v>
      </c>
      <c r="D182" s="55" t="n">
        <v>0.0448800000000001</v>
      </c>
      <c r="E182" s="55" t="n">
        <v>0</v>
      </c>
      <c r="F182" s="55" t="n">
        <v>0</v>
      </c>
      <c r="G182" s="55" t="n">
        <v>0.0832622555795959</v>
      </c>
      <c r="H182" s="55" t="n">
        <v>1.83869380726893</v>
      </c>
      <c r="I182" s="55" t="n">
        <v>0</v>
      </c>
      <c r="J182" s="55" t="n">
        <v>0</v>
      </c>
      <c r="K182" s="55" t="n">
        <v>0</v>
      </c>
      <c r="L182" s="55" t="n">
        <v>0</v>
      </c>
      <c r="M182" s="55" t="n">
        <v>0</v>
      </c>
      <c r="N182" s="55" t="n">
        <v>2.01083606284853</v>
      </c>
      <c r="O182" s="55" t="n">
        <v>10.1002280838362</v>
      </c>
    </row>
    <row r="183" customFormat="false" ht="15" hidden="false" customHeight="true" outlineLevel="0" collapsed="false">
      <c r="A183" s="10" t="s">
        <v>540</v>
      </c>
      <c r="B183" s="10" t="s">
        <v>541</v>
      </c>
      <c r="C183" s="55" t="n">
        <v>0.0694121788102782</v>
      </c>
      <c r="D183" s="55" t="n">
        <v>0</v>
      </c>
      <c r="E183" s="55" t="n">
        <v>0</v>
      </c>
      <c r="F183" s="55" t="n">
        <v>0</v>
      </c>
      <c r="G183" s="55" t="n">
        <v>0.0576352906047536</v>
      </c>
      <c r="H183" s="55" t="n">
        <v>0.6215</v>
      </c>
      <c r="I183" s="55" t="n">
        <v>1.17345</v>
      </c>
      <c r="J183" s="55" t="n">
        <v>0</v>
      </c>
      <c r="K183" s="55" t="n">
        <v>0</v>
      </c>
      <c r="L183" s="55" t="n">
        <v>0</v>
      </c>
      <c r="M183" s="55" t="n">
        <v>0</v>
      </c>
      <c r="N183" s="55" t="n">
        <v>1.92199746941503</v>
      </c>
      <c r="O183" s="55" t="n">
        <v>7.60956845928454</v>
      </c>
    </row>
    <row r="184" customFormat="false" ht="15" hidden="false" customHeight="true" outlineLevel="0" collapsed="false">
      <c r="A184" s="10" t="s">
        <v>543</v>
      </c>
      <c r="B184" s="10" t="s">
        <v>544</v>
      </c>
      <c r="C184" s="55" t="n">
        <v>0</v>
      </c>
      <c r="D184" s="55" t="n">
        <v>0</v>
      </c>
      <c r="E184" s="55" t="n">
        <v>0</v>
      </c>
      <c r="F184" s="55" t="n">
        <v>0</v>
      </c>
      <c r="G184" s="55" t="n">
        <v>0.125237436832629</v>
      </c>
      <c r="H184" s="55" t="n">
        <v>0.187545</v>
      </c>
      <c r="I184" s="55" t="n">
        <v>0</v>
      </c>
      <c r="J184" s="55" t="n">
        <v>0</v>
      </c>
      <c r="K184" s="55" t="n">
        <v>0</v>
      </c>
      <c r="L184" s="55" t="n">
        <v>0</v>
      </c>
      <c r="M184" s="55" t="n">
        <v>0</v>
      </c>
      <c r="N184" s="55" t="n">
        <v>0.312782436832629</v>
      </c>
      <c r="O184" s="55" t="n">
        <v>1.12745733816184</v>
      </c>
    </row>
    <row r="185" customFormat="false" ht="15" hidden="false" customHeight="true" outlineLevel="0" collapsed="false">
      <c r="B185" s="7" t="s">
        <v>1045</v>
      </c>
      <c r="C185" s="56" t="n">
        <v>2.15875248055006</v>
      </c>
      <c r="D185" s="56" t="n">
        <v>1.25964081956676</v>
      </c>
      <c r="E185" s="56" t="n">
        <v>0</v>
      </c>
      <c r="F185" s="56" t="n">
        <v>0.2408</v>
      </c>
      <c r="G185" s="56" t="n">
        <v>8.3547765907592</v>
      </c>
      <c r="H185" s="56" t="n">
        <v>28.6990982830084</v>
      </c>
      <c r="I185" s="56" t="n">
        <v>19.1904</v>
      </c>
      <c r="J185" s="56" t="n">
        <v>0</v>
      </c>
      <c r="K185" s="56" t="n">
        <v>3.7009329</v>
      </c>
      <c r="L185" s="56" t="n">
        <v>1.73138049212771</v>
      </c>
      <c r="M185" s="56" t="n">
        <v>0.55605299</v>
      </c>
      <c r="N185" s="56" t="n">
        <v>65.8918345560122</v>
      </c>
      <c r="O185" s="56" t="n">
        <v>330.851822812796</v>
      </c>
    </row>
    <row r="186" customFormat="false" ht="15" hidden="false" customHeight="true" outlineLevel="0" collapsed="false">
      <c r="B186" s="7" t="s">
        <v>1046</v>
      </c>
      <c r="C186" s="57" t="n">
        <v>0.0152441671425951</v>
      </c>
      <c r="D186" s="57" t="n">
        <v>0.00936768182733535</v>
      </c>
      <c r="E186" s="57" t="n">
        <v>0</v>
      </c>
      <c r="F186" s="57" t="n">
        <v>0.000902061575712225</v>
      </c>
      <c r="G186" s="57" t="n">
        <v>0.043243401082396</v>
      </c>
      <c r="H186" s="57" t="n">
        <v>0.183352666079804</v>
      </c>
      <c r="I186" s="57" t="n">
        <v>0.124006777424487</v>
      </c>
      <c r="J186" s="57" t="n">
        <v>0</v>
      </c>
      <c r="K186" s="57" t="n">
        <v>0.0247395833333333</v>
      </c>
      <c r="L186" s="57" t="n">
        <v>0.00395530751897882</v>
      </c>
      <c r="M186" s="57" t="n">
        <v>0.00352357736814574</v>
      </c>
      <c r="N186" s="57" t="n">
        <v>0.408335223352787</v>
      </c>
      <c r="O186" s="57" t="n">
        <v>2.07077900869642</v>
      </c>
    </row>
    <row r="187" customFormat="false" ht="15" hidden="false" customHeight="true" outlineLevel="0" collapsed="false">
      <c r="B187" s="7" t="s">
        <v>1047</v>
      </c>
      <c r="C187" s="58" t="n">
        <v>0</v>
      </c>
      <c r="D187" s="58" t="n">
        <v>0</v>
      </c>
      <c r="E187" s="58" t="n">
        <v>0</v>
      </c>
      <c r="F187" s="58" t="n">
        <v>0</v>
      </c>
      <c r="G187" s="58" t="n">
        <v>0</v>
      </c>
      <c r="H187" s="58" t="n">
        <v>0</v>
      </c>
      <c r="I187" s="58" t="n">
        <v>0</v>
      </c>
      <c r="J187" s="58" t="n">
        <v>0</v>
      </c>
      <c r="K187" s="58" t="n">
        <v>0</v>
      </c>
      <c r="L187" s="58" t="n">
        <v>0</v>
      </c>
      <c r="M187" s="58" t="n">
        <v>0</v>
      </c>
      <c r="N187" s="58" t="n">
        <v>0</v>
      </c>
      <c r="O187" s="58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7" min="1" style="1" width="11"/>
  </cols>
  <sheetData>
    <row r="1" customFormat="false" ht="17.25" hidden="false" customHeight="true" outlineLevel="0" collapsed="false">
      <c r="A1" s="5" t="s">
        <v>1053</v>
      </c>
    </row>
    <row r="2" customFormat="false" ht="15" hidden="false" customHeight="true" outlineLevel="0" collapsed="false">
      <c r="A2" s="6" t="s">
        <v>1054</v>
      </c>
    </row>
    <row r="4" customFormat="false" ht="39.75" hidden="false" customHeight="true" outlineLevel="0" collapsed="false">
      <c r="A4" s="21" t="s">
        <v>1055</v>
      </c>
      <c r="B4" s="21" t="s">
        <v>1056</v>
      </c>
      <c r="C4" s="21" t="s">
        <v>1057</v>
      </c>
      <c r="D4" s="21" t="s">
        <v>1058</v>
      </c>
      <c r="E4" s="21" t="s">
        <v>1059</v>
      </c>
      <c r="F4" s="21" t="s">
        <v>1060</v>
      </c>
      <c r="G4" s="21" t="s">
        <v>1061</v>
      </c>
      <c r="H4" s="21" t="s">
        <v>1062</v>
      </c>
      <c r="I4" s="21" t="s">
        <v>1063</v>
      </c>
      <c r="J4" s="21" t="s">
        <v>1064</v>
      </c>
      <c r="K4" s="21" t="s">
        <v>1065</v>
      </c>
      <c r="L4" s="21" t="s">
        <v>623</v>
      </c>
      <c r="M4" s="21" t="s">
        <v>1066</v>
      </c>
      <c r="N4" s="21" t="s">
        <v>496</v>
      </c>
      <c r="O4" s="21" t="s">
        <v>499</v>
      </c>
      <c r="P4" s="21" t="s">
        <v>501</v>
      </c>
      <c r="Q4" s="21" t="s">
        <v>503</v>
      </c>
      <c r="R4" s="21" t="s">
        <v>505</v>
      </c>
      <c r="S4" s="21" t="s">
        <v>507</v>
      </c>
      <c r="T4" s="21" t="s">
        <v>509</v>
      </c>
      <c r="U4" s="21" t="s">
        <v>510</v>
      </c>
      <c r="V4" s="21" t="s">
        <v>512</v>
      </c>
      <c r="W4" s="21" t="s">
        <v>514</v>
      </c>
      <c r="X4" s="21" t="s">
        <v>516</v>
      </c>
      <c r="Y4" s="21" t="s">
        <v>518</v>
      </c>
      <c r="Z4" s="21" t="s">
        <v>520</v>
      </c>
      <c r="AA4" s="21" t="s">
        <v>522</v>
      </c>
      <c r="AB4" s="21" t="s">
        <v>525</v>
      </c>
      <c r="AC4" s="21" t="s">
        <v>527</v>
      </c>
      <c r="AD4" s="21" t="s">
        <v>530</v>
      </c>
      <c r="AE4" s="21" t="s">
        <v>532</v>
      </c>
      <c r="AF4" s="21" t="s">
        <v>534</v>
      </c>
      <c r="AG4" s="21" t="s">
        <v>535</v>
      </c>
      <c r="AH4" s="21" t="s">
        <v>537</v>
      </c>
      <c r="AI4" s="21" t="s">
        <v>538</v>
      </c>
      <c r="AJ4" s="21" t="s">
        <v>540</v>
      </c>
      <c r="AK4" s="21" t="s">
        <v>543</v>
      </c>
    </row>
    <row r="5" customFormat="false" ht="15" hidden="false" customHeight="true" outlineLevel="0" collapsed="false">
      <c r="A5" s="59" t="n">
        <v>0</v>
      </c>
      <c r="B5" s="60" t="n">
        <v>0.5</v>
      </c>
      <c r="C5" s="61" t="n">
        <v>0.180721480331095</v>
      </c>
      <c r="D5" s="61" t="n">
        <v>1</v>
      </c>
      <c r="E5" s="61" t="n">
        <v>0.991152084637428</v>
      </c>
      <c r="F5" s="10" t="s">
        <v>1067</v>
      </c>
      <c r="G5" s="55" t="n">
        <v>13.5127570395035</v>
      </c>
      <c r="H5" s="62" t="n">
        <v>0</v>
      </c>
      <c r="I5" s="62" t="n">
        <v>0</v>
      </c>
      <c r="J5" s="62" t="n">
        <v>0</v>
      </c>
      <c r="K5" s="55" t="n">
        <v>0</v>
      </c>
      <c r="L5" s="55" t="n">
        <v>6.93317938733866</v>
      </c>
      <c r="M5" s="10" t="s">
        <v>1068</v>
      </c>
      <c r="N5" s="61" t="n">
        <v>0.138529265392412</v>
      </c>
      <c r="O5" s="61" t="n">
        <v>0.108215272367633</v>
      </c>
      <c r="P5" s="61" t="n">
        <v>0.127146698662514</v>
      </c>
      <c r="Q5" s="61" t="n">
        <v>0.0997843942889806</v>
      </c>
      <c r="R5" s="61" t="n">
        <v>0.123149060172353</v>
      </c>
      <c r="S5" s="61" t="n">
        <v>0.147566694760986</v>
      </c>
      <c r="T5" s="61" t="n">
        <v>0.0974175598843039</v>
      </c>
      <c r="U5" s="61" t="n">
        <v>0.107621897315671</v>
      </c>
      <c r="V5" s="61" t="n">
        <v>0.106550761693164</v>
      </c>
      <c r="W5" s="61" t="n">
        <v>0.10896220731431</v>
      </c>
      <c r="X5" s="61" t="n">
        <v>0.109077025513588</v>
      </c>
      <c r="Y5" s="61" t="n">
        <v>0.10645955659052</v>
      </c>
      <c r="Z5" s="61" t="n">
        <v>0.104601184799036</v>
      </c>
      <c r="AA5" s="61" t="n">
        <v>0.142125866869927</v>
      </c>
      <c r="AB5" s="61" t="n">
        <v>0.140303835672723</v>
      </c>
      <c r="AC5" s="61" t="n">
        <v>0.138016555475784</v>
      </c>
      <c r="AD5" s="61" t="n">
        <v>0.128801654458578</v>
      </c>
      <c r="AE5" s="61" t="n">
        <v>0.131104013789758</v>
      </c>
      <c r="AF5" s="61" t="n">
        <v>0.142630931683967</v>
      </c>
      <c r="AG5" s="61" t="n">
        <v>0.128046742028618</v>
      </c>
      <c r="AH5" s="61" t="n">
        <v>0.125213058252478</v>
      </c>
      <c r="AI5" s="61" t="n">
        <v>0.13463628656289</v>
      </c>
      <c r="AJ5" s="61" t="n">
        <v>0.133949529368331</v>
      </c>
      <c r="AK5" s="61" t="n">
        <v>0.0888916095397439</v>
      </c>
    </row>
    <row r="6" customFormat="false" ht="15" hidden="false" customHeight="true" outlineLevel="0" collapsed="false">
      <c r="A6" s="59" t="n">
        <v>-0.0625</v>
      </c>
      <c r="B6" s="60" t="n">
        <v>0.475082330970753</v>
      </c>
      <c r="C6" s="61" t="n">
        <v>0.190061975931253</v>
      </c>
      <c r="D6" s="61" t="n">
        <v>0.990544718736708</v>
      </c>
      <c r="E6" s="61" t="n">
        <v>0.98152446724047</v>
      </c>
      <c r="F6" s="10" t="s">
        <v>1067</v>
      </c>
      <c r="G6" s="55" t="n">
        <v>18.9001386551918</v>
      </c>
      <c r="H6" s="62" t="n">
        <v>0</v>
      </c>
      <c r="I6" s="62" t="n">
        <v>0</v>
      </c>
      <c r="J6" s="62" t="n">
        <v>0</v>
      </c>
      <c r="K6" s="55" t="n">
        <v>0</v>
      </c>
      <c r="L6" s="55" t="n">
        <v>7.35053199353261</v>
      </c>
      <c r="M6" s="10" t="s">
        <v>1068</v>
      </c>
      <c r="N6" s="61" t="n">
        <v>0.137966524506386</v>
      </c>
      <c r="O6" s="61" t="n">
        <v>0.107824003060508</v>
      </c>
      <c r="P6" s="61" t="n">
        <v>0.126712940999619</v>
      </c>
      <c r="Q6" s="61" t="n">
        <v>0.0993654426383913</v>
      </c>
      <c r="R6" s="61" t="n">
        <v>0.122488954956742</v>
      </c>
      <c r="S6" s="61" t="n">
        <v>0.146708845734348</v>
      </c>
      <c r="T6" s="61" t="n">
        <v>0.0970478195246211</v>
      </c>
      <c r="U6" s="61" t="n">
        <v>0.107234044996169</v>
      </c>
      <c r="V6" s="61" t="n">
        <v>0.106165488585658</v>
      </c>
      <c r="W6" s="61" t="n">
        <v>0.108443656357245</v>
      </c>
      <c r="X6" s="61" t="n">
        <v>0.108649970399284</v>
      </c>
      <c r="Y6" s="61" t="n">
        <v>0.105886247063434</v>
      </c>
      <c r="Z6" s="61" t="n">
        <v>0.104153789950143</v>
      </c>
      <c r="AA6" s="61" t="n">
        <v>0.141223275821823</v>
      </c>
      <c r="AB6" s="61" t="n">
        <v>0.139881483368945</v>
      </c>
      <c r="AC6" s="61" t="n">
        <v>0.137189431915549</v>
      </c>
      <c r="AD6" s="61" t="n">
        <v>0.128109994360714</v>
      </c>
      <c r="AE6" s="61" t="n">
        <v>0.130538836039289</v>
      </c>
      <c r="AF6" s="61" t="n">
        <v>0.141975184343062</v>
      </c>
      <c r="AG6" s="61" t="n">
        <v>0.127124702560906</v>
      </c>
      <c r="AH6" s="61" t="n">
        <v>0.124493680348723</v>
      </c>
      <c r="AI6" s="61" t="n">
        <v>0.134024672678355</v>
      </c>
      <c r="AJ6" s="61" t="n">
        <v>0.133381006281252</v>
      </c>
      <c r="AK6" s="61" t="n">
        <v>0.0885044017149349</v>
      </c>
    </row>
    <row r="7" customFormat="false" ht="15" hidden="false" customHeight="true" outlineLevel="0" collapsed="false">
      <c r="A7" s="59" t="n">
        <v>-0.125</v>
      </c>
      <c r="B7" s="60" t="n">
        <v>0.450261775169887</v>
      </c>
      <c r="C7" s="61" t="n">
        <v>0.199707407026203</v>
      </c>
      <c r="D7" s="61" t="n">
        <v>0.980852646098804</v>
      </c>
      <c r="E7" s="61" t="n">
        <v>0.97164117701381</v>
      </c>
      <c r="F7" s="10" t="s">
        <v>1067</v>
      </c>
      <c r="G7" s="55" t="n">
        <v>24.3037837632517</v>
      </c>
      <c r="H7" s="62" t="n">
        <v>0</v>
      </c>
      <c r="I7" s="62" t="n">
        <v>0</v>
      </c>
      <c r="J7" s="62" t="n">
        <v>0</v>
      </c>
      <c r="K7" s="55" t="n">
        <v>0</v>
      </c>
      <c r="L7" s="55" t="n">
        <v>7.90266022994699</v>
      </c>
      <c r="M7" s="10" t="s">
        <v>1068</v>
      </c>
      <c r="N7" s="61" t="n">
        <v>0.137404680275536</v>
      </c>
      <c r="O7" s="61" t="n">
        <v>0.107432974017304</v>
      </c>
      <c r="P7" s="61" t="n">
        <v>0.12627901598566</v>
      </c>
      <c r="Q7" s="61" t="n">
        <v>0.0989471313966562</v>
      </c>
      <c r="R7" s="61" t="n">
        <v>0.121829596384291</v>
      </c>
      <c r="S7" s="61" t="n">
        <v>0.145849614244285</v>
      </c>
      <c r="T7" s="61" t="n">
        <v>0.0966792099299452</v>
      </c>
      <c r="U7" s="61" t="n">
        <v>0.106847461716023</v>
      </c>
      <c r="V7" s="61" t="n">
        <v>0.105781588557216</v>
      </c>
      <c r="W7" s="61" t="n">
        <v>0.107926555445038</v>
      </c>
      <c r="X7" s="61" t="n">
        <v>0.108224164019184</v>
      </c>
      <c r="Y7" s="61" t="n">
        <v>0.1053146391777</v>
      </c>
      <c r="Z7" s="61" t="n">
        <v>0.103707729574857</v>
      </c>
      <c r="AA7" s="61" t="n">
        <v>0.140323283308696</v>
      </c>
      <c r="AB7" s="61" t="n">
        <v>0.139460649589522</v>
      </c>
      <c r="AC7" s="61" t="n">
        <v>0.136364596562873</v>
      </c>
      <c r="AD7" s="61" t="n">
        <v>0.12742046573595</v>
      </c>
      <c r="AE7" s="61" t="n">
        <v>0.129975676112152</v>
      </c>
      <c r="AF7" s="61" t="n">
        <v>0.141321495963983</v>
      </c>
      <c r="AG7" s="61" t="n">
        <v>0.126205013554852</v>
      </c>
      <c r="AH7" s="61" t="n">
        <v>0.123776447170192</v>
      </c>
      <c r="AI7" s="61" t="n">
        <v>0.13341473192164</v>
      </c>
      <c r="AJ7" s="61" t="n">
        <v>0.132814044358664</v>
      </c>
      <c r="AK7" s="61" t="n">
        <v>0.0881183744352203</v>
      </c>
    </row>
    <row r="8" customFormat="false" ht="15" hidden="false" customHeight="true" outlineLevel="0" collapsed="false">
      <c r="A8" s="59" t="n">
        <v>-0.1875</v>
      </c>
      <c r="B8" s="60" t="n">
        <v>0.425634311844103</v>
      </c>
      <c r="C8" s="61" t="n">
        <v>0.209655658842777</v>
      </c>
      <c r="D8" s="61" t="n">
        <v>0.970921721267318</v>
      </c>
      <c r="E8" s="61" t="n">
        <v>0.961490337159278</v>
      </c>
      <c r="F8" s="10" t="s">
        <v>1067</v>
      </c>
      <c r="G8" s="55" t="n">
        <v>29.7250601078398</v>
      </c>
      <c r="H8" s="62" t="n">
        <v>0</v>
      </c>
      <c r="I8" s="62" t="n">
        <v>0</v>
      </c>
      <c r="J8" s="62" t="n">
        <v>0</v>
      </c>
      <c r="K8" s="55" t="n">
        <v>0</v>
      </c>
      <c r="L8" s="55" t="n">
        <v>8.61033103119952</v>
      </c>
      <c r="M8" s="10" t="s">
        <v>1068</v>
      </c>
      <c r="N8" s="61" t="n">
        <v>0.136843759085623</v>
      </c>
      <c r="O8" s="61" t="n">
        <v>0.1070422687347</v>
      </c>
      <c r="P8" s="61" t="n">
        <v>0.125845021665021</v>
      </c>
      <c r="Q8" s="61" t="n">
        <v>0.0985295903920685</v>
      </c>
      <c r="R8" s="61" t="n">
        <v>0.121171182194812</v>
      </c>
      <c r="S8" s="61" t="n">
        <v>0.144987775310467</v>
      </c>
      <c r="T8" s="61" t="n">
        <v>0.096311719348915</v>
      </c>
      <c r="U8" s="61" t="n">
        <v>0.106462132169713</v>
      </c>
      <c r="V8" s="61" t="n">
        <v>0.105399052308203</v>
      </c>
      <c r="W8" s="61" t="n">
        <v>0.107410841202352</v>
      </c>
      <c r="X8" s="61" t="n">
        <v>0.107799546277433</v>
      </c>
      <c r="Y8" s="61" t="n">
        <v>0.104744723011518</v>
      </c>
      <c r="Z8" s="61" t="n">
        <v>0.103262994394373</v>
      </c>
      <c r="AA8" s="61" t="n">
        <v>0.13942575673819</v>
      </c>
      <c r="AB8" s="61" t="n">
        <v>0.139041317296358</v>
      </c>
      <c r="AC8" s="61" t="n">
        <v>0.135541926422782</v>
      </c>
      <c r="AD8" s="61" t="n">
        <v>0.126732985044638</v>
      </c>
      <c r="AE8" s="61" t="n">
        <v>0.129414500236038</v>
      </c>
      <c r="AF8" s="61" t="n">
        <v>0.140669799307897</v>
      </c>
      <c r="AG8" s="61" t="n">
        <v>0.125286417805595</v>
      </c>
      <c r="AH8" s="61" t="n">
        <v>0.123061285114822</v>
      </c>
      <c r="AI8" s="61" t="n">
        <v>0.132806394420297</v>
      </c>
      <c r="AJ8" s="61" t="n">
        <v>0.132248558314639</v>
      </c>
      <c r="AK8" s="61" t="n">
        <v>0.0877334787507979</v>
      </c>
    </row>
    <row r="9" customFormat="false" ht="15" hidden="false" customHeight="true" outlineLevel="0" collapsed="false">
      <c r="A9" s="59" t="n">
        <v>-0.25</v>
      </c>
      <c r="B9" s="60" t="n">
        <v>0.401293674317076</v>
      </c>
      <c r="C9" s="61" t="n">
        <v>0.219903737454917</v>
      </c>
      <c r="D9" s="61" t="n">
        <v>0.960750638781967</v>
      </c>
      <c r="E9" s="61" t="n">
        <v>0.951031122803007</v>
      </c>
      <c r="F9" s="10" t="s">
        <v>1067</v>
      </c>
      <c r="G9" s="55" t="n">
        <v>35.1646199797952</v>
      </c>
      <c r="H9" s="62" t="n">
        <v>0</v>
      </c>
      <c r="I9" s="62" t="n">
        <v>0</v>
      </c>
      <c r="J9" s="62" t="n">
        <v>0</v>
      </c>
      <c r="K9" s="55" t="n">
        <v>0</v>
      </c>
      <c r="L9" s="55" t="n">
        <v>9.55779048254383</v>
      </c>
      <c r="M9" s="10" t="s">
        <v>1068</v>
      </c>
      <c r="N9" s="61" t="n">
        <v>0.136283696906506</v>
      </c>
      <c r="O9" s="61" t="n">
        <v>0.106651874968412</v>
      </c>
      <c r="P9" s="61" t="n">
        <v>0.125410921908651</v>
      </c>
      <c r="Q9" s="61" t="n">
        <v>0.0981128262295343</v>
      </c>
      <c r="R9" s="61" t="n">
        <v>0.120513680592417</v>
      </c>
      <c r="S9" s="61" t="n">
        <v>0.144123462610066</v>
      </c>
      <c r="T9" s="61" t="n">
        <v>0.0959453336917372</v>
      </c>
      <c r="U9" s="61" t="n">
        <v>0.106078037322582</v>
      </c>
      <c r="V9" s="61" t="n">
        <v>0.10501786913974</v>
      </c>
      <c r="W9" s="61" t="n">
        <v>0.106896431115284</v>
      </c>
      <c r="X9" s="61" t="n">
        <v>0.107376039163633</v>
      </c>
      <c r="Y9" s="61" t="n">
        <v>0.104176488206888</v>
      </c>
      <c r="Z9" s="61" t="n">
        <v>0.102819573642651</v>
      </c>
      <c r="AA9" s="61" t="n">
        <v>0.138530519335583</v>
      </c>
      <c r="AB9" s="61" t="n">
        <v>0.138623458699734</v>
      </c>
      <c r="AC9" s="61" t="n">
        <v>0.134721263809914</v>
      </c>
      <c r="AD9" s="61" t="n">
        <v>0.126047443730037</v>
      </c>
      <c r="AE9" s="61" t="n">
        <v>0.12885525282758</v>
      </c>
      <c r="AF9" s="61" t="n">
        <v>0.140020006798811</v>
      </c>
      <c r="AG9" s="61" t="n">
        <v>0.124368896987307</v>
      </c>
      <c r="AH9" s="61" t="n">
        <v>0.122348082962535</v>
      </c>
      <c r="AI9" s="61" t="n">
        <v>0.132199554112429</v>
      </c>
      <c r="AJ9" s="61" t="n">
        <v>0.131684447685244</v>
      </c>
      <c r="AK9" s="61" t="n">
        <v>0.0873496459013632</v>
      </c>
    </row>
    <row r="10" customFormat="false" ht="15" hidden="false" customHeight="true" outlineLevel="0" collapsed="false">
      <c r="A10" s="59" t="n">
        <v>-0.3125</v>
      </c>
      <c r="B10" s="60" t="n">
        <v>0.377330281529843</v>
      </c>
      <c r="C10" s="61" t="n">
        <v>0.230447750147062</v>
      </c>
      <c r="D10" s="61" t="n">
        <v>0.950338878556066</v>
      </c>
      <c r="E10" s="61" t="n">
        <v>0.940090979891977</v>
      </c>
      <c r="F10" s="10" t="s">
        <v>1067</v>
      </c>
      <c r="G10" s="55" t="n">
        <v>40.6384216003021</v>
      </c>
      <c r="H10" s="62" t="n">
        <v>0</v>
      </c>
      <c r="I10" s="62" t="n">
        <v>0</v>
      </c>
      <c r="J10" s="62" t="n">
        <v>0</v>
      </c>
      <c r="K10" s="55" t="n">
        <v>0</v>
      </c>
      <c r="L10" s="55" t="n">
        <v>11.0524027303777</v>
      </c>
      <c r="M10" s="10" t="s">
        <v>1068</v>
      </c>
      <c r="N10" s="61" t="n">
        <v>0.135723598394253</v>
      </c>
      <c r="O10" s="61" t="n">
        <v>0.106261340790892</v>
      </c>
      <c r="P10" s="61" t="n">
        <v>0.124976125838524</v>
      </c>
      <c r="Q10" s="61" t="n">
        <v>0.0976963451045768</v>
      </c>
      <c r="R10" s="61" t="n">
        <v>0.119855294192811</v>
      </c>
      <c r="S10" s="61" t="n">
        <v>0.143255279867212</v>
      </c>
      <c r="T10" s="61" t="n">
        <v>0.0955797392611633</v>
      </c>
      <c r="U10" s="61" t="n">
        <v>0.105694980516623</v>
      </c>
      <c r="V10" s="61" t="n">
        <v>0.104637958140185</v>
      </c>
      <c r="W10" s="61" t="n">
        <v>0.106382305448224</v>
      </c>
      <c r="X10" s="61" t="n">
        <v>0.106952687078953</v>
      </c>
      <c r="Y10" s="61" t="n">
        <v>0.103609900062457</v>
      </c>
      <c r="Z10" s="61" t="n">
        <v>0.102377382139083</v>
      </c>
      <c r="AA10" s="61" t="n">
        <v>0.137635339632618</v>
      </c>
      <c r="AB10" s="61" t="n">
        <v>0.138206525797481</v>
      </c>
      <c r="AC10" s="61" t="n">
        <v>0.133900856940058</v>
      </c>
      <c r="AD10" s="61" t="n">
        <v>0.125362565928713</v>
      </c>
      <c r="AE10" s="61" t="n">
        <v>0.128296624131149</v>
      </c>
      <c r="AF10" s="61" t="n">
        <v>0.139371097505812</v>
      </c>
      <c r="AG10" s="61" t="n">
        <v>0.123450395978166</v>
      </c>
      <c r="AH10" s="61" t="n">
        <v>0.121634884325744</v>
      </c>
      <c r="AI10" s="61" t="n">
        <v>0.131592476458792</v>
      </c>
      <c r="AJ10" s="61" t="n">
        <v>0.131120949543243</v>
      </c>
      <c r="AK10" s="61" t="n">
        <v>0.0869658878456891</v>
      </c>
    </row>
    <row r="11" customFormat="false" ht="15" hidden="false" customHeight="true" outlineLevel="0" collapsed="false">
      <c r="A11" s="59" t="n">
        <v>-0.375</v>
      </c>
      <c r="B11" s="60" t="n">
        <v>0.353830233327276</v>
      </c>
      <c r="C11" s="61" t="n">
        <v>0.241282890055073</v>
      </c>
      <c r="D11" s="61" t="n">
        <v>0.939686730384805</v>
      </c>
      <c r="E11" s="61" t="n">
        <v>0.928845406248491</v>
      </c>
      <c r="F11" s="10" t="s">
        <v>1067</v>
      </c>
      <c r="G11" s="55" t="n">
        <v>46.1196237158725</v>
      </c>
      <c r="H11" s="62" t="n">
        <v>0</v>
      </c>
      <c r="I11" s="62" t="n">
        <v>0</v>
      </c>
      <c r="J11" s="62" t="n">
        <v>0</v>
      </c>
      <c r="K11" s="55" t="n">
        <v>0</v>
      </c>
      <c r="L11" s="55" t="n">
        <v>12.7638213028413</v>
      </c>
      <c r="M11" s="10" t="s">
        <v>1068</v>
      </c>
      <c r="N11" s="61" t="n">
        <v>0.135164860756151</v>
      </c>
      <c r="O11" s="61" t="n">
        <v>0.105871427245176</v>
      </c>
      <c r="P11" s="61" t="n">
        <v>0.124541572926558</v>
      </c>
      <c r="Q11" s="61" t="n">
        <v>0.0972808840323155</v>
      </c>
      <c r="R11" s="61" t="n">
        <v>0.119198572578016</v>
      </c>
      <c r="S11" s="61" t="n">
        <v>0.142386355596648</v>
      </c>
      <c r="T11" s="61" t="n">
        <v>0.0952150897028935</v>
      </c>
      <c r="U11" s="61" t="n">
        <v>0.105313288606227</v>
      </c>
      <c r="V11" s="61" t="n">
        <v>0.104259445732191</v>
      </c>
      <c r="W11" s="61" t="n">
        <v>0.105870208417018</v>
      </c>
      <c r="X11" s="61" t="n">
        <v>0.106531122551241</v>
      </c>
      <c r="Y11" s="61" t="n">
        <v>0.103044995965604</v>
      </c>
      <c r="Z11" s="61" t="n">
        <v>0.101936554423454</v>
      </c>
      <c r="AA11" s="61" t="n">
        <v>0.136744039576203</v>
      </c>
      <c r="AB11" s="61" t="n">
        <v>0.13779147358961</v>
      </c>
      <c r="AC11" s="61" t="n">
        <v>0.133083580040165</v>
      </c>
      <c r="AD11" s="61" t="n">
        <v>0.124680514627545</v>
      </c>
      <c r="AE11" s="61" t="n">
        <v>0.127740554285874</v>
      </c>
      <c r="AF11" s="61" t="n">
        <v>0.138724799529768</v>
      </c>
      <c r="AG11" s="61" t="n">
        <v>0.122534990986731</v>
      </c>
      <c r="AH11" s="61" t="n">
        <v>0.120924835250662</v>
      </c>
      <c r="AI11" s="61" t="n">
        <v>0.130988222242573</v>
      </c>
      <c r="AJ11" s="61" t="n">
        <v>0.130559248401507</v>
      </c>
      <c r="AK11" s="61" t="n">
        <v>0.0865839246281739</v>
      </c>
    </row>
    <row r="12" customFormat="false" ht="15" hidden="false" customHeight="true" outlineLevel="0" collapsed="false">
      <c r="A12" s="59" t="n">
        <v>-0.4375</v>
      </c>
      <c r="B12" s="60" t="n">
        <v>0.330874388040879</v>
      </c>
      <c r="C12" s="61" t="n">
        <v>0.252403425347261</v>
      </c>
      <c r="D12" s="61" t="n">
        <v>0.928795312574208</v>
      </c>
      <c r="E12" s="61" t="n">
        <v>0.917262607501928</v>
      </c>
      <c r="F12" s="10" t="s">
        <v>1067</v>
      </c>
      <c r="G12" s="55" t="n">
        <v>51.6584256549656</v>
      </c>
      <c r="H12" s="62" t="n">
        <v>0</v>
      </c>
      <c r="I12" s="62" t="n">
        <v>0</v>
      </c>
      <c r="J12" s="62" t="n">
        <v>0</v>
      </c>
      <c r="K12" s="55" t="n">
        <v>0</v>
      </c>
      <c r="L12" s="55" t="n">
        <v>17.9312087378243</v>
      </c>
      <c r="M12" s="10" t="s">
        <v>1068</v>
      </c>
      <c r="N12" s="61" t="n">
        <v>0.134605034346924</v>
      </c>
      <c r="O12" s="61" t="n">
        <v>0.105480566041771</v>
      </c>
      <c r="P12" s="61" t="n">
        <v>0.124105850156207</v>
      </c>
      <c r="Q12" s="61" t="n">
        <v>0.0968653124137519</v>
      </c>
      <c r="R12" s="61" t="n">
        <v>0.118536024684215</v>
      </c>
      <c r="S12" s="61" t="n">
        <v>0.141508782815865</v>
      </c>
      <c r="T12" s="61" t="n">
        <v>0.0948511125336659</v>
      </c>
      <c r="U12" s="61" t="n">
        <v>0.104932700381891</v>
      </c>
      <c r="V12" s="61" t="n">
        <v>0.103882130957539</v>
      </c>
      <c r="W12" s="61" t="n">
        <v>0.105356946229647</v>
      </c>
      <c r="X12" s="61" t="n">
        <v>0.106109045006249</v>
      </c>
      <c r="Y12" s="61" t="n">
        <v>0.102481726954678</v>
      </c>
      <c r="Z12" s="61" t="n">
        <v>0.101496837301071</v>
      </c>
      <c r="AA12" s="61" t="n">
        <v>0.13584632216565</v>
      </c>
      <c r="AB12" s="61" t="n">
        <v>0.137377646165496</v>
      </c>
      <c r="AC12" s="61" t="n">
        <v>0.132260770214808</v>
      </c>
      <c r="AD12" s="61" t="n">
        <v>0.123995239268243</v>
      </c>
      <c r="AE12" s="61" t="n">
        <v>0.127182497033567</v>
      </c>
      <c r="AF12" s="61" t="n">
        <v>0.138077442206169</v>
      </c>
      <c r="AG12" s="61" t="n">
        <v>0.121619360078745</v>
      </c>
      <c r="AH12" s="61" t="n">
        <v>0.12021554857512</v>
      </c>
      <c r="AI12" s="61" t="n">
        <v>0.130384454473648</v>
      </c>
      <c r="AJ12" s="61" t="n">
        <v>0.12999608317664</v>
      </c>
      <c r="AK12" s="61" t="n">
        <v>0.0861993813088121</v>
      </c>
    </row>
    <row r="13" customFormat="false" ht="15" hidden="false" customHeight="true" outlineLevel="0" collapsed="false">
      <c r="A13" s="59" t="n">
        <v>-0.5</v>
      </c>
      <c r="B13" s="60" t="n">
        <v>0.308537538725987</v>
      </c>
      <c r="C13" s="61" t="n">
        <v>0.263802693178172</v>
      </c>
      <c r="D13" s="61" t="n">
        <v>0.917666584386078</v>
      </c>
      <c r="E13" s="61" t="n">
        <v>0.905351499305714</v>
      </c>
      <c r="F13" s="10" t="s">
        <v>1067</v>
      </c>
      <c r="G13" s="55" t="n">
        <v>57.2398488996409</v>
      </c>
      <c r="H13" s="62" t="n">
        <v>0</v>
      </c>
      <c r="I13" s="62" t="n">
        <v>0</v>
      </c>
      <c r="J13" s="62" t="n">
        <v>0</v>
      </c>
      <c r="K13" s="55" t="n">
        <v>0</v>
      </c>
      <c r="L13" s="55" t="n">
        <v>24.7200260931372</v>
      </c>
      <c r="M13" s="10" t="s">
        <v>1068</v>
      </c>
      <c r="N13" s="61" t="n">
        <v>0.134044776777925</v>
      </c>
      <c r="O13" s="61" t="n">
        <v>0.105089222136716</v>
      </c>
      <c r="P13" s="61" t="n">
        <v>0.123669265549344</v>
      </c>
      <c r="Q13" s="61" t="n">
        <v>0.0964499428723534</v>
      </c>
      <c r="R13" s="61" t="n">
        <v>0.117870628523275</v>
      </c>
      <c r="S13" s="61" t="n">
        <v>0.140625161851265</v>
      </c>
      <c r="T13" s="61" t="n">
        <v>0.0944879379758126</v>
      </c>
      <c r="U13" s="61" t="n">
        <v>0.104553237015259</v>
      </c>
      <c r="V13" s="61" t="n">
        <v>0.103506060438783</v>
      </c>
      <c r="W13" s="61" t="n">
        <v>0.104843446927724</v>
      </c>
      <c r="X13" s="61" t="n">
        <v>0.105687023397742</v>
      </c>
      <c r="Y13" s="61" t="n">
        <v>0.101920090929719</v>
      </c>
      <c r="Z13" s="61" t="n">
        <v>0.101058298411</v>
      </c>
      <c r="AA13" s="61" t="n">
        <v>0.134945646165285</v>
      </c>
      <c r="AB13" s="61" t="n">
        <v>0.136965107902056</v>
      </c>
      <c r="AC13" s="61" t="n">
        <v>0.131435389702549</v>
      </c>
      <c r="AD13" s="61" t="n">
        <v>0.123308780133031</v>
      </c>
      <c r="AE13" s="61" t="n">
        <v>0.12662404116369</v>
      </c>
      <c r="AF13" s="61" t="n">
        <v>0.137430148820861</v>
      </c>
      <c r="AG13" s="61" t="n">
        <v>0.120703918547512</v>
      </c>
      <c r="AH13" s="61" t="n">
        <v>0.119507332200489</v>
      </c>
      <c r="AI13" s="61" t="n">
        <v>0.129781433081382</v>
      </c>
      <c r="AJ13" s="61" t="n">
        <v>0.129432477258823</v>
      </c>
      <c r="AK13" s="61" t="n">
        <v>0.0858137185304271</v>
      </c>
    </row>
    <row r="14" customFormat="false" ht="15" hidden="false" customHeight="true" outlineLevel="0" collapsed="false">
      <c r="A14" s="59" t="n">
        <v>-0.5625</v>
      </c>
      <c r="B14" s="60" t="n">
        <v>0.286887701816365</v>
      </c>
      <c r="C14" s="61" t="n">
        <v>0.275473098614525</v>
      </c>
      <c r="D14" s="61" t="n">
        <v>0.906303352067872</v>
      </c>
      <c r="E14" s="61" t="n">
        <v>0.893111024469553</v>
      </c>
      <c r="F14" s="10" t="s">
        <v>1067</v>
      </c>
      <c r="G14" s="55" t="n">
        <v>62.9183347588503</v>
      </c>
      <c r="H14" s="62" t="n">
        <v>0</v>
      </c>
      <c r="I14" s="62" t="n">
        <v>0</v>
      </c>
      <c r="J14" s="62" t="n">
        <v>0</v>
      </c>
      <c r="K14" s="55" t="n">
        <v>0</v>
      </c>
      <c r="L14" s="55" t="n">
        <v>37.1743504260855</v>
      </c>
      <c r="M14" s="10" t="s">
        <v>1068</v>
      </c>
      <c r="N14" s="61" t="n">
        <v>0.13348059447462</v>
      </c>
      <c r="O14" s="61" t="n">
        <v>0.104695518262047</v>
      </c>
      <c r="P14" s="61" t="n">
        <v>0.123229444729939</v>
      </c>
      <c r="Q14" s="61" t="n">
        <v>0.0960331427601233</v>
      </c>
      <c r="R14" s="61" t="n">
        <v>0.11719623242159</v>
      </c>
      <c r="S14" s="61" t="n">
        <v>0.1397295421834</v>
      </c>
      <c r="T14" s="61" t="n">
        <v>0.0941249618064287</v>
      </c>
      <c r="U14" s="61" t="n">
        <v>0.104174143972666</v>
      </c>
      <c r="V14" s="61" t="n">
        <v>0.103131067549644</v>
      </c>
      <c r="W14" s="61" t="n">
        <v>0.104324020412441</v>
      </c>
      <c r="X14" s="61" t="n">
        <v>0.105259556393439</v>
      </c>
      <c r="Y14" s="61" t="n">
        <v>0.101360048749896</v>
      </c>
      <c r="Z14" s="61" t="n">
        <v>0.100620727745424</v>
      </c>
      <c r="AA14" s="61" t="n">
        <v>0.1340321045761</v>
      </c>
      <c r="AB14" s="61" t="n">
        <v>0.136553773783273</v>
      </c>
      <c r="AC14" s="61" t="n">
        <v>0.130599463554276</v>
      </c>
      <c r="AD14" s="61" t="n">
        <v>0.122614486513419</v>
      </c>
      <c r="AE14" s="61" t="n">
        <v>0.126061710257814</v>
      </c>
      <c r="AF14" s="61" t="n">
        <v>0.136779284395261</v>
      </c>
      <c r="AG14" s="61" t="n">
        <v>0.119782979520072</v>
      </c>
      <c r="AH14" s="61" t="n">
        <v>0.118799046009817</v>
      </c>
      <c r="AI14" s="61" t="n">
        <v>0.129178277958692</v>
      </c>
      <c r="AJ14" s="61" t="n">
        <v>0.128863905413629</v>
      </c>
      <c r="AK14" s="61" t="n">
        <v>0.0854228587380434</v>
      </c>
    </row>
    <row r="15" customFormat="false" ht="15" hidden="false" customHeight="true" outlineLevel="0" collapsed="false">
      <c r="A15" s="59" t="n">
        <v>-0.625</v>
      </c>
      <c r="B15" s="60" t="n">
        <v>0.265985529048701</v>
      </c>
      <c r="C15" s="61" t="n">
        <v>0.287406118696383</v>
      </c>
      <c r="D15" s="61" t="n">
        <v>0.894709268314505</v>
      </c>
      <c r="E15" s="61" t="n">
        <v>0.880540192778931</v>
      </c>
      <c r="F15" s="10" t="s">
        <v>1067</v>
      </c>
      <c r="G15" s="55" t="n">
        <v>68.7935204647295</v>
      </c>
      <c r="H15" s="62" t="n">
        <v>0</v>
      </c>
      <c r="I15" s="62" t="n">
        <v>0</v>
      </c>
      <c r="J15" s="62" t="n">
        <v>0</v>
      </c>
      <c r="K15" s="55" t="n">
        <v>0</v>
      </c>
      <c r="L15" s="55" t="n">
        <v>52.6926175140036</v>
      </c>
      <c r="M15" s="10" t="s">
        <v>1068</v>
      </c>
      <c r="N15" s="61" t="n">
        <v>0.13291387277262</v>
      </c>
      <c r="O15" s="61" t="n">
        <v>0.10423432473871</v>
      </c>
      <c r="P15" s="61" t="n">
        <v>0.122787270146795</v>
      </c>
      <c r="Q15" s="61" t="n">
        <v>0.0956155624717667</v>
      </c>
      <c r="R15" s="61" t="n">
        <v>0.116515726182737</v>
      </c>
      <c r="S15" s="61" t="n">
        <v>0.138824728730636</v>
      </c>
      <c r="T15" s="61" t="n">
        <v>0.0937624287647512</v>
      </c>
      <c r="U15" s="61" t="n">
        <v>0.10379568354137</v>
      </c>
      <c r="V15" s="61" t="n">
        <v>0.102757218540771</v>
      </c>
      <c r="W15" s="61" t="n">
        <v>0.103800964721196</v>
      </c>
      <c r="X15" s="61" t="n">
        <v>0.104828757776079</v>
      </c>
      <c r="Y15" s="61" t="n">
        <v>0.100801604040075</v>
      </c>
      <c r="Z15" s="61" t="n">
        <v>0.100184214238053</v>
      </c>
      <c r="AA15" s="61" t="n">
        <v>0.13311027509225</v>
      </c>
      <c r="AB15" s="61" t="n">
        <v>0.136143673016821</v>
      </c>
      <c r="AC15" s="61" t="n">
        <v>0.129756712304883</v>
      </c>
      <c r="AD15" s="61" t="n">
        <v>0.121915345126746</v>
      </c>
      <c r="AE15" s="61" t="n">
        <v>0.125497245681937</v>
      </c>
      <c r="AF15" s="61" t="n">
        <v>0.136126457424693</v>
      </c>
      <c r="AG15" s="61" t="n">
        <v>0.118858531962098</v>
      </c>
      <c r="AH15" s="61" t="n">
        <v>0.118091099208713</v>
      </c>
      <c r="AI15" s="61" t="n">
        <v>0.128575296362433</v>
      </c>
      <c r="AJ15" s="61" t="n">
        <v>0.128292244804654</v>
      </c>
      <c r="AK15" s="61" t="n">
        <v>0.0850287014079777</v>
      </c>
    </row>
    <row r="16" customFormat="false" ht="15" hidden="false" customHeight="true" outlineLevel="0" collapsed="false">
      <c r="A16" s="59" t="n">
        <v>-0.6875</v>
      </c>
      <c r="B16" s="60" t="n">
        <v>0.245883850380261</v>
      </c>
      <c r="C16" s="61" t="n">
        <v>0.299592311757544</v>
      </c>
      <c r="D16" s="61" t="n">
        <v>0.882888825090404</v>
      </c>
      <c r="E16" s="61" t="n">
        <v>0.867297143563539</v>
      </c>
      <c r="F16" s="10" t="s">
        <v>1067</v>
      </c>
      <c r="G16" s="55" t="n">
        <v>75.293869400718</v>
      </c>
      <c r="H16" s="62" t="n">
        <v>0</v>
      </c>
      <c r="I16" s="62" t="n">
        <v>0</v>
      </c>
      <c r="J16" s="62" t="n">
        <v>0</v>
      </c>
      <c r="K16" s="55" t="n">
        <v>0</v>
      </c>
      <c r="L16" s="55" t="n">
        <v>72.1166097364593</v>
      </c>
      <c r="M16" s="10" t="s">
        <v>1068</v>
      </c>
      <c r="N16" s="61" t="n">
        <v>0.132332368511525</v>
      </c>
      <c r="O16" s="61" t="n">
        <v>0.103591160198018</v>
      </c>
      <c r="P16" s="61" t="n">
        <v>0.122331828921158</v>
      </c>
      <c r="Q16" s="61" t="n">
        <v>0.0951920783918034</v>
      </c>
      <c r="R16" s="61" t="n">
        <v>0.115797920246241</v>
      </c>
      <c r="S16" s="61" t="n">
        <v>0.137877556859777</v>
      </c>
      <c r="T16" s="61" t="n">
        <v>0.0933988200860769</v>
      </c>
      <c r="U16" s="61" t="n">
        <v>0.103415650354809</v>
      </c>
      <c r="V16" s="61" t="n">
        <v>0.102383648933942</v>
      </c>
      <c r="W16" s="61" t="n">
        <v>0.103261964772327</v>
      </c>
      <c r="X16" s="61" t="n">
        <v>0.104373246385281</v>
      </c>
      <c r="Y16" s="61" t="n">
        <v>0.10024446011717</v>
      </c>
      <c r="Z16" s="61" t="n">
        <v>0.0997478286156305</v>
      </c>
      <c r="AA16" s="61" t="n">
        <v>0.132138283892393</v>
      </c>
      <c r="AB16" s="61" t="n">
        <v>0.135728963733583</v>
      </c>
      <c r="AC16" s="61" t="n">
        <v>0.128886362794171</v>
      </c>
      <c r="AD16" s="61" t="n">
        <v>0.121195787031609</v>
      </c>
      <c r="AE16" s="61" t="n">
        <v>0.124917242486137</v>
      </c>
      <c r="AF16" s="61" t="n">
        <v>0.135459764412891</v>
      </c>
      <c r="AG16" s="61" t="n">
        <v>0.117903433246855</v>
      </c>
      <c r="AH16" s="61" t="n">
        <v>0.117363704472776</v>
      </c>
      <c r="AI16" s="61" t="n">
        <v>0.127953581826727</v>
      </c>
      <c r="AJ16" s="61" t="n">
        <v>0.127708505213916</v>
      </c>
      <c r="AK16" s="61" t="n">
        <v>0.0846193077837129</v>
      </c>
    </row>
    <row r="17" customFormat="false" ht="15" hidden="false" customHeight="true" outlineLevel="0" collapsed="false">
      <c r="A17" s="59" t="n">
        <v>-0.75</v>
      </c>
      <c r="B17" s="60" t="n">
        <v>0.226627352376868</v>
      </c>
      <c r="C17" s="61" t="n">
        <v>0.312021332087742</v>
      </c>
      <c r="D17" s="61" t="n">
        <v>0.870847339823064</v>
      </c>
      <c r="E17" s="61" t="n">
        <v>0.853966937286308</v>
      </c>
      <c r="F17" s="10" t="s">
        <v>1067</v>
      </c>
      <c r="G17" s="55" t="n">
        <v>81.8256417804969</v>
      </c>
      <c r="H17" s="62" t="n">
        <v>0</v>
      </c>
      <c r="I17" s="62" t="n">
        <v>0</v>
      </c>
      <c r="J17" s="62" t="n">
        <v>0</v>
      </c>
      <c r="K17" s="55" t="n">
        <v>0</v>
      </c>
      <c r="L17" s="55" t="n">
        <v>91.9455931400058</v>
      </c>
      <c r="M17" s="10" t="s">
        <v>1068</v>
      </c>
      <c r="N17" s="61" t="n">
        <v>0.131750505662746</v>
      </c>
      <c r="O17" s="61" t="n">
        <v>0.102941675433002</v>
      </c>
      <c r="P17" s="61" t="n">
        <v>0.121869183206895</v>
      </c>
      <c r="Q17" s="61" t="n">
        <v>0.0947718242780419</v>
      </c>
      <c r="R17" s="61" t="n">
        <v>0.115063089642898</v>
      </c>
      <c r="S17" s="61" t="n">
        <v>0.136913407579696</v>
      </c>
      <c r="T17" s="61" t="n">
        <v>0.0930368633075344</v>
      </c>
      <c r="U17" s="61" t="n">
        <v>0.103037994519948</v>
      </c>
      <c r="V17" s="61" t="n">
        <v>0.102011864618453</v>
      </c>
      <c r="W17" s="61" t="n">
        <v>0.102729553396791</v>
      </c>
      <c r="X17" s="61" t="n">
        <v>0.103900530174201</v>
      </c>
      <c r="Y17" s="61" t="n">
        <v>0.0996891100872547</v>
      </c>
      <c r="Z17" s="61" t="n">
        <v>0.0993131999876481</v>
      </c>
      <c r="AA17" s="61" t="n">
        <v>0.131144567153379</v>
      </c>
      <c r="AB17" s="61" t="n">
        <v>0.135319663767983</v>
      </c>
      <c r="AC17" s="61" t="n">
        <v>0.128025891254322</v>
      </c>
      <c r="AD17" s="61" t="n">
        <v>0.120484121964864</v>
      </c>
      <c r="AE17" s="61" t="n">
        <v>0.12434559053394</v>
      </c>
      <c r="AF17" s="61" t="n">
        <v>0.134800446842084</v>
      </c>
      <c r="AG17" s="61" t="n">
        <v>0.116965365982803</v>
      </c>
      <c r="AH17" s="61" t="n">
        <v>0.116650943154314</v>
      </c>
      <c r="AI17" s="61" t="n">
        <v>0.127345651970899</v>
      </c>
      <c r="AJ17" s="61" t="n">
        <v>0.127129088181289</v>
      </c>
      <c r="AK17" s="61" t="n">
        <v>0.0842161521815895</v>
      </c>
    </row>
    <row r="18" customFormat="false" ht="15" hidden="false" customHeight="true" outlineLevel="0" collapsed="false">
      <c r="A18" s="59" t="n">
        <v>-0.8125</v>
      </c>
      <c r="B18" s="60" t="n">
        <v>0.208252393288109</v>
      </c>
      <c r="C18" s="61" t="n">
        <v>0.324681949975838</v>
      </c>
      <c r="D18" s="61" t="n">
        <v>0.858590935062762</v>
      </c>
      <c r="E18" s="61" t="n">
        <v>0.840396715505784</v>
      </c>
      <c r="F18" s="10" t="s">
        <v>1067</v>
      </c>
      <c r="G18" s="55" t="n">
        <v>88.4393110584221</v>
      </c>
      <c r="H18" s="62" t="n">
        <v>0</v>
      </c>
      <c r="I18" s="62" t="n">
        <v>0</v>
      </c>
      <c r="J18" s="62" t="n">
        <v>0</v>
      </c>
      <c r="K18" s="55" t="n">
        <v>0</v>
      </c>
      <c r="L18" s="55" t="n">
        <v>112.350736044901</v>
      </c>
      <c r="M18" s="10" t="s">
        <v>1068</v>
      </c>
      <c r="N18" s="61" t="n">
        <v>0.131168273624762</v>
      </c>
      <c r="O18" s="61" t="n">
        <v>0.102277628626023</v>
      </c>
      <c r="P18" s="61" t="n">
        <v>0.121404176414549</v>
      </c>
      <c r="Q18" s="61" t="n">
        <v>0.094352526694195</v>
      </c>
      <c r="R18" s="61" t="n">
        <v>0.114317715470709</v>
      </c>
      <c r="S18" s="61" t="n">
        <v>0.13594184833409</v>
      </c>
      <c r="T18" s="61" t="n">
        <v>0.0926758980603108</v>
      </c>
      <c r="U18" s="61" t="n">
        <v>0.102661721434302</v>
      </c>
      <c r="V18" s="61" t="n">
        <v>0.101641474829106</v>
      </c>
      <c r="W18" s="61" t="n">
        <v>0.102198425844499</v>
      </c>
      <c r="X18" s="61" t="n">
        <v>0.103423780347528</v>
      </c>
      <c r="Y18" s="61" t="n">
        <v>0.0991354131027177</v>
      </c>
      <c r="Z18" s="61" t="n">
        <v>0.0988799133345146</v>
      </c>
      <c r="AA18" s="61" t="n">
        <v>0.130144794770994</v>
      </c>
      <c r="AB18" s="61" t="n">
        <v>0.13491304372803</v>
      </c>
      <c r="AC18" s="61" t="n">
        <v>0.127163417465779</v>
      </c>
      <c r="AD18" s="61" t="n">
        <v>0.119773753222786</v>
      </c>
      <c r="AE18" s="61" t="n">
        <v>0.123754832521572</v>
      </c>
      <c r="AF18" s="61" t="n">
        <v>0.134143301102338</v>
      </c>
      <c r="AG18" s="61" t="n">
        <v>0.116025060038271</v>
      </c>
      <c r="AH18" s="61" t="n">
        <v>0.115943618365273</v>
      </c>
      <c r="AI18" s="61" t="n">
        <v>0.126742702870831</v>
      </c>
      <c r="AJ18" s="61" t="n">
        <v>0.12655018105291</v>
      </c>
      <c r="AK18" s="61" t="n">
        <v>0.083814102518569</v>
      </c>
    </row>
    <row r="19" customFormat="false" ht="15" hidden="false" customHeight="true" outlineLevel="0" collapsed="false">
      <c r="A19" s="59" t="n">
        <v>-0.875</v>
      </c>
      <c r="B19" s="60" t="n">
        <v>0.190786952852511</v>
      </c>
      <c r="C19" s="61" t="n">
        <v>0.337562077128309</v>
      </c>
      <c r="D19" s="61" t="n">
        <v>0.846126511785262</v>
      </c>
      <c r="E19" s="61" t="n">
        <v>0.820195910768261</v>
      </c>
      <c r="F19" s="10" t="s">
        <v>1067</v>
      </c>
      <c r="G19" s="55" t="n">
        <v>98.7508332881514</v>
      </c>
      <c r="H19" s="62" t="n">
        <v>1</v>
      </c>
      <c r="I19" s="62" t="n">
        <v>0</v>
      </c>
      <c r="J19" s="62" t="n">
        <v>0</v>
      </c>
      <c r="K19" s="55" t="n">
        <v>0.640674696022558</v>
      </c>
      <c r="L19" s="55" t="n">
        <v>132.720727720778</v>
      </c>
      <c r="M19" s="10" t="s">
        <v>1068</v>
      </c>
      <c r="N19" s="61" t="n">
        <v>0.130423113681757</v>
      </c>
      <c r="O19" s="61" t="n">
        <v>0.101272231903362</v>
      </c>
      <c r="P19" s="61" t="n">
        <v>0.120826825306621</v>
      </c>
      <c r="Q19" s="61" t="n">
        <v>0.0938466952304923</v>
      </c>
      <c r="R19" s="61" t="n">
        <v>0.11323587863143</v>
      </c>
      <c r="S19" s="61" t="n">
        <v>0.134591031806518</v>
      </c>
      <c r="T19" s="61" t="n">
        <v>0.0922914118121501</v>
      </c>
      <c r="U19" s="61" t="n">
        <v>0.102249605415868</v>
      </c>
      <c r="V19" s="61" t="n">
        <v>0.101257670651804</v>
      </c>
      <c r="W19" s="61" t="n">
        <v>0.101470130838976</v>
      </c>
      <c r="X19" s="61" t="n">
        <v>0.102757446183702</v>
      </c>
      <c r="Y19" s="61" t="n">
        <v>0.0985782590578501</v>
      </c>
      <c r="Z19" s="61" t="n">
        <v>0.0984322907057334</v>
      </c>
      <c r="AA19" s="61" t="n">
        <v>0.128704255410681</v>
      </c>
      <c r="AB19" s="61" t="n">
        <v>0.134402089736785</v>
      </c>
      <c r="AC19" s="61" t="n">
        <v>0.125967536174026</v>
      </c>
      <c r="AD19" s="61" t="n">
        <v>0.118816244741298</v>
      </c>
      <c r="AE19" s="61" t="n">
        <v>0.122921733270331</v>
      </c>
      <c r="AF19" s="61" t="n">
        <v>0.13329054703535</v>
      </c>
      <c r="AG19" s="61" t="n">
        <v>0.114611772535536</v>
      </c>
      <c r="AH19" s="61" t="n">
        <v>0.114887284547598</v>
      </c>
      <c r="AI19" s="61" t="n">
        <v>0.125804675149469</v>
      </c>
      <c r="AJ19" s="61" t="n">
        <v>0.125831544669866</v>
      </c>
      <c r="AK19" s="61" t="n">
        <v>0.0832189319141575</v>
      </c>
    </row>
    <row r="20" customFormat="false" ht="15" hidden="false" customHeight="true" outlineLevel="0" collapsed="false">
      <c r="A20" s="59" t="n">
        <v>-0.9375</v>
      </c>
      <c r="B20" s="60" t="n">
        <v>0.174250711880542</v>
      </c>
      <c r="C20" s="61" t="n">
        <v>0.350648797411482</v>
      </c>
      <c r="D20" s="61" t="n">
        <v>0.833461716593985</v>
      </c>
      <c r="E20" s="61" t="n">
        <v>0.805679076288338</v>
      </c>
      <c r="F20" s="10" t="s">
        <v>1067</v>
      </c>
      <c r="G20" s="55" t="n">
        <v>106.788980603319</v>
      </c>
      <c r="H20" s="62" t="n">
        <v>1</v>
      </c>
      <c r="I20" s="62" t="n">
        <v>0</v>
      </c>
      <c r="J20" s="62" t="n">
        <v>0</v>
      </c>
      <c r="K20" s="55" t="n">
        <v>1.34399745222383</v>
      </c>
      <c r="L20" s="55" t="n">
        <v>148.559848759772</v>
      </c>
      <c r="M20" s="10" t="s">
        <v>1068</v>
      </c>
      <c r="N20" s="61" t="n">
        <v>0.129779808473293</v>
      </c>
      <c r="O20" s="61" t="n">
        <v>0.100523361547798</v>
      </c>
      <c r="P20" s="61" t="n">
        <v>0.120261516466577</v>
      </c>
      <c r="Q20" s="61" t="n">
        <v>0.0933034974878516</v>
      </c>
      <c r="R20" s="61" t="n">
        <v>0.112399961365394</v>
      </c>
      <c r="S20" s="61" t="n">
        <v>0.133519273501043</v>
      </c>
      <c r="T20" s="61" t="n">
        <v>0.0917823744958415</v>
      </c>
      <c r="U20" s="61" t="n">
        <v>0.101816922236026</v>
      </c>
      <c r="V20" s="61" t="n">
        <v>0.100768629130891</v>
      </c>
      <c r="W20" s="61" t="n">
        <v>0.100622942668551</v>
      </c>
      <c r="X20" s="61" t="n">
        <v>0.102264624802824</v>
      </c>
      <c r="Y20" s="61" t="n">
        <v>0.0980019786754038</v>
      </c>
      <c r="Z20" s="61" t="n">
        <v>0.0979243712799672</v>
      </c>
      <c r="AA20" s="61" t="n">
        <v>0.127594550799895</v>
      </c>
      <c r="AB20" s="61" t="n">
        <v>0.133952661824089</v>
      </c>
      <c r="AC20" s="61" t="n">
        <v>0.124955754570927</v>
      </c>
      <c r="AD20" s="61" t="n">
        <v>0.118049029698588</v>
      </c>
      <c r="AE20" s="61" t="n">
        <v>0.122258986713008</v>
      </c>
      <c r="AF20" s="61" t="n">
        <v>0.132630283847396</v>
      </c>
      <c r="AG20" s="61" t="n">
        <v>0.113571719343704</v>
      </c>
      <c r="AH20" s="61" t="n">
        <v>0.114150963669381</v>
      </c>
      <c r="AI20" s="61" t="n">
        <v>0.125162190951762</v>
      </c>
      <c r="AJ20" s="61" t="n">
        <v>0.125216191680437</v>
      </c>
      <c r="AK20" s="61" t="n">
        <v>0.0828166862014705</v>
      </c>
    </row>
    <row r="21" customFormat="false" ht="15" hidden="false" customHeight="true" outlineLevel="0" collapsed="false">
      <c r="A21" s="59" t="n">
        <v>-1</v>
      </c>
      <c r="B21" s="60" t="n">
        <v>0.158655253931457</v>
      </c>
      <c r="C21" s="61" t="n">
        <v>0.36392840281951</v>
      </c>
      <c r="D21" s="61" t="n">
        <v>0.820604903153857</v>
      </c>
      <c r="E21" s="61" t="n">
        <v>0.581734806530797</v>
      </c>
      <c r="F21" s="10" t="s">
        <v>1067</v>
      </c>
      <c r="G21" s="55" t="n">
        <v>390.051607453783</v>
      </c>
      <c r="H21" s="62" t="n">
        <v>10</v>
      </c>
      <c r="I21" s="62" t="n">
        <v>0</v>
      </c>
      <c r="J21" s="62" t="n">
        <v>0</v>
      </c>
      <c r="K21" s="55" t="n">
        <v>112.363736901529</v>
      </c>
      <c r="L21" s="55" t="n">
        <v>699.076157337695</v>
      </c>
      <c r="M21" s="10" t="s">
        <v>1069</v>
      </c>
      <c r="N21" s="61" t="n">
        <v>0.116052092575368</v>
      </c>
      <c r="O21" s="61" t="n">
        <v>0.0855368409774835</v>
      </c>
      <c r="P21" s="61" t="n">
        <v>0.104518399408382</v>
      </c>
      <c r="Q21" s="61" t="n">
        <v>0.0750785843664183</v>
      </c>
      <c r="R21" s="61" t="n">
        <v>0.0895652109344346</v>
      </c>
      <c r="S21" s="61" t="n">
        <v>0.108350481459338</v>
      </c>
      <c r="T21" s="61" t="n">
        <v>0.0720107757838468</v>
      </c>
      <c r="U21" s="61" t="n">
        <v>0.0929828057351496</v>
      </c>
      <c r="V21" s="61" t="n">
        <v>0.0845795805282305</v>
      </c>
      <c r="W21" s="61" t="n">
        <v>0.0535337292124845</v>
      </c>
      <c r="X21" s="61" t="n">
        <v>0.0939495299665488</v>
      </c>
      <c r="Y21" s="61" t="n">
        <v>0.0939322210029469</v>
      </c>
      <c r="Z21" s="61" t="n">
        <v>0.0873356159935699</v>
      </c>
      <c r="AA21" s="61" t="n">
        <v>0.0967068153879636</v>
      </c>
      <c r="AB21" s="61" t="n">
        <v>0.124939223963402</v>
      </c>
      <c r="AC21" s="61" t="n">
        <v>0.0910370341933601</v>
      </c>
      <c r="AD21" s="61" t="n">
        <v>0.0999432658799641</v>
      </c>
      <c r="AE21" s="61" t="n">
        <v>0.106246147964204</v>
      </c>
      <c r="AF21" s="61" t="n">
        <v>0.124055524197706</v>
      </c>
      <c r="AG21" s="61" t="n">
        <v>0.0863900999187276</v>
      </c>
      <c r="AH21" s="61" t="n">
        <v>0.0984681482666911</v>
      </c>
      <c r="AI21" s="61" t="n">
        <v>0.109394586667788</v>
      </c>
      <c r="AJ21" s="61" t="n">
        <v>0.113497600437791</v>
      </c>
      <c r="AK21" s="61" t="n">
        <v>0.0745084535774942</v>
      </c>
    </row>
    <row r="22" customFormat="false" ht="15" hidden="false" customHeight="true" outlineLevel="0" collapsed="false">
      <c r="A22" s="59" t="n">
        <v>-1.0625</v>
      </c>
      <c r="B22" s="60" t="n">
        <v>0.144004379001971</v>
      </c>
      <c r="C22" s="61" t="n">
        <v>0.377386434523761</v>
      </c>
      <c r="D22" s="61" t="n">
        <v>0.807565088259435</v>
      </c>
      <c r="E22" s="61" t="n">
        <v>0.565446707483385</v>
      </c>
      <c r="F22" s="10" t="s">
        <v>1067</v>
      </c>
      <c r="G22" s="55" t="n">
        <v>413.840775113287</v>
      </c>
      <c r="H22" s="62" t="n">
        <v>11</v>
      </c>
      <c r="I22" s="62" t="n">
        <v>0</v>
      </c>
      <c r="J22" s="62" t="n">
        <v>0</v>
      </c>
      <c r="K22" s="55" t="n">
        <v>130.322583287929</v>
      </c>
      <c r="L22" s="55" t="n">
        <v>755.375783350365</v>
      </c>
      <c r="M22" s="10" t="s">
        <v>1069</v>
      </c>
      <c r="N22" s="61" t="n">
        <v>0.114701927918844</v>
      </c>
      <c r="O22" s="61" t="n">
        <v>0.0841536233865946</v>
      </c>
      <c r="P22" s="61" t="n">
        <v>0.102883370747436</v>
      </c>
      <c r="Q22" s="61" t="n">
        <v>0.0731901607557498</v>
      </c>
      <c r="R22" s="61" t="n">
        <v>0.0876854743460752</v>
      </c>
      <c r="S22" s="61" t="n">
        <v>0.106183689871438</v>
      </c>
      <c r="T22" s="61" t="n">
        <v>0.0698390608667525</v>
      </c>
      <c r="U22" s="61" t="n">
        <v>0.0919139184160407</v>
      </c>
      <c r="V22" s="61" t="n">
        <v>0.0826487460054713</v>
      </c>
      <c r="W22" s="61" t="n">
        <v>0.0491776419336383</v>
      </c>
      <c r="X22" s="61" t="n">
        <v>0.0932610970342845</v>
      </c>
      <c r="Y22" s="61" t="n">
        <v>0.0930566913437757</v>
      </c>
      <c r="Z22" s="61" t="n">
        <v>0.0859533919390774</v>
      </c>
      <c r="AA22" s="61" t="n">
        <v>0.0939213851200899</v>
      </c>
      <c r="AB22" s="61" t="n">
        <v>0.123976582755366</v>
      </c>
      <c r="AC22" s="61" t="n">
        <v>0.0878142552154478</v>
      </c>
      <c r="AD22" s="61" t="n">
        <v>0.0982999022865867</v>
      </c>
      <c r="AE22" s="61" t="n">
        <v>0.104921664138414</v>
      </c>
      <c r="AF22" s="61" t="n">
        <v>0.123257662974841</v>
      </c>
      <c r="AG22" s="61" t="n">
        <v>0.0843961225124689</v>
      </c>
      <c r="AH22" s="61" t="n">
        <v>0.0974750410128093</v>
      </c>
      <c r="AI22" s="61" t="n">
        <v>0.108423152062622</v>
      </c>
      <c r="AJ22" s="61" t="n">
        <v>0.112147258934203</v>
      </c>
      <c r="AK22" s="61" t="n">
        <v>0.0739607072273683</v>
      </c>
    </row>
    <row r="23" customFormat="false" ht="15" hidden="false" customHeight="true" outlineLevel="0" collapsed="false">
      <c r="A23" s="59" t="n">
        <v>-1.125</v>
      </c>
      <c r="B23" s="60" t="n">
        <v>0.130294517136809</v>
      </c>
      <c r="C23" s="61" t="n">
        <v>0.391007728813389</v>
      </c>
      <c r="D23" s="61" t="n">
        <v>0.794351903003939</v>
      </c>
      <c r="E23" s="61" t="n">
        <v>0.548760161869959</v>
      </c>
      <c r="F23" s="10" t="s">
        <v>1067</v>
      </c>
      <c r="G23" s="55" t="n">
        <v>448.552499554062</v>
      </c>
      <c r="H23" s="62" t="n">
        <v>13</v>
      </c>
      <c r="I23" s="62" t="n">
        <v>1</v>
      </c>
      <c r="J23" s="62" t="n">
        <v>1</v>
      </c>
      <c r="K23" s="55" t="n">
        <v>159.786443890711</v>
      </c>
      <c r="L23" s="55" t="n">
        <v>810.681798171748</v>
      </c>
      <c r="M23" s="10" t="s">
        <v>1069</v>
      </c>
      <c r="N23" s="61" t="n">
        <v>0.112794821944003</v>
      </c>
      <c r="O23" s="61" t="n">
        <v>0.0824184020176275</v>
      </c>
      <c r="P23" s="61" t="n">
        <v>0.100658208088784</v>
      </c>
      <c r="Q23" s="61" t="n">
        <v>0.0707590544360006</v>
      </c>
      <c r="R23" s="61" t="n">
        <v>0.0849032615916865</v>
      </c>
      <c r="S23" s="61" t="n">
        <v>0.103137070389633</v>
      </c>
      <c r="T23" s="61" t="n">
        <v>0.06733091550969</v>
      </c>
      <c r="U23" s="61" t="n">
        <v>0.0906706656514525</v>
      </c>
      <c r="V23" s="61" t="n">
        <v>0.0804239890094779</v>
      </c>
      <c r="W23" s="61" t="n">
        <v>0.0440733102531624</v>
      </c>
      <c r="X23" s="61" t="n">
        <v>0.0916932837671471</v>
      </c>
      <c r="Y23" s="61" t="n">
        <v>0.0920756040480065</v>
      </c>
      <c r="Z23" s="61" t="n">
        <v>0.0843652593791695</v>
      </c>
      <c r="AA23" s="61" t="n">
        <v>0.0898483724993645</v>
      </c>
      <c r="AB23" s="61" t="n">
        <v>0.122316794898001</v>
      </c>
      <c r="AC23" s="61" t="n">
        <v>0.0836478108464925</v>
      </c>
      <c r="AD23" s="61" t="n">
        <v>0.0958150377427846</v>
      </c>
      <c r="AE23" s="61" t="n">
        <v>0.102559810456949</v>
      </c>
      <c r="AF23" s="61" t="n">
        <v>0.121441631180657</v>
      </c>
      <c r="AG23" s="61" t="n">
        <v>0.0815556285101222</v>
      </c>
      <c r="AH23" s="61" t="n">
        <v>0.0955353683644477</v>
      </c>
      <c r="AI23" s="61" t="n">
        <v>0.107064602957852</v>
      </c>
      <c r="AJ23" s="61" t="n">
        <v>0.11022001790766</v>
      </c>
      <c r="AK23" s="61" t="n">
        <v>0.0732153642022917</v>
      </c>
    </row>
    <row r="24" customFormat="false" ht="15" hidden="false" customHeight="true" outlineLevel="0" collapsed="false">
      <c r="A24" s="59" t="n">
        <v>-1.1875</v>
      </c>
      <c r="B24" s="60" t="n">
        <v>0.117515228293214</v>
      </c>
      <c r="C24" s="61" t="n">
        <v>0.404776467692165</v>
      </c>
      <c r="D24" s="61" t="n">
        <v>0.780975539572239</v>
      </c>
      <c r="E24" s="61" t="n">
        <v>0.531746248637471</v>
      </c>
      <c r="F24" s="10" t="s">
        <v>1067</v>
      </c>
      <c r="G24" s="55" t="n">
        <v>474.132671073348</v>
      </c>
      <c r="H24" s="62" t="n">
        <v>13</v>
      </c>
      <c r="I24" s="62" t="n">
        <v>1</v>
      </c>
      <c r="J24" s="62" t="n">
        <v>1</v>
      </c>
      <c r="K24" s="55" t="n">
        <v>184.017554161931</v>
      </c>
      <c r="L24" s="55" t="n">
        <v>829.73859299072</v>
      </c>
      <c r="M24" s="10" t="s">
        <v>1069</v>
      </c>
      <c r="N24" s="61" t="n">
        <v>0.111381283109746</v>
      </c>
      <c r="O24" s="61" t="n">
        <v>0.0809874969032798</v>
      </c>
      <c r="P24" s="61" t="n">
        <v>0.0988717024768175</v>
      </c>
      <c r="Q24" s="61" t="n">
        <v>0.0686469283042259</v>
      </c>
      <c r="R24" s="61" t="n">
        <v>0.0829396496191971</v>
      </c>
      <c r="S24" s="61" t="n">
        <v>0.100872666169918</v>
      </c>
      <c r="T24" s="61" t="n">
        <v>0.0648595742639765</v>
      </c>
      <c r="U24" s="61" t="n">
        <v>0.0895027182444037</v>
      </c>
      <c r="V24" s="61" t="n">
        <v>0.0782090693060441</v>
      </c>
      <c r="W24" s="61" t="n">
        <v>0.0392019316787823</v>
      </c>
      <c r="X24" s="61" t="n">
        <v>0.0910673548274169</v>
      </c>
      <c r="Y24" s="61" t="n">
        <v>0.0911406015860057</v>
      </c>
      <c r="Z24" s="61" t="n">
        <v>0.0828152958263753</v>
      </c>
      <c r="AA24" s="61" t="n">
        <v>0.0870006097244735</v>
      </c>
      <c r="AB24" s="61" t="n">
        <v>0.12128126068594</v>
      </c>
      <c r="AC24" s="61" t="n">
        <v>0.080279034170644</v>
      </c>
      <c r="AD24" s="61" t="n">
        <v>0.0941658223049692</v>
      </c>
      <c r="AE24" s="61" t="n">
        <v>0.10118501859747</v>
      </c>
      <c r="AF24" s="61" t="n">
        <v>0.120682418090731</v>
      </c>
      <c r="AG24" s="61" t="n">
        <v>0.0795092597608991</v>
      </c>
      <c r="AH24" s="61" t="n">
        <v>0.0944902692015304</v>
      </c>
      <c r="AI24" s="61" t="n">
        <v>0.106045964503463</v>
      </c>
      <c r="AJ24" s="61" t="n">
        <v>0.108863768887888</v>
      </c>
      <c r="AK24" s="61" t="n">
        <v>0.072738953372262</v>
      </c>
    </row>
    <row r="25" customFormat="false" ht="15" hidden="false" customHeight="true" outlineLevel="0" collapsed="false">
      <c r="A25" s="59" t="n">
        <v>-1.25</v>
      </c>
      <c r="B25" s="60" t="n">
        <v>0.105649773666855</v>
      </c>
      <c r="C25" s="61" t="n">
        <v>0.41867623385342</v>
      </c>
      <c r="D25" s="61" t="n">
        <v>0.767446694228878</v>
      </c>
      <c r="E25" s="61" t="n">
        <v>0.514444085364523</v>
      </c>
      <c r="F25" s="10" t="s">
        <v>1067</v>
      </c>
      <c r="G25" s="55" t="n">
        <v>500.3232648162</v>
      </c>
      <c r="H25" s="62" t="n">
        <v>13</v>
      </c>
      <c r="I25" s="62" t="n">
        <v>1</v>
      </c>
      <c r="J25" s="62" t="n">
        <v>1</v>
      </c>
      <c r="K25" s="55" t="n">
        <v>208.778729941694</v>
      </c>
      <c r="L25" s="55" t="n">
        <v>846.261144687649</v>
      </c>
      <c r="M25" s="10" t="s">
        <v>1069</v>
      </c>
      <c r="N25" s="61" t="n">
        <v>0.1099366182163</v>
      </c>
      <c r="O25" s="61" t="n">
        <v>0.0795441817222411</v>
      </c>
      <c r="P25" s="61" t="n">
        <v>0.0970449456649611</v>
      </c>
      <c r="Q25" s="61" t="n">
        <v>0.0664960393628866</v>
      </c>
      <c r="R25" s="61" t="n">
        <v>0.0809439806868221</v>
      </c>
      <c r="S25" s="61" t="n">
        <v>0.0985812020989047</v>
      </c>
      <c r="T25" s="61" t="n">
        <v>0.0623442696680743</v>
      </c>
      <c r="U25" s="61" t="n">
        <v>0.0883164484038192</v>
      </c>
      <c r="V25" s="61" t="n">
        <v>0.0759465484224358</v>
      </c>
      <c r="W25" s="61" t="n">
        <v>0.0341986987253785</v>
      </c>
      <c r="X25" s="61" t="n">
        <v>0.0904080662570343</v>
      </c>
      <c r="Y25" s="61" t="n">
        <v>0.0901989513356112</v>
      </c>
      <c r="Z25" s="61" t="n">
        <v>0.0812399735335476</v>
      </c>
      <c r="AA25" s="61" t="n">
        <v>0.0840190873850569</v>
      </c>
      <c r="AB25" s="61" t="n">
        <v>0.120214872224321</v>
      </c>
      <c r="AC25" s="61" t="n">
        <v>0.0768282114488295</v>
      </c>
      <c r="AD25" s="61" t="n">
        <v>0.0925229222993544</v>
      </c>
      <c r="AE25" s="61" t="n">
        <v>0.0998111397734947</v>
      </c>
      <c r="AF25" s="61" t="n">
        <v>0.119936931631583</v>
      </c>
      <c r="AG25" s="61" t="n">
        <v>0.0774206722117609</v>
      </c>
      <c r="AH25" s="61" t="n">
        <v>0.0934444752301875</v>
      </c>
      <c r="AI25" s="61" t="n">
        <v>0.105022268102086</v>
      </c>
      <c r="AJ25" s="61" t="n">
        <v>0.107466498074518</v>
      </c>
      <c r="AK25" s="61" t="n">
        <v>0.0722616973125505</v>
      </c>
    </row>
    <row r="26" customFormat="false" ht="15" hidden="false" customHeight="true" outlineLevel="0" collapsed="false">
      <c r="A26" s="59" t="n">
        <v>-1.3125</v>
      </c>
      <c r="B26" s="60" t="n">
        <v>0.0946757430216426</v>
      </c>
      <c r="C26" s="61" t="n">
        <v>0.432690069713977</v>
      </c>
      <c r="D26" s="61" t="n">
        <v>0.753776507111076</v>
      </c>
      <c r="E26" s="61" t="n">
        <v>0.496840916414017</v>
      </c>
      <c r="F26" s="10" t="s">
        <v>1067</v>
      </c>
      <c r="G26" s="55" t="n">
        <v>526.720735703437</v>
      </c>
      <c r="H26" s="62" t="n">
        <v>13</v>
      </c>
      <c r="I26" s="62" t="n">
        <v>1</v>
      </c>
      <c r="J26" s="62" t="n">
        <v>1</v>
      </c>
      <c r="K26" s="55" t="n">
        <v>233.699287150486</v>
      </c>
      <c r="L26" s="55" t="n">
        <v>861.58068202424</v>
      </c>
      <c r="M26" s="10" t="s">
        <v>1069</v>
      </c>
      <c r="N26" s="61" t="n">
        <v>0.108493926583465</v>
      </c>
      <c r="O26" s="61" t="n">
        <v>0.078097149232547</v>
      </c>
      <c r="P26" s="61" t="n">
        <v>0.0952082523079424</v>
      </c>
      <c r="Q26" s="61" t="n">
        <v>0.0643168565853277</v>
      </c>
      <c r="R26" s="61" t="n">
        <v>0.0789317465218692</v>
      </c>
      <c r="S26" s="61" t="n">
        <v>0.0962513587447882</v>
      </c>
      <c r="T26" s="61" t="n">
        <v>0.059795545870294</v>
      </c>
      <c r="U26" s="61" t="n">
        <v>0.0871231077639413</v>
      </c>
      <c r="V26" s="61" t="n">
        <v>0.0736389824726125</v>
      </c>
      <c r="W26" s="61" t="n">
        <v>0.0291896843403399</v>
      </c>
      <c r="X26" s="61" t="n">
        <v>0.0897774193404268</v>
      </c>
      <c r="Y26" s="61" t="n">
        <v>0.0892504020971666</v>
      </c>
      <c r="Z26" s="61" t="n">
        <v>0.0796428756668056</v>
      </c>
      <c r="AA26" s="61" t="n">
        <v>0.0811000841017068</v>
      </c>
      <c r="AB26" s="61" t="n">
        <v>0.119150298599106</v>
      </c>
      <c r="AC26" s="61" t="n">
        <v>0.0733914555002046</v>
      </c>
      <c r="AD26" s="61" t="n">
        <v>0.0908700443316928</v>
      </c>
      <c r="AE26" s="61" t="n">
        <v>0.0984235977656678</v>
      </c>
      <c r="AF26" s="61" t="n">
        <v>0.119185609591334</v>
      </c>
      <c r="AG26" s="61" t="n">
        <v>0.075332505183655</v>
      </c>
      <c r="AH26" s="61" t="n">
        <v>0.0923918615141175</v>
      </c>
      <c r="AI26" s="61" t="n">
        <v>0.103986890436014</v>
      </c>
      <c r="AJ26" s="61" t="n">
        <v>0.106107507029744</v>
      </c>
      <c r="AK26" s="61" t="n">
        <v>0.0717910692281148</v>
      </c>
    </row>
    <row r="27" customFormat="false" ht="15" hidden="false" customHeight="true" outlineLevel="0" collapsed="false">
      <c r="A27" s="59" t="n">
        <v>-1.375</v>
      </c>
      <c r="B27" s="60" t="n">
        <v>0.0845657223513357</v>
      </c>
      <c r="C27" s="61" t="n">
        <v>0.446800540149508</v>
      </c>
      <c r="D27" s="61" t="n">
        <v>0.73997649946579</v>
      </c>
      <c r="E27" s="61" t="n">
        <v>0.478878833983997</v>
      </c>
      <c r="F27" s="10" t="s">
        <v>1067</v>
      </c>
      <c r="G27" s="55" t="n">
        <v>553.46251892973</v>
      </c>
      <c r="H27" s="62" t="n">
        <v>13</v>
      </c>
      <c r="I27" s="62" t="n">
        <v>1</v>
      </c>
      <c r="J27" s="62" t="n">
        <v>1</v>
      </c>
      <c r="K27" s="55" t="n">
        <v>258.915534397912</v>
      </c>
      <c r="L27" s="55" t="n">
        <v>870.891691744853</v>
      </c>
      <c r="M27" s="10" t="s">
        <v>1069</v>
      </c>
      <c r="N27" s="61" t="n">
        <v>0.107036265401524</v>
      </c>
      <c r="O27" s="61" t="n">
        <v>0.0766417541497098</v>
      </c>
      <c r="P27" s="61" t="n">
        <v>0.0933425962209152</v>
      </c>
      <c r="Q27" s="61" t="n">
        <v>0.0621013997763552</v>
      </c>
      <c r="R27" s="61" t="n">
        <v>0.0769160540333462</v>
      </c>
      <c r="S27" s="61" t="n">
        <v>0.0939199405290503</v>
      </c>
      <c r="T27" s="61" t="n">
        <v>0.0572031431511656</v>
      </c>
      <c r="U27" s="61" t="n">
        <v>0.0859133558445329</v>
      </c>
      <c r="V27" s="61" t="n">
        <v>0.071281291593292</v>
      </c>
      <c r="W27" s="61" t="n">
        <v>0.0241044502842744</v>
      </c>
      <c r="X27" s="61" t="n">
        <v>0.0891335570435464</v>
      </c>
      <c r="Y27" s="61" t="n">
        <v>0.0882941430142382</v>
      </c>
      <c r="Z27" s="61" t="n">
        <v>0.0780201916650811</v>
      </c>
      <c r="AA27" s="61" t="n">
        <v>0.0781702405787638</v>
      </c>
      <c r="AB27" s="61" t="n">
        <v>0.118078984722802</v>
      </c>
      <c r="AC27" s="61" t="n">
        <v>0.0699443077481712</v>
      </c>
      <c r="AD27" s="61" t="n">
        <v>0.0892228360673834</v>
      </c>
      <c r="AE27" s="61" t="n">
        <v>0.0970460279246679</v>
      </c>
      <c r="AF27" s="61" t="n">
        <v>0.118449854692517</v>
      </c>
      <c r="AG27" s="61" t="n">
        <v>0.0732132147896327</v>
      </c>
      <c r="AH27" s="61" t="n">
        <v>0.0913406176362254</v>
      </c>
      <c r="AI27" s="61" t="n">
        <v>0.102950030226415</v>
      </c>
      <c r="AJ27" s="61" t="n">
        <v>0.104744746343721</v>
      </c>
      <c r="AK27" s="61" t="n">
        <v>0.0713360104626618</v>
      </c>
    </row>
    <row r="28" customFormat="false" ht="15" hidden="false" customHeight="true" outlineLevel="0" collapsed="false">
      <c r="A28" s="59" t="n">
        <v>-1.4375</v>
      </c>
      <c r="B28" s="60" t="n">
        <v>0.0752879864124234</v>
      </c>
      <c r="C28" s="61" t="n">
        <v>0.460989798538411</v>
      </c>
      <c r="D28" s="61" t="n">
        <v>0.726058508989047</v>
      </c>
      <c r="E28" s="61" t="n">
        <v>0.460677201070035</v>
      </c>
      <c r="F28" s="10" t="s">
        <v>1067</v>
      </c>
      <c r="G28" s="55" t="n">
        <v>580.667914361867</v>
      </c>
      <c r="H28" s="62" t="n">
        <v>13</v>
      </c>
      <c r="I28" s="62" t="n">
        <v>1</v>
      </c>
      <c r="J28" s="62" t="n">
        <v>1</v>
      </c>
      <c r="K28" s="55" t="n">
        <v>285.035471175113</v>
      </c>
      <c r="L28" s="55" t="n">
        <v>880.436599852573</v>
      </c>
      <c r="M28" s="10" t="s">
        <v>1069</v>
      </c>
      <c r="N28" s="61" t="n">
        <v>0.105562411408667</v>
      </c>
      <c r="O28" s="61" t="n">
        <v>0.0751771171770433</v>
      </c>
      <c r="P28" s="61" t="n">
        <v>0.0914502268482264</v>
      </c>
      <c r="Q28" s="61" t="n">
        <v>0.0598523619160945</v>
      </c>
      <c r="R28" s="61" t="n">
        <v>0.0748708771167007</v>
      </c>
      <c r="S28" s="61" t="n">
        <v>0.0915547939006697</v>
      </c>
      <c r="T28" s="61" t="n">
        <v>0.0545720224750296</v>
      </c>
      <c r="U28" s="61" t="n">
        <v>0.0846911594995481</v>
      </c>
      <c r="V28" s="61" t="n">
        <v>0.068877769770297</v>
      </c>
      <c r="W28" s="61" t="n">
        <v>0.0189561854948855</v>
      </c>
      <c r="X28" s="61" t="n">
        <v>0.0884821961039488</v>
      </c>
      <c r="Y28" s="61" t="n">
        <v>0.0873311854186078</v>
      </c>
      <c r="Z28" s="61" t="n">
        <v>0.0763742281051685</v>
      </c>
      <c r="AA28" s="61" t="n">
        <v>0.0751871085620012</v>
      </c>
      <c r="AB28" s="61" t="n">
        <v>0.116995363057512</v>
      </c>
      <c r="AC28" s="61" t="n">
        <v>0.0664491691526856</v>
      </c>
      <c r="AD28" s="61" t="n">
        <v>0.087560481682754</v>
      </c>
      <c r="AE28" s="61" t="n">
        <v>0.0956602538732538</v>
      </c>
      <c r="AF28" s="61" t="n">
        <v>0.117714041517482</v>
      </c>
      <c r="AG28" s="61" t="n">
        <v>0.0710708352364795</v>
      </c>
      <c r="AH28" s="61" t="n">
        <v>0.0902850312178956</v>
      </c>
      <c r="AI28" s="61" t="n">
        <v>0.101905760821728</v>
      </c>
      <c r="AJ28" s="61" t="n">
        <v>0.10336688260686</v>
      </c>
      <c r="AK28" s="61" t="n">
        <v>0.0708803402292507</v>
      </c>
    </row>
    <row r="29" customFormat="false" ht="15" hidden="false" customHeight="true" outlineLevel="0" collapsed="false">
      <c r="A29" s="59" t="n">
        <v>-1.5</v>
      </c>
      <c r="B29" s="60" t="n">
        <v>0.0668072012688581</v>
      </c>
      <c r="C29" s="61" t="n">
        <v>0.475239655689496</v>
      </c>
      <c r="D29" s="61" t="n">
        <v>0.712034623934708</v>
      </c>
      <c r="E29" s="61" t="n">
        <v>0.442041665464505</v>
      </c>
      <c r="F29" s="10" t="s">
        <v>1067</v>
      </c>
      <c r="G29" s="55" t="n">
        <v>608.849554276699</v>
      </c>
      <c r="H29" s="62" t="n">
        <v>13</v>
      </c>
      <c r="I29" s="62" t="n">
        <v>1</v>
      </c>
      <c r="J29" s="62" t="n">
        <v>1</v>
      </c>
      <c r="K29" s="55" t="n">
        <v>312.504466937887</v>
      </c>
      <c r="L29" s="55" t="n">
        <v>899.908271757793</v>
      </c>
      <c r="M29" s="10" t="s">
        <v>1069</v>
      </c>
      <c r="N29" s="61" t="n">
        <v>0.104055338722368</v>
      </c>
      <c r="O29" s="61" t="n">
        <v>0.0736886084676198</v>
      </c>
      <c r="P29" s="61" t="n">
        <v>0.0895047459529659</v>
      </c>
      <c r="Q29" s="61" t="n">
        <v>0.0575437664191776</v>
      </c>
      <c r="R29" s="61" t="n">
        <v>0.0727697856696764</v>
      </c>
      <c r="S29" s="61" t="n">
        <v>0.0891232045738736</v>
      </c>
      <c r="T29" s="61" t="n">
        <v>0.0518847749288575</v>
      </c>
      <c r="U29" s="61" t="n">
        <v>0.0834260685188026</v>
      </c>
      <c r="V29" s="61" t="n">
        <v>0.0663912036930897</v>
      </c>
      <c r="W29" s="61" t="n">
        <v>0.013660488706656</v>
      </c>
      <c r="X29" s="61" t="n">
        <v>0.0877661168562641</v>
      </c>
      <c r="Y29" s="61" t="n">
        <v>0.0863557202159427</v>
      </c>
      <c r="Z29" s="61" t="n">
        <v>0.0746977820470568</v>
      </c>
      <c r="AA29" s="61" t="n">
        <v>0.0721174433541327</v>
      </c>
      <c r="AB29" s="61" t="n">
        <v>0.115841871932841</v>
      </c>
      <c r="AC29" s="61" t="n">
        <v>0.0628583317764238</v>
      </c>
      <c r="AD29" s="61" t="n">
        <v>0.0858595137280491</v>
      </c>
      <c r="AE29" s="61" t="n">
        <v>0.0942410205561666</v>
      </c>
      <c r="AF29" s="61" t="n">
        <v>0.116936389181168</v>
      </c>
      <c r="AG29" s="61" t="n">
        <v>0.068858744639924</v>
      </c>
      <c r="AH29" s="61" t="n">
        <v>0.0891805606245627</v>
      </c>
      <c r="AI29" s="61" t="n">
        <v>0.100802056617445</v>
      </c>
      <c r="AJ29" s="61" t="n">
        <v>0.101940347188141</v>
      </c>
      <c r="AK29" s="61" t="n">
        <v>0.0704223084019459</v>
      </c>
    </row>
    <row r="30" customFormat="false" ht="15" hidden="false" customHeight="true" outlineLevel="0" collapsed="false">
      <c r="A30" s="59" t="n">
        <v>-1.5625</v>
      </c>
      <c r="B30" s="60" t="n">
        <v>0.0590851229326676</v>
      </c>
      <c r="C30" s="61" t="n">
        <v>0.48953165120084</v>
      </c>
      <c r="D30" s="61" t="n">
        <v>0.697917116658728</v>
      </c>
      <c r="E30" s="61" t="n">
        <v>0.423207628421774</v>
      </c>
      <c r="F30" s="10" t="s">
        <v>1067</v>
      </c>
      <c r="G30" s="55" t="n">
        <v>637.787354699128</v>
      </c>
      <c r="H30" s="62" t="n">
        <v>13</v>
      </c>
      <c r="I30" s="62" t="n">
        <v>1</v>
      </c>
      <c r="J30" s="62" t="n">
        <v>1</v>
      </c>
      <c r="K30" s="55" t="n">
        <v>340.62049292241</v>
      </c>
      <c r="L30" s="55" t="n">
        <v>919.809193712563</v>
      </c>
      <c r="M30" s="10" t="s">
        <v>1069</v>
      </c>
      <c r="N30" s="61" t="n">
        <v>0.102523661768298</v>
      </c>
      <c r="O30" s="61" t="n">
        <v>0.0721818768201005</v>
      </c>
      <c r="P30" s="61" t="n">
        <v>0.0875208081933006</v>
      </c>
      <c r="Q30" s="61" t="n">
        <v>0.0551877790380397</v>
      </c>
      <c r="R30" s="61" t="n">
        <v>0.0706248112749098</v>
      </c>
      <c r="S30" s="61" t="n">
        <v>0.0866385274785923</v>
      </c>
      <c r="T30" s="61" t="n">
        <v>0.0491477177768816</v>
      </c>
      <c r="U30" s="61" t="n">
        <v>0.0821288666690725</v>
      </c>
      <c r="V30" s="61" t="n">
        <v>0.0638325098600402</v>
      </c>
      <c r="W30" s="61" t="n">
        <v>0.00820775680525354</v>
      </c>
      <c r="X30" s="61" t="n">
        <v>0.086997988653386</v>
      </c>
      <c r="Y30" s="61" t="n">
        <v>0.0853565422737897</v>
      </c>
      <c r="Z30" s="61" t="n">
        <v>0.0729976944071969</v>
      </c>
      <c r="AA30" s="61" t="n">
        <v>0.0689730859995566</v>
      </c>
      <c r="AB30" s="61" t="n">
        <v>0.114662764838258</v>
      </c>
      <c r="AC30" s="61" t="n">
        <v>0.0591919213154513</v>
      </c>
      <c r="AD30" s="61" t="n">
        <v>0.0841186714641806</v>
      </c>
      <c r="AE30" s="61" t="n">
        <v>0.0927926834312542</v>
      </c>
      <c r="AF30" s="61" t="n">
        <v>0.116155188297572</v>
      </c>
      <c r="AG30" s="61" t="n">
        <v>0.0665991514307585</v>
      </c>
      <c r="AH30" s="61" t="n">
        <v>0.0880419496205179</v>
      </c>
      <c r="AI30" s="61" t="n">
        <v>0.0996710975687867</v>
      </c>
      <c r="AJ30" s="61" t="n">
        <v>0.100470050325588</v>
      </c>
      <c r="AK30" s="61" t="n">
        <v>0.0699631918975202</v>
      </c>
    </row>
    <row r="31" customFormat="false" ht="15" hidden="false" customHeight="true" outlineLevel="0" collapsed="false">
      <c r="A31" s="59" t="n">
        <v>-1.625</v>
      </c>
      <c r="B31" s="60" t="n">
        <v>0.0520812794152195</v>
      </c>
      <c r="C31" s="61" t="n">
        <v>0.503847126773507</v>
      </c>
      <c r="D31" s="61" t="n">
        <v>0.683718377254112</v>
      </c>
      <c r="E31" s="61" t="n">
        <v>0.404243215183095</v>
      </c>
      <c r="F31" s="10" t="s">
        <v>1067</v>
      </c>
      <c r="G31" s="55" t="n">
        <v>667.111633036035</v>
      </c>
      <c r="H31" s="62" t="n">
        <v>13</v>
      </c>
      <c r="I31" s="62" t="n">
        <v>1</v>
      </c>
      <c r="J31" s="62" t="n">
        <v>1</v>
      </c>
      <c r="K31" s="55" t="n">
        <v>369.076328241358</v>
      </c>
      <c r="L31" s="55" t="n">
        <v>938.282892779607</v>
      </c>
      <c r="M31" s="10" t="s">
        <v>1069</v>
      </c>
      <c r="N31" s="61" t="n">
        <v>0.100988516652482</v>
      </c>
      <c r="O31" s="61" t="n">
        <v>0.070670185547338</v>
      </c>
      <c r="P31" s="61" t="n">
        <v>0.085521259732333</v>
      </c>
      <c r="Q31" s="61" t="n">
        <v>0.0527995686069083</v>
      </c>
      <c r="R31" s="61" t="n">
        <v>0.0684564591750298</v>
      </c>
      <c r="S31" s="61" t="n">
        <v>0.0841231505883567</v>
      </c>
      <c r="T31" s="61" t="n">
        <v>0.0463723887660418</v>
      </c>
      <c r="U31" s="61" t="n">
        <v>0.0808199725479656</v>
      </c>
      <c r="V31" s="61" t="n">
        <v>0.0612086240682</v>
      </c>
      <c r="W31" s="61" t="n">
        <v>0.00268067166944316</v>
      </c>
      <c r="X31" s="61" t="n">
        <v>0.0862460379884834</v>
      </c>
      <c r="Y31" s="61" t="n">
        <v>0.0843501930291201</v>
      </c>
      <c r="Z31" s="61" t="n">
        <v>0.071275730966834</v>
      </c>
      <c r="AA31" s="61" t="n">
        <v>0.0657997298774496</v>
      </c>
      <c r="AB31" s="61" t="n">
        <v>0.113474396169902</v>
      </c>
      <c r="AC31" s="61" t="n">
        <v>0.0555008778096294</v>
      </c>
      <c r="AD31" s="61" t="n">
        <v>0.0823623322634733</v>
      </c>
      <c r="AE31" s="61" t="n">
        <v>0.0913357116232375</v>
      </c>
      <c r="AF31" s="61" t="n">
        <v>0.115380427367131</v>
      </c>
      <c r="AG31" s="61" t="n">
        <v>0.0643350210248681</v>
      </c>
      <c r="AH31" s="61" t="n">
        <v>0.0868768494958194</v>
      </c>
      <c r="AI31" s="61" t="n">
        <v>0.0985287502466142</v>
      </c>
      <c r="AJ31" s="61" t="n">
        <v>0.0989889356046708</v>
      </c>
      <c r="AK31" s="61" t="n">
        <v>0.0695117248521423</v>
      </c>
    </row>
    <row r="32" customFormat="false" ht="15" hidden="false" customHeight="true" outlineLevel="0" collapsed="false">
      <c r="A32" s="59" t="n">
        <v>-1.6875</v>
      </c>
      <c r="B32" s="60" t="n">
        <v>0.0457536249617411</v>
      </c>
      <c r="C32" s="61" t="n">
        <v>0.518167300984666</v>
      </c>
      <c r="D32" s="61" t="n">
        <v>0.669450847911682</v>
      </c>
      <c r="E32" s="61" t="n">
        <v>0.385184447021616</v>
      </c>
      <c r="F32" s="10" t="s">
        <v>1067</v>
      </c>
      <c r="G32" s="55" t="n">
        <v>697.927932376455</v>
      </c>
      <c r="H32" s="62" t="n">
        <v>13</v>
      </c>
      <c r="I32" s="62" t="n">
        <v>1</v>
      </c>
      <c r="J32" s="62" t="n">
        <v>2</v>
      </c>
      <c r="K32" s="55" t="n">
        <v>398.62065497972</v>
      </c>
      <c r="L32" s="55" t="n">
        <v>966.255291429338</v>
      </c>
      <c r="M32" s="10" t="s">
        <v>1069</v>
      </c>
      <c r="N32" s="61" t="n">
        <v>0.0993955287737648</v>
      </c>
      <c r="O32" s="61" t="n">
        <v>0.0691253480006904</v>
      </c>
      <c r="P32" s="61" t="n">
        <v>0.0834488204672081</v>
      </c>
      <c r="Q32" s="61" t="n">
        <v>0.0503435267081803</v>
      </c>
      <c r="R32" s="61" t="n">
        <v>0.0661882812747496</v>
      </c>
      <c r="S32" s="61" t="n">
        <v>0.0815014876936905</v>
      </c>
      <c r="T32" s="61" t="n">
        <v>0.0435528571805119</v>
      </c>
      <c r="U32" s="61" t="n">
        <v>0.0794851831687419</v>
      </c>
      <c r="V32" s="61" t="n">
        <v>0.0585215419175755</v>
      </c>
      <c r="W32" s="61" t="n">
        <v>-0.0030273571560355</v>
      </c>
      <c r="X32" s="61" t="n">
        <v>0.0854045868224548</v>
      </c>
      <c r="Y32" s="61" t="n">
        <v>0.0833323705845815</v>
      </c>
      <c r="Z32" s="61" t="n">
        <v>0.0695278739225681</v>
      </c>
      <c r="AA32" s="61" t="n">
        <v>0.0624949712685211</v>
      </c>
      <c r="AB32" s="61" t="n">
        <v>0.112139771748105</v>
      </c>
      <c r="AC32" s="61" t="n">
        <v>0.0517143905178947</v>
      </c>
      <c r="AD32" s="61" t="n">
        <v>0.0805149468162703</v>
      </c>
      <c r="AE32" s="61" t="n">
        <v>0.0897794564808563</v>
      </c>
      <c r="AF32" s="61" t="n">
        <v>0.114438272745642</v>
      </c>
      <c r="AG32" s="61" t="n">
        <v>0.0619615479024881</v>
      </c>
      <c r="AH32" s="61" t="n">
        <v>0.0855981025682468</v>
      </c>
      <c r="AI32" s="61" t="n">
        <v>0.0972916590594073</v>
      </c>
      <c r="AJ32" s="61" t="n">
        <v>0.0974471927457268</v>
      </c>
      <c r="AK32" s="61" t="n">
        <v>0.0690413893827728</v>
      </c>
    </row>
    <row r="33" customFormat="false" ht="15" hidden="false" customHeight="true" outlineLevel="0" collapsed="false">
      <c r="A33" s="59" t="n">
        <v>-1.75</v>
      </c>
      <c r="B33" s="60" t="n">
        <v>0.0400591568638171</v>
      </c>
      <c r="C33" s="61" t="n">
        <v>0.532473345010308</v>
      </c>
      <c r="D33" s="61" t="n">
        <v>0.655126958613193</v>
      </c>
      <c r="E33" s="61" t="n">
        <v>0.366032784698219</v>
      </c>
      <c r="F33" s="10" t="s">
        <v>1067</v>
      </c>
      <c r="G33" s="55" t="n">
        <v>728.445572717003</v>
      </c>
      <c r="H33" s="62" t="n">
        <v>15</v>
      </c>
      <c r="I33" s="62" t="n">
        <v>1</v>
      </c>
      <c r="J33" s="62" t="n">
        <v>2</v>
      </c>
      <c r="K33" s="55" t="n">
        <v>429.213476982498</v>
      </c>
      <c r="L33" s="55" t="n">
        <v>985.957291614026</v>
      </c>
      <c r="M33" s="10" t="s">
        <v>1069</v>
      </c>
      <c r="N33" s="61" t="n">
        <v>0.0978226980536985</v>
      </c>
      <c r="O33" s="61" t="n">
        <v>0.0675892327000898</v>
      </c>
      <c r="P33" s="61" t="n">
        <v>0.0813899357395645</v>
      </c>
      <c r="Q33" s="61" t="n">
        <v>0.0478871002333651</v>
      </c>
      <c r="R33" s="61" t="n">
        <v>0.0639548030776716</v>
      </c>
      <c r="S33" s="61" t="n">
        <v>0.0789029482902193</v>
      </c>
      <c r="T33" s="61" t="n">
        <v>0.0406901381393196</v>
      </c>
      <c r="U33" s="61" t="n">
        <v>0.0781355418242849</v>
      </c>
      <c r="V33" s="61" t="n">
        <v>0.0557648316610226</v>
      </c>
      <c r="W33" s="61" t="n">
        <v>-0.00876973076263726</v>
      </c>
      <c r="X33" s="61" t="n">
        <v>0.0846301271248277</v>
      </c>
      <c r="Y33" s="61" t="n">
        <v>0.0823116506898817</v>
      </c>
      <c r="Z33" s="61" t="n">
        <v>0.0677625217235311</v>
      </c>
      <c r="AA33" s="61" t="n">
        <v>0.0591970774228057</v>
      </c>
      <c r="AB33" s="61" t="n">
        <v>0.11089276178407</v>
      </c>
      <c r="AC33" s="61" t="n">
        <v>0.0479387098296309</v>
      </c>
      <c r="AD33" s="61" t="n">
        <v>0.0787172355774403</v>
      </c>
      <c r="AE33" s="61" t="n">
        <v>0.0882909822497402</v>
      </c>
      <c r="AF33" s="61" t="n">
        <v>0.113637965606465</v>
      </c>
      <c r="AG33" s="61" t="n">
        <v>0.059624695977873</v>
      </c>
      <c r="AH33" s="61" t="n">
        <v>0.084383505568013</v>
      </c>
      <c r="AI33" s="61" t="n">
        <v>0.096098796976816</v>
      </c>
      <c r="AJ33" s="61" t="n">
        <v>0.0959149145357106</v>
      </c>
      <c r="AK33" s="61" t="n">
        <v>0.0685919176009253</v>
      </c>
    </row>
    <row r="34" customFormat="false" ht="15" hidden="false" customHeight="true" outlineLevel="0" collapsed="false">
      <c r="A34" s="59" t="n">
        <v>-1.8125</v>
      </c>
      <c r="B34" s="60" t="n">
        <v>0.0349544869682347</v>
      </c>
      <c r="C34" s="61" t="n">
        <v>0.54674645877832</v>
      </c>
      <c r="D34" s="61" t="n">
        <v>0.640759064727277</v>
      </c>
      <c r="E34" s="61" t="n">
        <v>0.352417485600002</v>
      </c>
      <c r="F34" s="10" t="s">
        <v>1067</v>
      </c>
      <c r="G34" s="55" t="n">
        <v>761.949886943909</v>
      </c>
      <c r="H34" s="62" t="n">
        <v>15</v>
      </c>
      <c r="I34" s="62" t="n">
        <v>2</v>
      </c>
      <c r="J34" s="62" t="n">
        <v>3</v>
      </c>
      <c r="K34" s="55" t="n">
        <v>462.14891050143</v>
      </c>
      <c r="L34" s="55" t="n">
        <v>1013.53766775612</v>
      </c>
      <c r="M34" s="10" t="s">
        <v>1069</v>
      </c>
      <c r="N34" s="61" t="n">
        <v>0.096088818240631</v>
      </c>
      <c r="O34" s="61" t="n">
        <v>0.0660499679257029</v>
      </c>
      <c r="P34" s="61" t="n">
        <v>0.0792715263391008</v>
      </c>
      <c r="Q34" s="61" t="n">
        <v>0.0455053693997999</v>
      </c>
      <c r="R34" s="61" t="n">
        <v>0.0613684037858822</v>
      </c>
      <c r="S34" s="61" t="n">
        <v>0.0759577552674453</v>
      </c>
      <c r="T34" s="61" t="n">
        <v>0.0381791261479863</v>
      </c>
      <c r="U34" s="61" t="n">
        <v>0.0769051573905706</v>
      </c>
      <c r="V34" s="61" t="n">
        <v>0.0533164752624466</v>
      </c>
      <c r="W34" s="61" t="n">
        <v>-0.0144526322554677</v>
      </c>
      <c r="X34" s="61" t="n">
        <v>0.083304612745307</v>
      </c>
      <c r="Y34" s="61" t="n">
        <v>0.0813286722668101</v>
      </c>
      <c r="Z34" s="61" t="n">
        <v>0.0661573215674276</v>
      </c>
      <c r="AA34" s="61" t="n">
        <v>0.0555087459236998</v>
      </c>
      <c r="AB34" s="61" t="n">
        <v>0.109298424985925</v>
      </c>
      <c r="AC34" s="61" t="n">
        <v>0.044502729719725</v>
      </c>
      <c r="AD34" s="61" t="n">
        <v>0.0765011872836438</v>
      </c>
      <c r="AE34" s="61" t="n">
        <v>0.0862308257424853</v>
      </c>
      <c r="AF34" s="61" t="n">
        <v>0.112051434067366</v>
      </c>
      <c r="AG34" s="61" t="n">
        <v>0.0569923187490424</v>
      </c>
      <c r="AH34" s="61" t="n">
        <v>0.0825758798298179</v>
      </c>
      <c r="AI34" s="61" t="n">
        <v>0.0947279998902097</v>
      </c>
      <c r="AJ34" s="61" t="n">
        <v>0.0942033330552276</v>
      </c>
      <c r="AK34" s="61" t="n">
        <v>0.0679996637635879</v>
      </c>
    </row>
    <row r="35" customFormat="false" ht="15" hidden="false" customHeight="true" outlineLevel="0" collapsed="false">
      <c r="A35" s="59" t="n">
        <v>-1.875</v>
      </c>
      <c r="B35" s="60" t="n">
        <v>0.0303963617652614</v>
      </c>
      <c r="C35" s="61" t="n">
        <v>0.560967947028297</v>
      </c>
      <c r="D35" s="61" t="n">
        <v>0.626359387036401</v>
      </c>
      <c r="E35" s="61" t="n">
        <v>0.344497662870021</v>
      </c>
      <c r="F35" s="10" t="s">
        <v>1067</v>
      </c>
      <c r="G35" s="55" t="n">
        <v>792.65173896578</v>
      </c>
      <c r="H35" s="62" t="n">
        <v>16</v>
      </c>
      <c r="I35" s="62" t="n">
        <v>3</v>
      </c>
      <c r="J35" s="62" t="n">
        <v>4</v>
      </c>
      <c r="K35" s="55" t="n">
        <v>492.977141266644</v>
      </c>
      <c r="L35" s="55" t="n">
        <v>1044.34441828514</v>
      </c>
      <c r="M35" s="10" t="s">
        <v>1069</v>
      </c>
      <c r="N35" s="61" t="n">
        <v>0.0944633120279851</v>
      </c>
      <c r="O35" s="61" t="n">
        <v>0.0647033940737102</v>
      </c>
      <c r="P35" s="61" t="n">
        <v>0.0773597330471658</v>
      </c>
      <c r="Q35" s="61" t="n">
        <v>0.0436963279776783</v>
      </c>
      <c r="R35" s="61" t="n">
        <v>0.0589169131290256</v>
      </c>
      <c r="S35" s="61" t="n">
        <v>0.0731654329875018</v>
      </c>
      <c r="T35" s="61" t="n">
        <v>0.0361104507574272</v>
      </c>
      <c r="U35" s="61" t="n">
        <v>0.0758532671631418</v>
      </c>
      <c r="V35" s="61" t="n">
        <v>0.0512770029526961</v>
      </c>
      <c r="W35" s="61" t="n">
        <v>-0.019258728989538</v>
      </c>
      <c r="X35" s="61" t="n">
        <v>0.081900920185426</v>
      </c>
      <c r="Y35" s="61" t="n">
        <v>0.0804279719045342</v>
      </c>
      <c r="Z35" s="61" t="n">
        <v>0.0647748965884379</v>
      </c>
      <c r="AA35" s="61" t="n">
        <v>0.051954225285994</v>
      </c>
      <c r="AB35" s="61" t="n">
        <v>0.10774350389194</v>
      </c>
      <c r="AC35" s="61" t="n">
        <v>0.0410475224246885</v>
      </c>
      <c r="AD35" s="61" t="n">
        <v>0.0743670129144026</v>
      </c>
      <c r="AE35" s="61" t="n">
        <v>0.0842308605556312</v>
      </c>
      <c r="AF35" s="61" t="n">
        <v>0.110341261227704</v>
      </c>
      <c r="AG35" s="61" t="n">
        <v>0.0544989727962549</v>
      </c>
      <c r="AH35" s="61" t="n">
        <v>0.0807700422193914</v>
      </c>
      <c r="AI35" s="61" t="n">
        <v>0.0934222302379155</v>
      </c>
      <c r="AJ35" s="61" t="n">
        <v>0.0925657753431514</v>
      </c>
      <c r="AK35" s="61" t="n">
        <v>0.0673789637314479</v>
      </c>
    </row>
    <row r="36" customFormat="false" ht="15" hidden="false" customHeight="true" outlineLevel="0" collapsed="false">
      <c r="A36" s="59" t="n">
        <v>-1.9375</v>
      </c>
      <c r="B36" s="60" t="n">
        <v>0.0263421266891415</v>
      </c>
      <c r="C36" s="61" t="n">
        <v>0.575119294755249</v>
      </c>
      <c r="D36" s="61" t="n">
        <v>0.611939954676257</v>
      </c>
      <c r="E36" s="61" t="n">
        <v>0.336566975071941</v>
      </c>
      <c r="F36" s="10" t="s">
        <v>1067</v>
      </c>
      <c r="G36" s="55" t="n">
        <v>816.885626167733</v>
      </c>
      <c r="H36" s="62" t="n">
        <v>16</v>
      </c>
      <c r="I36" s="62" t="n">
        <v>3</v>
      </c>
      <c r="J36" s="62" t="n">
        <v>4</v>
      </c>
      <c r="K36" s="55" t="n">
        <v>518.622958932988</v>
      </c>
      <c r="L36" s="55" t="n">
        <v>1065.84899122284</v>
      </c>
      <c r="M36" s="10" t="s">
        <v>1069</v>
      </c>
      <c r="N36" s="61" t="n">
        <v>0.0931643897508253</v>
      </c>
      <c r="O36" s="61" t="n">
        <v>0.0635912394008097</v>
      </c>
      <c r="P36" s="61" t="n">
        <v>0.0757624249413603</v>
      </c>
      <c r="Q36" s="61" t="n">
        <v>0.0419000077573153</v>
      </c>
      <c r="R36" s="61" t="n">
        <v>0.0570568226257932</v>
      </c>
      <c r="S36" s="61" t="n">
        <v>0.070969459671661</v>
      </c>
      <c r="T36" s="61" t="n">
        <v>0.0341033819194122</v>
      </c>
      <c r="U36" s="61" t="n">
        <v>0.0748498721953132</v>
      </c>
      <c r="V36" s="61" t="n">
        <v>0.0492878376836541</v>
      </c>
      <c r="W36" s="61" t="n">
        <v>-0.0231448686531099</v>
      </c>
      <c r="X36" s="61" t="n">
        <v>0.0811033667073908</v>
      </c>
      <c r="Y36" s="61" t="n">
        <v>0.0795757764259544</v>
      </c>
      <c r="Z36" s="61" t="n">
        <v>0.0634467933391844</v>
      </c>
      <c r="AA36" s="61" t="n">
        <v>0.0490065955173034</v>
      </c>
      <c r="AB36" s="61" t="n">
        <v>0.106689777617755</v>
      </c>
      <c r="AC36" s="61" t="n">
        <v>0.0380055181391143</v>
      </c>
      <c r="AD36" s="61" t="n">
        <v>0.0728545452794071</v>
      </c>
      <c r="AE36" s="61" t="n">
        <v>0.0830259651763339</v>
      </c>
      <c r="AF36" s="61" t="n">
        <v>0.109503101462998</v>
      </c>
      <c r="AG36" s="61" t="n">
        <v>0.0525355483362848</v>
      </c>
      <c r="AH36" s="61" t="n">
        <v>0.0797141057547959</v>
      </c>
      <c r="AI36" s="61" t="n">
        <v>0.0924199154994387</v>
      </c>
      <c r="AJ36" s="61" t="n">
        <v>0.091218312322918</v>
      </c>
      <c r="AK36" s="61" t="n">
        <v>0.0669062895992376</v>
      </c>
    </row>
    <row r="37" customFormat="false" ht="15" hidden="false" customHeight="true" outlineLevel="0" collapsed="false">
      <c r="A37" s="59" t="n">
        <v>-2</v>
      </c>
      <c r="B37" s="60" t="n">
        <v>0.0227501319481792</v>
      </c>
      <c r="C37" s="61" t="n">
        <v>0.589182241520144</v>
      </c>
      <c r="D37" s="61" t="n">
        <v>0.597512551420098</v>
      </c>
      <c r="E37" s="61" t="n">
        <v>0.328631903281054</v>
      </c>
      <c r="F37" s="10" t="s">
        <v>1067</v>
      </c>
      <c r="G37" s="55" t="n">
        <v>840.837052648212</v>
      </c>
      <c r="H37" s="62" t="n">
        <v>16</v>
      </c>
      <c r="I37" s="62" t="n">
        <v>3</v>
      </c>
      <c r="J37" s="62" t="n">
        <v>4</v>
      </c>
      <c r="K37" s="55" t="n">
        <v>544.02022435858</v>
      </c>
      <c r="L37" s="55" t="n">
        <v>1078.99552573562</v>
      </c>
      <c r="M37" s="10" t="s">
        <v>1069</v>
      </c>
      <c r="N37" s="61" t="n">
        <v>0.0918916677677795</v>
      </c>
      <c r="O37" s="61" t="n">
        <v>0.0624993143838085</v>
      </c>
      <c r="P37" s="61" t="n">
        <v>0.0741916483351351</v>
      </c>
      <c r="Q37" s="61" t="n">
        <v>0.0401296379807122</v>
      </c>
      <c r="R37" s="61" t="n">
        <v>0.055202408155269</v>
      </c>
      <c r="S37" s="61" t="n">
        <v>0.0687768224826865</v>
      </c>
      <c r="T37" s="61" t="n">
        <v>0.0321179135789943</v>
      </c>
      <c r="U37" s="61" t="n">
        <v>0.0738614494002831</v>
      </c>
      <c r="V37" s="61" t="n">
        <v>0.0473087632315894</v>
      </c>
      <c r="W37" s="61" t="n">
        <v>-0.0269557283865117</v>
      </c>
      <c r="X37" s="61" t="n">
        <v>0.0803432774256053</v>
      </c>
      <c r="Y37" s="61" t="n">
        <v>0.0787280094261113</v>
      </c>
      <c r="Z37" s="61" t="n">
        <v>0.0621287930348209</v>
      </c>
      <c r="AA37" s="61" t="n">
        <v>0.0460573798733704</v>
      </c>
      <c r="AB37" s="61" t="n">
        <v>0.10567483108545</v>
      </c>
      <c r="AC37" s="61" t="n">
        <v>0.0349808088795104</v>
      </c>
      <c r="AD37" s="61" t="n">
        <v>0.0713500348716033</v>
      </c>
      <c r="AE37" s="61" t="n">
        <v>0.0818308780085723</v>
      </c>
      <c r="AF37" s="61" t="n">
        <v>0.108697480572133</v>
      </c>
      <c r="AG37" s="61" t="n">
        <v>0.0506340775757555</v>
      </c>
      <c r="AH37" s="61" t="n">
        <v>0.0786753986502754</v>
      </c>
      <c r="AI37" s="61" t="n">
        <v>0.0914429452910857</v>
      </c>
      <c r="AJ37" s="61" t="n">
        <v>0.0898740984144367</v>
      </c>
      <c r="AK37" s="61" t="n">
        <v>0.0664413347073933</v>
      </c>
    </row>
    <row r="38" customFormat="false" ht="15" hidden="false" customHeight="true" outlineLevel="0" collapsed="false">
      <c r="A38" s="59" t="n">
        <v>-2.0625</v>
      </c>
      <c r="B38" s="60" t="n">
        <v>0.0195800787783775</v>
      </c>
      <c r="C38" s="61" t="n">
        <v>0.600427205985276</v>
      </c>
      <c r="D38" s="61" t="n">
        <v>0.588101902104187</v>
      </c>
      <c r="E38" s="61" t="n">
        <v>0.323456046157303</v>
      </c>
      <c r="F38" s="10" t="s">
        <v>1067</v>
      </c>
      <c r="G38" s="55" t="n">
        <v>876.147355450131</v>
      </c>
      <c r="H38" s="62" t="n">
        <v>17</v>
      </c>
      <c r="I38" s="62" t="n">
        <v>4</v>
      </c>
      <c r="J38" s="62" t="n">
        <v>5</v>
      </c>
      <c r="K38" s="55" t="n">
        <v>580.679516143288</v>
      </c>
      <c r="L38" s="55" t="n">
        <v>1098.98507804665</v>
      </c>
      <c r="M38" s="10" t="s">
        <v>1069</v>
      </c>
      <c r="N38" s="61" t="n">
        <v>0.0900510630166248</v>
      </c>
      <c r="O38" s="61" t="n">
        <v>0.0610431560214439</v>
      </c>
      <c r="P38" s="61" t="n">
        <v>0.0721031066824191</v>
      </c>
      <c r="Q38" s="61" t="n">
        <v>0.0379473379786249</v>
      </c>
      <c r="R38" s="61" t="n">
        <v>0.0523160015049936</v>
      </c>
      <c r="S38" s="61" t="n">
        <v>0.0655460712045802</v>
      </c>
      <c r="T38" s="61" t="n">
        <v>0.0301088580299917</v>
      </c>
      <c r="U38" s="61" t="n">
        <v>0.0728071385290456</v>
      </c>
      <c r="V38" s="61" t="n">
        <v>0.0452882257158493</v>
      </c>
      <c r="W38" s="61" t="n">
        <v>-0.0322669362391559</v>
      </c>
      <c r="X38" s="61" t="n">
        <v>0.0784539774038055</v>
      </c>
      <c r="Y38" s="61" t="n">
        <v>0.0778115477053815</v>
      </c>
      <c r="Z38" s="61" t="n">
        <v>0.0607565789282546</v>
      </c>
      <c r="AA38" s="61" t="n">
        <v>0.0430825199591843</v>
      </c>
      <c r="AB38" s="61" t="n">
        <v>0.103826768775101</v>
      </c>
      <c r="AC38" s="61" t="n">
        <v>0.0312533536466712</v>
      </c>
      <c r="AD38" s="61" t="n">
        <v>0.0687590311361738</v>
      </c>
      <c r="AE38" s="61" t="n">
        <v>0.0792430200284838</v>
      </c>
      <c r="AF38" s="61" t="n">
        <v>0.106394416291395</v>
      </c>
      <c r="AG38" s="61" t="n">
        <v>0.0478026021831791</v>
      </c>
      <c r="AH38" s="61" t="n">
        <v>0.076339070538561</v>
      </c>
      <c r="AI38" s="61" t="n">
        <v>0.0899809983421738</v>
      </c>
      <c r="AJ38" s="61" t="n">
        <v>0.087998546746895</v>
      </c>
      <c r="AK38" s="61" t="n">
        <v>0.0657021765991578</v>
      </c>
    </row>
    <row r="39" customFormat="false" ht="15" hidden="false" customHeight="true" outlineLevel="0" collapsed="false">
      <c r="A39" s="59" t="n">
        <v>-2.125</v>
      </c>
      <c r="B39" s="60" t="n">
        <v>0.0167933064484488</v>
      </c>
      <c r="C39" s="61" t="n">
        <v>0.611596388738452</v>
      </c>
      <c r="D39" s="61" t="n">
        <v>0.578687204551507</v>
      </c>
      <c r="E39" s="61" t="n">
        <v>0.318277962503329</v>
      </c>
      <c r="F39" s="10" t="s">
        <v>1067</v>
      </c>
      <c r="G39" s="55" t="n">
        <v>900.785838921638</v>
      </c>
      <c r="H39" s="62" t="n">
        <v>17</v>
      </c>
      <c r="I39" s="62" t="n">
        <v>4</v>
      </c>
      <c r="J39" s="62" t="n">
        <v>6</v>
      </c>
      <c r="K39" s="55" t="n">
        <v>607.182469585778</v>
      </c>
      <c r="L39" s="55" t="n">
        <v>1112.67473880047</v>
      </c>
      <c r="M39" s="10" t="s">
        <v>1069</v>
      </c>
      <c r="N39" s="61" t="n">
        <v>0.0887534524955824</v>
      </c>
      <c r="O39" s="61" t="n">
        <v>0.0599645799427725</v>
      </c>
      <c r="P39" s="61" t="n">
        <v>0.0705280186251633</v>
      </c>
      <c r="Q39" s="61" t="n">
        <v>0.0361959261521585</v>
      </c>
      <c r="R39" s="61" t="n">
        <v>0.0504006424982433</v>
      </c>
      <c r="S39" s="61" t="n">
        <v>0.0632957764075291</v>
      </c>
      <c r="T39" s="61" t="n">
        <v>0.0281838355094061</v>
      </c>
      <c r="U39" s="61" t="n">
        <v>0.0718347043142321</v>
      </c>
      <c r="V39" s="61" t="n">
        <v>0.0433471868896057</v>
      </c>
      <c r="W39" s="61" t="n">
        <v>-0.0360649259269276</v>
      </c>
      <c r="X39" s="61" t="n">
        <v>0.0775870426407101</v>
      </c>
      <c r="Y39" s="61" t="n">
        <v>0.0769708813869749</v>
      </c>
      <c r="Z39" s="61" t="n">
        <v>0.0594653280622945</v>
      </c>
      <c r="AA39" s="61" t="n">
        <v>0.0400426782904157</v>
      </c>
      <c r="AB39" s="61" t="n">
        <v>0.10274852159544</v>
      </c>
      <c r="AC39" s="61" t="n">
        <v>0.0282189602498569</v>
      </c>
      <c r="AD39" s="61" t="n">
        <v>0.0671828885000955</v>
      </c>
      <c r="AE39" s="61" t="n">
        <v>0.0779532335082094</v>
      </c>
      <c r="AF39" s="61" t="n">
        <v>0.105471814506773</v>
      </c>
      <c r="AG39" s="61" t="n">
        <v>0.0458524401063891</v>
      </c>
      <c r="AH39" s="61" t="n">
        <v>0.0752083290736198</v>
      </c>
      <c r="AI39" s="61" t="n">
        <v>0.0889828546388799</v>
      </c>
      <c r="AJ39" s="61" t="n">
        <v>0.0866177531725704</v>
      </c>
      <c r="AK39" s="61" t="n">
        <v>0.0652123947112309</v>
      </c>
    </row>
    <row r="40" customFormat="false" ht="15" hidden="false" customHeight="true" outlineLevel="0" collapsed="false">
      <c r="A40" s="59" t="n">
        <v>-2.1875</v>
      </c>
      <c r="B40" s="60" t="n">
        <v>0.0143530216088017</v>
      </c>
      <c r="C40" s="61" t="n">
        <v>0.622680908704031</v>
      </c>
      <c r="D40" s="61" t="n">
        <v>0.569273800278022</v>
      </c>
      <c r="E40" s="61" t="n">
        <v>0.313100590152912</v>
      </c>
      <c r="F40" s="10" t="s">
        <v>1067</v>
      </c>
      <c r="G40" s="55" t="n">
        <v>935.114294097089</v>
      </c>
      <c r="H40" s="62" t="n">
        <v>17</v>
      </c>
      <c r="I40" s="62" t="n">
        <v>5</v>
      </c>
      <c r="J40" s="62" t="n">
        <v>7</v>
      </c>
      <c r="K40" s="55" t="n">
        <v>643.204186258007</v>
      </c>
      <c r="L40" s="55" t="n">
        <v>1131.49716216672</v>
      </c>
      <c r="M40" s="10" t="s">
        <v>1069</v>
      </c>
      <c r="N40" s="61" t="n">
        <v>0.0869675995812621</v>
      </c>
      <c r="O40" s="61" t="n">
        <v>0.0585640927552856</v>
      </c>
      <c r="P40" s="61" t="n">
        <v>0.0684948174348759</v>
      </c>
      <c r="Q40" s="61" t="n">
        <v>0.0340685836860669</v>
      </c>
      <c r="R40" s="61" t="n">
        <v>0.0475919873718463</v>
      </c>
      <c r="S40" s="61" t="n">
        <v>0.0601399929797185</v>
      </c>
      <c r="T40" s="61" t="n">
        <v>0.0262099628536608</v>
      </c>
      <c r="U40" s="61" t="n">
        <v>0.070797822654659</v>
      </c>
      <c r="V40" s="61" t="n">
        <v>0.0413401361250295</v>
      </c>
      <c r="W40" s="61" t="n">
        <v>-0.0411781067902668</v>
      </c>
      <c r="X40" s="61" t="n">
        <v>0.0757789480519037</v>
      </c>
      <c r="Y40" s="61" t="n">
        <v>0.0760667456821759</v>
      </c>
      <c r="Z40" s="61" t="n">
        <v>0.058112493210194</v>
      </c>
      <c r="AA40" s="61" t="n">
        <v>0.0360247550379632</v>
      </c>
      <c r="AB40" s="61" t="n">
        <v>0.100959939672649</v>
      </c>
      <c r="AC40" s="61" t="n">
        <v>0.0245655594946688</v>
      </c>
      <c r="AD40" s="61" t="n">
        <v>0.0646843326867123</v>
      </c>
      <c r="AE40" s="61" t="n">
        <v>0.0754787194351547</v>
      </c>
      <c r="AF40" s="61" t="n">
        <v>0.103278790796901</v>
      </c>
      <c r="AG40" s="61" t="n">
        <v>0.0439610851706192</v>
      </c>
      <c r="AH40" s="61" t="n">
        <v>0.0729672555648102</v>
      </c>
      <c r="AI40" s="61" t="n">
        <v>0.0875596977954738</v>
      </c>
      <c r="AJ40" s="61" t="n">
        <v>0.0847829922432095</v>
      </c>
      <c r="AK40" s="61" t="n">
        <v>0.0644964975487126</v>
      </c>
    </row>
    <row r="41" customFormat="false" ht="15" hidden="false" customHeight="true" outlineLevel="0" collapsed="false">
      <c r="A41" s="59" t="n">
        <v>-2.25</v>
      </c>
      <c r="B41" s="60" t="n">
        <v>0.0122244726550447</v>
      </c>
      <c r="C41" s="61" t="n">
        <v>0.633672074570843</v>
      </c>
      <c r="D41" s="61" t="n">
        <v>0.559866881423717</v>
      </c>
      <c r="E41" s="61" t="n">
        <v>0.307926784783044</v>
      </c>
      <c r="F41" s="10" t="s">
        <v>1067</v>
      </c>
      <c r="G41" s="55" t="n">
        <v>959.01588108993</v>
      </c>
      <c r="H41" s="62" t="n">
        <v>17</v>
      </c>
      <c r="I41" s="62" t="n">
        <v>5</v>
      </c>
      <c r="J41" s="62" t="n">
        <v>7</v>
      </c>
      <c r="K41" s="55" t="n">
        <v>669.503875843087</v>
      </c>
      <c r="L41" s="55" t="n">
        <v>1142.73200186642</v>
      </c>
      <c r="M41" s="10" t="s">
        <v>1069</v>
      </c>
      <c r="N41" s="61" t="n">
        <v>0.0857190793686793</v>
      </c>
      <c r="O41" s="61" t="n">
        <v>0.0575342102751203</v>
      </c>
      <c r="P41" s="61" t="n">
        <v>0.0669690822433339</v>
      </c>
      <c r="Q41" s="61" t="n">
        <v>0.0323648235716452</v>
      </c>
      <c r="R41" s="61" t="n">
        <v>0.045736844581649</v>
      </c>
      <c r="S41" s="61" t="n">
        <v>0.0579450854844111</v>
      </c>
      <c r="T41" s="61" t="n">
        <v>0.0243200165292151</v>
      </c>
      <c r="U41" s="61" t="n">
        <v>0.0698463507958418</v>
      </c>
      <c r="V41" s="61" t="n">
        <v>0.0394102504705198</v>
      </c>
      <c r="W41" s="61" t="n">
        <v>-0.0448076445312064</v>
      </c>
      <c r="X41" s="61" t="n">
        <v>0.0749815214841975</v>
      </c>
      <c r="Y41" s="61" t="n">
        <v>0.0752361611081012</v>
      </c>
      <c r="Z41" s="61" t="n">
        <v>0.0568389914558498</v>
      </c>
      <c r="AA41" s="61" t="n">
        <v>0.0330428485691195</v>
      </c>
      <c r="AB41" s="61" t="n">
        <v>0.0999218221392169</v>
      </c>
      <c r="AC41" s="61" t="n">
        <v>0.0216193269996801</v>
      </c>
      <c r="AD41" s="61" t="n">
        <v>0.0631889719679927</v>
      </c>
      <c r="AE41" s="61" t="n">
        <v>0.0742679858719911</v>
      </c>
      <c r="AF41" s="61" t="n">
        <v>0.102430362575545</v>
      </c>
      <c r="AG41" s="61" t="n">
        <v>0.0421117976138203</v>
      </c>
      <c r="AH41" s="61" t="n">
        <v>0.0718942584497788</v>
      </c>
      <c r="AI41" s="61" t="n">
        <v>0.0865857256877398</v>
      </c>
      <c r="AJ41" s="61" t="n">
        <v>0.0834523267523019</v>
      </c>
      <c r="AK41" s="61" t="n">
        <v>0.0640315329182325</v>
      </c>
    </row>
    <row r="42" customFormat="false" ht="15" hidden="false" customHeight="true" outlineLevel="0" collapsed="false">
      <c r="A42" s="59" t="n">
        <v>-2.3125</v>
      </c>
      <c r="B42" s="60" t="n">
        <v>0.010375072658058</v>
      </c>
      <c r="C42" s="61" t="n">
        <v>0.644561405862307</v>
      </c>
      <c r="D42" s="61" t="n">
        <v>0.550471487160215</v>
      </c>
      <c r="E42" s="61" t="n">
        <v>0.302759317938118</v>
      </c>
      <c r="F42" s="10" t="s">
        <v>1067</v>
      </c>
      <c r="G42" s="55" t="n">
        <v>991.239163013414</v>
      </c>
      <c r="H42" s="62" t="n">
        <v>17</v>
      </c>
      <c r="I42" s="62" t="n">
        <v>6</v>
      </c>
      <c r="J42" s="62" t="n">
        <v>8</v>
      </c>
      <c r="K42" s="55" t="n">
        <v>703.894162579489</v>
      </c>
      <c r="L42" s="55" t="n">
        <v>1166.3584496741</v>
      </c>
      <c r="M42" s="10" t="s">
        <v>1069</v>
      </c>
      <c r="N42" s="61" t="n">
        <v>0.0840552316998665</v>
      </c>
      <c r="O42" s="61" t="n">
        <v>0.0562382656040114</v>
      </c>
      <c r="P42" s="61" t="n">
        <v>0.0650479945865298</v>
      </c>
      <c r="Q42" s="61" t="n">
        <v>0.030343072593129</v>
      </c>
      <c r="R42" s="61" t="n">
        <v>0.0438610005715574</v>
      </c>
      <c r="S42" s="61" t="n">
        <v>0.0549953663531889</v>
      </c>
      <c r="T42" s="61" t="n">
        <v>0.0223919836450007</v>
      </c>
      <c r="U42" s="61" t="n">
        <v>0.0688414329999421</v>
      </c>
      <c r="V42" s="61" t="n">
        <v>0.0374281744149757</v>
      </c>
      <c r="W42" s="61" t="n">
        <v>-0.0495238730423832</v>
      </c>
      <c r="X42" s="61" t="n">
        <v>0.0733799209995173</v>
      </c>
      <c r="Y42" s="61" t="n">
        <v>0.0743539960252256</v>
      </c>
      <c r="Z42" s="61" t="n">
        <v>0.05551612335417</v>
      </c>
      <c r="AA42" s="61" t="n">
        <v>0.0292264854115846</v>
      </c>
      <c r="AB42" s="61" t="n">
        <v>0.0982033101835608</v>
      </c>
      <c r="AC42" s="61" t="n">
        <v>0.0181430534611629</v>
      </c>
      <c r="AD42" s="61" t="n">
        <v>0.0609217789373024</v>
      </c>
      <c r="AE42" s="61" t="n">
        <v>0.0720788978336086</v>
      </c>
      <c r="AF42" s="61" t="n">
        <v>0.100442164501863</v>
      </c>
      <c r="AG42" s="61" t="n">
        <v>0.0395694390305745</v>
      </c>
      <c r="AH42" s="61" t="n">
        <v>0.0698786837142011</v>
      </c>
      <c r="AI42" s="61" t="n">
        <v>0.0852076317825941</v>
      </c>
      <c r="AJ42" s="61" t="n">
        <v>0.0817343314925629</v>
      </c>
      <c r="AK42" s="61" t="n">
        <v>0.0633730904709969</v>
      </c>
    </row>
    <row r="43" customFormat="false" ht="15" hidden="false" customHeight="true" outlineLevel="0" collapsed="false">
      <c r="A43" s="59" t="n">
        <v>-2.375</v>
      </c>
      <c r="B43" s="60" t="n">
        <v>0.00877447509573836</v>
      </c>
      <c r="C43" s="61" t="n">
        <v>0.65534065322097</v>
      </c>
      <c r="D43" s="61" t="n">
        <v>0.541092500575977</v>
      </c>
      <c r="E43" s="61" t="n">
        <v>0.297600875316787</v>
      </c>
      <c r="F43" s="10" t="s">
        <v>1067</v>
      </c>
      <c r="G43" s="55" t="n">
        <v>1015.48647621067</v>
      </c>
      <c r="H43" s="62" t="n">
        <v>17</v>
      </c>
      <c r="I43" s="62" t="n">
        <v>6</v>
      </c>
      <c r="J43" s="62" t="n">
        <v>8</v>
      </c>
      <c r="K43" s="55" t="n">
        <v>730.512751655292</v>
      </c>
      <c r="L43" s="55" t="n">
        <v>1181.88439027172</v>
      </c>
      <c r="M43" s="10" t="s">
        <v>1069</v>
      </c>
      <c r="N43" s="61" t="n">
        <v>0.0828030564886573</v>
      </c>
      <c r="O43" s="61" t="n">
        <v>0.0552288760053663</v>
      </c>
      <c r="P43" s="61" t="n">
        <v>0.0635180585783996</v>
      </c>
      <c r="Q43" s="61" t="n">
        <v>0.0286502391905387</v>
      </c>
      <c r="R43" s="61" t="n">
        <v>0.0420096816433721</v>
      </c>
      <c r="S43" s="61" t="n">
        <v>0.0527890258052696</v>
      </c>
      <c r="T43" s="61" t="n">
        <v>0.0205316490921686</v>
      </c>
      <c r="U43" s="61" t="n">
        <v>0.0679016937193561</v>
      </c>
      <c r="V43" s="61" t="n">
        <v>0.0355084878509672</v>
      </c>
      <c r="W43" s="61" t="n">
        <v>-0.0531007421061941</v>
      </c>
      <c r="X43" s="61" t="n">
        <v>0.0725475792790002</v>
      </c>
      <c r="Y43" s="61" t="n">
        <v>0.0735293807503926</v>
      </c>
      <c r="Z43" s="61" t="n">
        <v>0.0542561100405929</v>
      </c>
      <c r="AA43" s="61" t="n">
        <v>0.0261869525676243</v>
      </c>
      <c r="AB43" s="61" t="n">
        <v>0.0970841118490767</v>
      </c>
      <c r="AC43" s="61" t="n">
        <v>0.0152027452978647</v>
      </c>
      <c r="AD43" s="61" t="n">
        <v>0.0594254719723145</v>
      </c>
      <c r="AE43" s="61" t="n">
        <v>0.0708663032202209</v>
      </c>
      <c r="AF43" s="61" t="n">
        <v>0.0995116992807442</v>
      </c>
      <c r="AG43" s="61" t="n">
        <v>0.0376993759704729</v>
      </c>
      <c r="AH43" s="61" t="n">
        <v>0.0687727003592593</v>
      </c>
      <c r="AI43" s="61" t="n">
        <v>0.0841916312987515</v>
      </c>
      <c r="AJ43" s="61" t="n">
        <v>0.0803960235205394</v>
      </c>
      <c r="AK43" s="61" t="n">
        <v>0.062906262488936</v>
      </c>
    </row>
    <row r="44" customFormat="false" ht="15" hidden="false" customHeight="true" outlineLevel="0" collapsed="false">
      <c r="A44" s="59" t="n">
        <v>-2.4375</v>
      </c>
      <c r="B44" s="60" t="n">
        <v>0.00739460711088069</v>
      </c>
      <c r="C44" s="61" t="n">
        <v>0.666001817822876</v>
      </c>
      <c r="D44" s="61" t="n">
        <v>0.531734646017446</v>
      </c>
      <c r="E44" s="61" t="n">
        <v>0.292454055309595</v>
      </c>
      <c r="F44" s="10" t="s">
        <v>1067</v>
      </c>
      <c r="G44" s="55" t="n">
        <v>1039.40502300003</v>
      </c>
      <c r="H44" s="62" t="n">
        <v>17</v>
      </c>
      <c r="I44" s="62" t="n">
        <v>6</v>
      </c>
      <c r="J44" s="62" t="n">
        <v>8</v>
      </c>
      <c r="K44" s="55" t="n">
        <v>756.83013565694</v>
      </c>
      <c r="L44" s="55" t="n">
        <v>1189.41298824717</v>
      </c>
      <c r="M44" s="10" t="s">
        <v>1069</v>
      </c>
      <c r="N44" s="61" t="n">
        <v>0.0815660071991457</v>
      </c>
      <c r="O44" s="61" t="n">
        <v>0.0542343778189966</v>
      </c>
      <c r="P44" s="61" t="n">
        <v>0.0620100975534914</v>
      </c>
      <c r="Q44" s="61" t="n">
        <v>0.0269778732582481</v>
      </c>
      <c r="R44" s="61" t="n">
        <v>0.0401716954561239</v>
      </c>
      <c r="S44" s="61" t="n">
        <v>0.0505975392462564</v>
      </c>
      <c r="T44" s="61" t="n">
        <v>0.0186872074811875</v>
      </c>
      <c r="U44" s="61" t="n">
        <v>0.0669684826558731</v>
      </c>
      <c r="V44" s="61" t="n">
        <v>0.0335994108859653</v>
      </c>
      <c r="W44" s="61" t="n">
        <v>-0.0566378936352927</v>
      </c>
      <c r="X44" s="61" t="n">
        <v>0.0717300156790527</v>
      </c>
      <c r="Y44" s="61" t="n">
        <v>0.0727084282961038</v>
      </c>
      <c r="Z44" s="61" t="n">
        <v>0.0530037307890455</v>
      </c>
      <c r="AA44" s="61" t="n">
        <v>0.0231396849048359</v>
      </c>
      <c r="AB44" s="61" t="n">
        <v>0.0960506688411303</v>
      </c>
      <c r="AC44" s="61" t="n">
        <v>0.0122846363256044</v>
      </c>
      <c r="AD44" s="61" t="n">
        <v>0.057947251090932</v>
      </c>
      <c r="AE44" s="61" t="n">
        <v>0.0696682710213192</v>
      </c>
      <c r="AF44" s="61" t="n">
        <v>0.0986693382731758</v>
      </c>
      <c r="AG44" s="61" t="n">
        <v>0.0358659583175475</v>
      </c>
      <c r="AH44" s="61" t="n">
        <v>0.067698384144396</v>
      </c>
      <c r="AI44" s="61" t="n">
        <v>0.0832296946970404</v>
      </c>
      <c r="AJ44" s="61" t="n">
        <v>0.0790647096675511</v>
      </c>
      <c r="AK44" s="61" t="n">
        <v>0.0624464714488109</v>
      </c>
    </row>
    <row r="45" customFormat="false" ht="15" hidden="false" customHeight="true" outlineLevel="0" collapsed="false">
      <c r="A45" s="59" t="n">
        <v>-2.5</v>
      </c>
      <c r="B45" s="60" t="n">
        <v>0.00620966532577613</v>
      </c>
      <c r="C45" s="61" t="n">
        <v>0.676537169841728</v>
      </c>
      <c r="D45" s="61" t="n">
        <v>0.522402486969454</v>
      </c>
      <c r="E45" s="61" t="n">
        <v>0.2873213678332</v>
      </c>
      <c r="F45" s="10" t="s">
        <v>1067</v>
      </c>
      <c r="G45" s="55" t="n">
        <v>1063.31151907972</v>
      </c>
      <c r="H45" s="62" t="n">
        <v>17</v>
      </c>
      <c r="I45" s="62" t="n">
        <v>6</v>
      </c>
      <c r="J45" s="62" t="n">
        <v>8</v>
      </c>
      <c r="K45" s="55" t="n">
        <v>783.135528142783</v>
      </c>
      <c r="L45" s="55" t="n">
        <v>1197.20617511363</v>
      </c>
      <c r="M45" s="10" t="s">
        <v>1069</v>
      </c>
      <c r="N45" s="61" t="n">
        <v>0.0803342514977618</v>
      </c>
      <c r="O45" s="61" t="n">
        <v>0.0532524390040382</v>
      </c>
      <c r="P45" s="61" t="n">
        <v>0.0605094223526087</v>
      </c>
      <c r="Q45" s="61" t="n">
        <v>0.0253175367135932</v>
      </c>
      <c r="R45" s="61" t="n">
        <v>0.0383355836162532</v>
      </c>
      <c r="S45" s="61" t="n">
        <v>0.0484088193194615</v>
      </c>
      <c r="T45" s="61" t="n">
        <v>0.0168583195971487</v>
      </c>
      <c r="U45" s="61" t="n">
        <v>0.0660417159238393</v>
      </c>
      <c r="V45" s="61" t="n">
        <v>0.0316980995997825</v>
      </c>
      <c r="W45" s="61" t="n">
        <v>-0.0601372127978107</v>
      </c>
      <c r="X45" s="61" t="n">
        <v>0.070909090099024</v>
      </c>
      <c r="Y45" s="61" t="n">
        <v>0.0718911125168327</v>
      </c>
      <c r="Z45" s="61" t="n">
        <v>0.051758953054307</v>
      </c>
      <c r="AA45" s="61" t="n">
        <v>0.0200690212430882</v>
      </c>
      <c r="AB45" s="61" t="n">
        <v>0.0950184491734728</v>
      </c>
      <c r="AC45" s="61" t="n">
        <v>0.009372457389007</v>
      </c>
      <c r="AD45" s="61" t="n">
        <v>0.0564743575490129</v>
      </c>
      <c r="AE45" s="61" t="n">
        <v>0.0684785174347333</v>
      </c>
      <c r="AF45" s="61" t="n">
        <v>0.0978295218432039</v>
      </c>
      <c r="AG45" s="61" t="n">
        <v>0.0340396267609782</v>
      </c>
      <c r="AH45" s="61" t="n">
        <v>0.0666276693502628</v>
      </c>
      <c r="AI45" s="61" t="n">
        <v>0.0822709404029628</v>
      </c>
      <c r="AJ45" s="61" t="n">
        <v>0.0777322771476638</v>
      </c>
      <c r="AK45" s="61" t="n">
        <v>0.0619870881918636</v>
      </c>
    </row>
    <row r="46" customFormat="false" ht="15" hidden="false" customHeight="true" outlineLevel="0" collapsed="false">
      <c r="A46" s="59" t="n">
        <v>-2.5625</v>
      </c>
      <c r="B46" s="60" t="n">
        <v>0.00519607938209116</v>
      </c>
      <c r="C46" s="61" t="n">
        <v>0.686939265887919</v>
      </c>
      <c r="D46" s="61" t="n">
        <v>0.517397377726166</v>
      </c>
      <c r="E46" s="61" t="n">
        <v>0.284568557749391</v>
      </c>
      <c r="F46" s="10" t="s">
        <v>1067</v>
      </c>
      <c r="G46" s="55" t="n">
        <v>1082.78518232634</v>
      </c>
      <c r="H46" s="62" t="n">
        <v>17</v>
      </c>
      <c r="I46" s="62" t="n">
        <v>6</v>
      </c>
      <c r="J46" s="62" t="n">
        <v>8</v>
      </c>
      <c r="K46" s="55" t="n">
        <v>805.085336998886</v>
      </c>
      <c r="L46" s="55" t="n">
        <v>1203.22941113047</v>
      </c>
      <c r="M46" s="10" t="s">
        <v>1069</v>
      </c>
      <c r="N46" s="61" t="n">
        <v>0.0792863663928073</v>
      </c>
      <c r="O46" s="61" t="n">
        <v>0.052500660476904</v>
      </c>
      <c r="P46" s="61" t="n">
        <v>0.0592882929344945</v>
      </c>
      <c r="Q46" s="61" t="n">
        <v>0.0240225762382507</v>
      </c>
      <c r="R46" s="61" t="n">
        <v>0.0367907024969849</v>
      </c>
      <c r="S46" s="61" t="n">
        <v>0.0465286949647871</v>
      </c>
      <c r="T46" s="61" t="n">
        <v>0.0154789676383018</v>
      </c>
      <c r="U46" s="61" t="n">
        <v>0.0653044698472842</v>
      </c>
      <c r="V46" s="61" t="n">
        <v>0.0302284472244767</v>
      </c>
      <c r="W46" s="61" t="n">
        <v>-0.0626565820544778</v>
      </c>
      <c r="X46" s="61" t="n">
        <v>0.0701469147541749</v>
      </c>
      <c r="Y46" s="61" t="n">
        <v>0.071169750478184</v>
      </c>
      <c r="Z46" s="61" t="n">
        <v>0.0507525054095384</v>
      </c>
      <c r="AA46" s="61" t="n">
        <v>0.0173915242785435</v>
      </c>
      <c r="AB46" s="61" t="n">
        <v>0.0941151470218061</v>
      </c>
      <c r="AC46" s="61" t="n">
        <v>0.00704573409229363</v>
      </c>
      <c r="AD46" s="61" t="n">
        <v>0.0552931446807642</v>
      </c>
      <c r="AE46" s="61" t="n">
        <v>0.0675024898518748</v>
      </c>
      <c r="AF46" s="61" t="n">
        <v>0.0970541696489987</v>
      </c>
      <c r="AG46" s="61" t="n">
        <v>0.0324783706145926</v>
      </c>
      <c r="AH46" s="61" t="n">
        <v>0.0656632344581062</v>
      </c>
      <c r="AI46" s="61" t="n">
        <v>0.0814234128572221</v>
      </c>
      <c r="AJ46" s="61" t="n">
        <v>0.0766306384731807</v>
      </c>
      <c r="AK46" s="61" t="n">
        <v>0.061566500594879</v>
      </c>
    </row>
    <row r="47" customFormat="false" ht="15" hidden="false" customHeight="true" outlineLevel="0" collapsed="false">
      <c r="A47" s="59" t="n">
        <v>-2.625</v>
      </c>
      <c r="B47" s="60" t="n">
        <v>0.00433244836301256</v>
      </c>
      <c r="C47" s="61" t="n">
        <v>0.697200965353009</v>
      </c>
      <c r="D47" s="61" t="n">
        <v>0.512472326440358</v>
      </c>
      <c r="E47" s="61" t="n">
        <v>0.281859779542197</v>
      </c>
      <c r="F47" s="10" t="s">
        <v>1067</v>
      </c>
      <c r="G47" s="55" t="n">
        <v>1106.1755812261</v>
      </c>
      <c r="H47" s="62" t="n">
        <v>18</v>
      </c>
      <c r="I47" s="62" t="n">
        <v>7</v>
      </c>
      <c r="J47" s="62" t="n">
        <v>9</v>
      </c>
      <c r="K47" s="55" t="n">
        <v>831.346591943473</v>
      </c>
      <c r="L47" s="55" t="n">
        <v>1209.2565154534</v>
      </c>
      <c r="M47" s="10" t="s">
        <v>1069</v>
      </c>
      <c r="N47" s="61" t="n">
        <v>0.0780175744149111</v>
      </c>
      <c r="O47" s="61" t="n">
        <v>0.0516594340548399</v>
      </c>
      <c r="P47" s="61" t="n">
        <v>0.0579327789625693</v>
      </c>
      <c r="Q47" s="61" t="n">
        <v>0.0226927299766258</v>
      </c>
      <c r="R47" s="61" t="n">
        <v>0.0348107745662566</v>
      </c>
      <c r="S47" s="61" t="n">
        <v>0.0447949808113607</v>
      </c>
      <c r="T47" s="61" t="n">
        <v>0.0143266775782625</v>
      </c>
      <c r="U47" s="61" t="n">
        <v>0.0646249089715866</v>
      </c>
      <c r="V47" s="61" t="n">
        <v>0.0289639765179841</v>
      </c>
      <c r="W47" s="61" t="n">
        <v>-0.0655017831996616</v>
      </c>
      <c r="X47" s="61" t="n">
        <v>0.0687839168382696</v>
      </c>
      <c r="Y47" s="61" t="n">
        <v>0.0704578399109752</v>
      </c>
      <c r="Z47" s="61" t="n">
        <v>0.0498454643687158</v>
      </c>
      <c r="AA47" s="61" t="n">
        <v>0.0144258726287925</v>
      </c>
      <c r="AB47" s="61" t="n">
        <v>0.0928613059341416</v>
      </c>
      <c r="AC47" s="61" t="n">
        <v>0.00467974884814981</v>
      </c>
      <c r="AD47" s="61" t="n">
        <v>0.0536460727867166</v>
      </c>
      <c r="AE47" s="61" t="n">
        <v>0.0658569703368404</v>
      </c>
      <c r="AF47" s="61" t="n">
        <v>0.0954809172417245</v>
      </c>
      <c r="AG47" s="61" t="n">
        <v>0.0305374539528464</v>
      </c>
      <c r="AH47" s="61" t="n">
        <v>0.0640356425510001</v>
      </c>
      <c r="AI47" s="61" t="n">
        <v>0.0803688753392359</v>
      </c>
      <c r="AJ47" s="61" t="n">
        <v>0.0753629541896641</v>
      </c>
      <c r="AK47" s="61" t="n">
        <v>0.0610057673519352</v>
      </c>
    </row>
    <row r="48" customFormat="false" ht="15" hidden="false" customHeight="true" outlineLevel="0" collapsed="false">
      <c r="A48" s="59" t="n">
        <v>-2.6875</v>
      </c>
      <c r="B48" s="60" t="n">
        <v>0.00359945511440997</v>
      </c>
      <c r="C48" s="61" t="n">
        <v>0.707315445596167</v>
      </c>
      <c r="D48" s="61" t="n">
        <v>0.507630112653107</v>
      </c>
      <c r="E48" s="61" t="n">
        <v>0.279196561959209</v>
      </c>
      <c r="F48" s="10" t="s">
        <v>1067</v>
      </c>
      <c r="G48" s="55" t="n">
        <v>1119.34252967696</v>
      </c>
      <c r="H48" s="62" t="n">
        <v>18</v>
      </c>
      <c r="I48" s="62" t="n">
        <v>7</v>
      </c>
      <c r="J48" s="62" t="n">
        <v>9</v>
      </c>
      <c r="K48" s="55" t="n">
        <v>847.501779276665</v>
      </c>
      <c r="L48" s="55" t="n">
        <v>1215.28535797243</v>
      </c>
      <c r="M48" s="10" t="s">
        <v>1069</v>
      </c>
      <c r="N48" s="61" t="n">
        <v>0.077207966641458</v>
      </c>
      <c r="O48" s="61" t="n">
        <v>0.0511920716476799</v>
      </c>
      <c r="P48" s="61" t="n">
        <v>0.0571681059022337</v>
      </c>
      <c r="Q48" s="61" t="n">
        <v>0.0219823947453955</v>
      </c>
      <c r="R48" s="61" t="n">
        <v>0.0336152266843727</v>
      </c>
      <c r="S48" s="61" t="n">
        <v>0.043328754570503</v>
      </c>
      <c r="T48" s="61" t="n">
        <v>0.0136667708603048</v>
      </c>
      <c r="U48" s="61" t="n">
        <v>0.0641458959160325</v>
      </c>
      <c r="V48" s="61" t="n">
        <v>0.0282616179049123</v>
      </c>
      <c r="W48" s="61" t="n">
        <v>-0.0666037395191746</v>
      </c>
      <c r="X48" s="61" t="n">
        <v>0.0679981617804189</v>
      </c>
      <c r="Y48" s="61" t="n">
        <v>0.0696899531289145</v>
      </c>
      <c r="Z48" s="61" t="n">
        <v>0.0491996722563581</v>
      </c>
      <c r="AA48" s="61" t="n">
        <v>0.0126118286055977</v>
      </c>
      <c r="AB48" s="61" t="n">
        <v>0.0921876299168701</v>
      </c>
      <c r="AC48" s="61" t="n">
        <v>0.00330700627567493</v>
      </c>
      <c r="AD48" s="61" t="n">
        <v>0.052783445557505</v>
      </c>
      <c r="AE48" s="61" t="n">
        <v>0.0651187996353598</v>
      </c>
      <c r="AF48" s="61" t="n">
        <v>0.0947001719612988</v>
      </c>
      <c r="AG48" s="61" t="n">
        <v>0.0293258826875769</v>
      </c>
      <c r="AH48" s="61" t="n">
        <v>0.063173987808937</v>
      </c>
      <c r="AI48" s="61" t="n">
        <v>0.0796478324180102</v>
      </c>
      <c r="AJ48" s="61" t="n">
        <v>0.0745708990553005</v>
      </c>
      <c r="AK48" s="61" t="n">
        <v>0.0605851699617686</v>
      </c>
    </row>
    <row r="49" customFormat="false" ht="15" hidden="false" customHeight="true" outlineLevel="0" collapsed="false">
      <c r="A49" s="59" t="n">
        <v>-2.75</v>
      </c>
      <c r="B49" s="60" t="n">
        <v>0.00297976323505456</v>
      </c>
      <c r="C49" s="61" t="n">
        <v>0.717276215915438</v>
      </c>
      <c r="D49" s="61" t="n">
        <v>0.50287333940408</v>
      </c>
      <c r="E49" s="61" t="n">
        <v>0.276580336672244</v>
      </c>
      <c r="F49" s="10" t="s">
        <v>1067</v>
      </c>
      <c r="G49" s="55" t="n">
        <v>1131.64807488156</v>
      </c>
      <c r="H49" s="62" t="n">
        <v>18</v>
      </c>
      <c r="I49" s="62" t="n">
        <v>7</v>
      </c>
      <c r="J49" s="62" t="n">
        <v>9</v>
      </c>
      <c r="K49" s="55" t="n">
        <v>862.88673634441</v>
      </c>
      <c r="L49" s="55" t="n">
        <v>1221.31388870181</v>
      </c>
      <c r="M49" s="10" t="s">
        <v>1069</v>
      </c>
      <c r="N49" s="61" t="n">
        <v>0.0764139916599052</v>
      </c>
      <c r="O49" s="61" t="n">
        <v>0.0506982215649341</v>
      </c>
      <c r="P49" s="61" t="n">
        <v>0.0565233819894749</v>
      </c>
      <c r="Q49" s="61" t="n">
        <v>0.0214094270012115</v>
      </c>
      <c r="R49" s="61" t="n">
        <v>0.0324780898129815</v>
      </c>
      <c r="S49" s="61" t="n">
        <v>0.0419797941900368</v>
      </c>
      <c r="T49" s="61" t="n">
        <v>0.0131448518469995</v>
      </c>
      <c r="U49" s="61" t="n">
        <v>0.0636783286298053</v>
      </c>
      <c r="V49" s="61" t="n">
        <v>0.0278826082127483</v>
      </c>
      <c r="W49" s="61" t="n">
        <v>-0.0675313979404286</v>
      </c>
      <c r="X49" s="61" t="n">
        <v>0.0671482386285273</v>
      </c>
      <c r="Y49" s="61" t="n">
        <v>0.0685782540530918</v>
      </c>
      <c r="Z49" s="61" t="n">
        <v>0.0485785810648288</v>
      </c>
      <c r="AA49" s="61" t="n">
        <v>0.0108851467729759</v>
      </c>
      <c r="AB49" s="61" t="n">
        <v>0.091518619405568</v>
      </c>
      <c r="AC49" s="61" t="n">
        <v>0.00211298045606584</v>
      </c>
      <c r="AD49" s="61" t="n">
        <v>0.0519841759513337</v>
      </c>
      <c r="AE49" s="61" t="n">
        <v>0.064425231462742</v>
      </c>
      <c r="AF49" s="61" t="n">
        <v>0.0939222289185921</v>
      </c>
      <c r="AG49" s="61" t="n">
        <v>0.0281703357280756</v>
      </c>
      <c r="AH49" s="61" t="n">
        <v>0.0623043364225217</v>
      </c>
      <c r="AI49" s="61" t="n">
        <v>0.0789086752313684</v>
      </c>
      <c r="AJ49" s="61" t="n">
        <v>0.0737978226509336</v>
      </c>
      <c r="AK49" s="61" t="n">
        <v>0.0601649642762872</v>
      </c>
    </row>
    <row r="50" customFormat="false" ht="15" hidden="false" customHeight="true" outlineLevel="0" collapsed="false">
      <c r="A50" s="59" t="n">
        <v>-2.8125</v>
      </c>
      <c r="B50" s="60" t="n">
        <v>0.00245790117519669</v>
      </c>
      <c r="C50" s="61" t="n">
        <v>0.727077130253315</v>
      </c>
      <c r="D50" s="61" t="n">
        <v>0.498204429298904</v>
      </c>
      <c r="E50" s="61" t="n">
        <v>0.274012436114397</v>
      </c>
      <c r="F50" s="10" t="s">
        <v>1067</v>
      </c>
      <c r="G50" s="55" t="n">
        <v>1143.91329646095</v>
      </c>
      <c r="H50" s="62" t="n">
        <v>18</v>
      </c>
      <c r="I50" s="62" t="n">
        <v>7</v>
      </c>
      <c r="J50" s="62" t="n">
        <v>9</v>
      </c>
      <c r="K50" s="55" t="n">
        <v>878.231369786947</v>
      </c>
      <c r="L50" s="55" t="n">
        <v>1227.39131859631</v>
      </c>
      <c r="M50" s="10" t="s">
        <v>1069</v>
      </c>
      <c r="N50" s="61" t="n">
        <v>0.0756233879768197</v>
      </c>
      <c r="O50" s="61" t="n">
        <v>0.0502097843347692</v>
      </c>
      <c r="P50" s="61" t="n">
        <v>0.055883438329827</v>
      </c>
      <c r="Q50" s="61" t="n">
        <v>0.0208447290294142</v>
      </c>
      <c r="R50" s="61" t="n">
        <v>0.0313416142641188</v>
      </c>
      <c r="S50" s="61" t="n">
        <v>0.0406336819595676</v>
      </c>
      <c r="T50" s="61" t="n">
        <v>0.0126326754474861</v>
      </c>
      <c r="U50" s="61" t="n">
        <v>0.0632151976295653</v>
      </c>
      <c r="V50" s="61" t="n">
        <v>0.0275128812965599</v>
      </c>
      <c r="W50" s="61" t="n">
        <v>-0.0684388789056481</v>
      </c>
      <c r="X50" s="61" t="n">
        <v>0.0662964254915833</v>
      </c>
      <c r="Y50" s="61" t="n">
        <v>0.0674719849525483</v>
      </c>
      <c r="Z50" s="61" t="n">
        <v>0.0479638693285566</v>
      </c>
      <c r="AA50" s="61" t="n">
        <v>0.00916114924213223</v>
      </c>
      <c r="AB50" s="61" t="n">
        <v>0.0908537515209186</v>
      </c>
      <c r="AC50" s="61" t="n">
        <v>0.000930592481327137</v>
      </c>
      <c r="AD50" s="61" t="n">
        <v>0.051190150502302</v>
      </c>
      <c r="AE50" s="61" t="n">
        <v>0.0637367600070365</v>
      </c>
      <c r="AF50" s="61" t="n">
        <v>0.0931469836833392</v>
      </c>
      <c r="AG50" s="61" t="n">
        <v>0.0270204967319355</v>
      </c>
      <c r="AH50" s="61" t="n">
        <v>0.0614381117409865</v>
      </c>
      <c r="AI50" s="61" t="n">
        <v>0.0781727771787819</v>
      </c>
      <c r="AJ50" s="61" t="n">
        <v>0.073029920964906</v>
      </c>
      <c r="AK50" s="61" t="n">
        <v>0.0597448815355662</v>
      </c>
    </row>
    <row r="51" customFormat="false" ht="15" hidden="false" customHeight="true" outlineLevel="0" collapsed="false">
      <c r="A51" s="59" t="n">
        <v>-2.875</v>
      </c>
      <c r="B51" s="60" t="n">
        <v>0.002020137489946</v>
      </c>
      <c r="C51" s="61" t="n">
        <v>0.736712398593023</v>
      </c>
      <c r="D51" s="61" t="n">
        <v>0.493625621229235</v>
      </c>
      <c r="E51" s="61" t="n">
        <v>0.271494091676079</v>
      </c>
      <c r="F51" s="10" t="s">
        <v>1067</v>
      </c>
      <c r="G51" s="55" t="n">
        <v>1156.17168319182</v>
      </c>
      <c r="H51" s="62" t="n">
        <v>18</v>
      </c>
      <c r="I51" s="62" t="n">
        <v>7</v>
      </c>
      <c r="J51" s="62" t="n">
        <v>9</v>
      </c>
      <c r="K51" s="55" t="n">
        <v>893.569168380965</v>
      </c>
      <c r="L51" s="55" t="n">
        <v>1233.49094455086</v>
      </c>
      <c r="M51" s="10" t="s">
        <v>1069</v>
      </c>
      <c r="N51" s="61" t="n">
        <v>0.0748326283833868</v>
      </c>
      <c r="O51" s="61" t="n">
        <v>0.0497266960530584</v>
      </c>
      <c r="P51" s="61" t="n">
        <v>0.0552482150745209</v>
      </c>
      <c r="Q51" s="61" t="n">
        <v>0.0202880637540402</v>
      </c>
      <c r="R51" s="61" t="n">
        <v>0.0301964393048883</v>
      </c>
      <c r="S51" s="61" t="n">
        <v>0.0392909287311751</v>
      </c>
      <c r="T51" s="61" t="n">
        <v>0.012129866585609</v>
      </c>
      <c r="U51" s="61" t="n">
        <v>0.0627563195489574</v>
      </c>
      <c r="V51" s="61" t="n">
        <v>0.0271520809473498</v>
      </c>
      <c r="W51" s="61" t="n">
        <v>-0.0693267925719935</v>
      </c>
      <c r="X51" s="61" t="n">
        <v>0.065442821248954</v>
      </c>
      <c r="Y51" s="61" t="n">
        <v>0.066371049621271</v>
      </c>
      <c r="Z51" s="61" t="n">
        <v>0.0473553356156147</v>
      </c>
      <c r="AA51" s="61" t="n">
        <v>0.00744033108145857</v>
      </c>
      <c r="AB51" s="61" t="n">
        <v>0.0901929919478001</v>
      </c>
      <c r="AC51" s="61" t="n">
        <v>-0.000239938044529009</v>
      </c>
      <c r="AD51" s="61" t="n">
        <v>0.0504014136148177</v>
      </c>
      <c r="AE51" s="61" t="n">
        <v>0.0630534888525459</v>
      </c>
      <c r="AF51" s="61" t="n">
        <v>0.0923745276090277</v>
      </c>
      <c r="AG51" s="61" t="n">
        <v>0.0258764081567454</v>
      </c>
      <c r="AH51" s="61" t="n">
        <v>0.0605628407636183</v>
      </c>
      <c r="AI51" s="61" t="n">
        <v>0.0774246403382691</v>
      </c>
      <c r="AJ51" s="61" t="n">
        <v>0.0722672592015635</v>
      </c>
      <c r="AK51" s="61" t="n">
        <v>0.0593251466039178</v>
      </c>
    </row>
    <row r="52" customFormat="false" ht="15" hidden="false" customHeight="true" outlineLevel="0" collapsed="false">
      <c r="A52" s="59" t="n">
        <v>-2.9375</v>
      </c>
      <c r="B52" s="60" t="n">
        <v>0.0016543508595475</v>
      </c>
      <c r="C52" s="61" t="n">
        <v>0.746176597009078</v>
      </c>
      <c r="D52" s="61" t="n">
        <v>0.489138967750046</v>
      </c>
      <c r="E52" s="61" t="n">
        <v>0.269026432262525</v>
      </c>
      <c r="F52" s="10" t="s">
        <v>1067</v>
      </c>
      <c r="G52" s="55" t="n">
        <v>1168.62767104151</v>
      </c>
      <c r="H52" s="62" t="n">
        <v>18</v>
      </c>
      <c r="I52" s="62" t="n">
        <v>7</v>
      </c>
      <c r="J52" s="62" t="n">
        <v>9</v>
      </c>
      <c r="K52" s="55" t="n">
        <v>909.104568093799</v>
      </c>
      <c r="L52" s="55" t="n">
        <v>1239.58446363914</v>
      </c>
      <c r="M52" s="10" t="s">
        <v>1069</v>
      </c>
      <c r="N52" s="61" t="n">
        <v>0.0740203412998068</v>
      </c>
      <c r="O52" s="61" t="n">
        <v>0.049248838348586</v>
      </c>
      <c r="P52" s="61" t="n">
        <v>0.0546175938288377</v>
      </c>
      <c r="Q52" s="61" t="n">
        <v>0.0197391455765003</v>
      </c>
      <c r="R52" s="61" t="n">
        <v>0.0289855170163553</v>
      </c>
      <c r="S52" s="61" t="n">
        <v>0.0379517080641223</v>
      </c>
      <c r="T52" s="61" t="n">
        <v>0.0116360429218983</v>
      </c>
      <c r="U52" s="61" t="n">
        <v>0.0623014943297068</v>
      </c>
      <c r="V52" s="61" t="n">
        <v>0.0267998155590654</v>
      </c>
      <c r="W52" s="61" t="n">
        <v>-0.0701959726929834</v>
      </c>
      <c r="X52" s="61" t="n">
        <v>0.0645874331411122</v>
      </c>
      <c r="Y52" s="61" t="n">
        <v>0.0652753524901546</v>
      </c>
      <c r="Z52" s="61" t="n">
        <v>0.0467527699504044</v>
      </c>
      <c r="AA52" s="61" t="n">
        <v>0.00572265712593659</v>
      </c>
      <c r="AB52" s="61" t="n">
        <v>0.0895362546710951</v>
      </c>
      <c r="AC52" s="61" t="n">
        <v>-0.00139882277374929</v>
      </c>
      <c r="AD52" s="61" t="n">
        <v>0.0496178669020296</v>
      </c>
      <c r="AE52" s="61" t="n">
        <v>0.0623753108819497</v>
      </c>
      <c r="AF52" s="61" t="n">
        <v>0.0916048827887139</v>
      </c>
      <c r="AG52" s="61" t="n">
        <v>0.0247379952069837</v>
      </c>
      <c r="AH52" s="61" t="n">
        <v>0.0596043323080564</v>
      </c>
      <c r="AI52" s="61" t="n">
        <v>0.0765721038564712</v>
      </c>
      <c r="AJ52" s="61" t="n">
        <v>0.0715097689810321</v>
      </c>
      <c r="AK52" s="61" t="n">
        <v>0.0589058161683336</v>
      </c>
    </row>
    <row r="53" customFormat="false" ht="15" hidden="false" customHeight="true" outlineLevel="0" collapsed="false">
      <c r="A53" s="59" t="n">
        <v>-3</v>
      </c>
      <c r="B53" s="60" t="n">
        <v>0.00134989803163009</v>
      </c>
      <c r="C53" s="61" t="n">
        <v>0.75546467634301</v>
      </c>
      <c r="D53" s="61" t="n">
        <v>0.484746333115318</v>
      </c>
      <c r="E53" s="61" t="n">
        <v>0.266610483213425</v>
      </c>
      <c r="F53" s="10" t="s">
        <v>1067</v>
      </c>
      <c r="G53" s="55" t="n">
        <v>1181.0747426717</v>
      </c>
      <c r="H53" s="62" t="n">
        <v>18</v>
      </c>
      <c r="I53" s="62" t="n">
        <v>7</v>
      </c>
      <c r="J53" s="62" t="n">
        <v>9</v>
      </c>
      <c r="K53" s="55" t="n">
        <v>924.63105158714</v>
      </c>
      <c r="L53" s="55" t="n">
        <v>1245.67015316195</v>
      </c>
      <c r="M53" s="10" t="s">
        <v>1069</v>
      </c>
      <c r="N53" s="61" t="n">
        <v>0.0732084982390864</v>
      </c>
      <c r="O53" s="61" t="n">
        <v>0.0487760806805056</v>
      </c>
      <c r="P53" s="61" t="n">
        <v>0.0539914404508285</v>
      </c>
      <c r="Q53" s="61" t="n">
        <v>0.0191976783297781</v>
      </c>
      <c r="R53" s="61" t="n">
        <v>0.027767635399178</v>
      </c>
      <c r="S53" s="61" t="n">
        <v>0.0366161005036935</v>
      </c>
      <c r="T53" s="61" t="n">
        <v>0.0111508235174748</v>
      </c>
      <c r="U53" s="61" t="n">
        <v>0.061850518839489</v>
      </c>
      <c r="V53" s="61" t="n">
        <v>0.0264556960902113</v>
      </c>
      <c r="W53" s="61" t="n">
        <v>-0.0710472783277665</v>
      </c>
      <c r="X53" s="61" t="n">
        <v>0.0637302445306481</v>
      </c>
      <c r="Y53" s="61" t="n">
        <v>0.0641847988903017</v>
      </c>
      <c r="Z53" s="61" t="n">
        <v>0.046155961795043</v>
      </c>
      <c r="AA53" s="61" t="n">
        <v>0.0040079537238451</v>
      </c>
      <c r="AB53" s="61" t="n">
        <v>0.0888834419065682</v>
      </c>
      <c r="AC53" s="61" t="n">
        <v>-0.00254638462649246</v>
      </c>
      <c r="AD53" s="61" t="n">
        <v>0.0488393767219178</v>
      </c>
      <c r="AE53" s="61" t="n">
        <v>0.0617020728848162</v>
      </c>
      <c r="AF53" s="61" t="n">
        <v>0.090838052601781</v>
      </c>
      <c r="AG53" s="61" t="n">
        <v>0.0236051627765886</v>
      </c>
      <c r="AH53" s="61" t="n">
        <v>0.058639161450204</v>
      </c>
      <c r="AI53" s="61" t="n">
        <v>0.07571029310859</v>
      </c>
      <c r="AJ53" s="61" t="n">
        <v>0.0707573539777288</v>
      </c>
      <c r="AK53" s="61" t="n">
        <v>0.0584869052729803</v>
      </c>
    </row>
    <row r="55" customFormat="false" ht="15" hidden="false" customHeight="true" outlineLevel="0" collapsed="false">
      <c r="A55" s="59" t="n">
        <v>0</v>
      </c>
      <c r="B55" s="60" t="n">
        <v>0.5</v>
      </c>
      <c r="C55" s="61" t="n">
        <v>0.180721480331095</v>
      </c>
      <c r="D55" s="61" t="n">
        <v>1</v>
      </c>
      <c r="E55" s="61" t="n">
        <v>0.991152084637428</v>
      </c>
      <c r="F55" s="10" t="s">
        <v>1070</v>
      </c>
      <c r="G55" s="55" t="n">
        <v>18.4017437313862</v>
      </c>
      <c r="H55" s="62" t="n">
        <v>0</v>
      </c>
      <c r="I55" s="62" t="n">
        <v>0</v>
      </c>
      <c r="J55" s="62" t="n">
        <v>0</v>
      </c>
      <c r="K55" s="55" t="n">
        <v>0</v>
      </c>
      <c r="L55" s="55" t="n">
        <v>6.93317938733866</v>
      </c>
      <c r="M55" s="10" t="s">
        <v>1068</v>
      </c>
      <c r="N55" s="61" t="n">
        <v>0.138425323236453</v>
      </c>
      <c r="O55" s="61" t="n">
        <v>0.107078314031875</v>
      </c>
      <c r="P55" s="61" t="n">
        <v>0.126961037645254</v>
      </c>
      <c r="Q55" s="61" t="n">
        <v>0.098874442124966</v>
      </c>
      <c r="R55" s="61" t="n">
        <v>0.123148994059585</v>
      </c>
      <c r="S55" s="61" t="n">
        <v>0.147446301410701</v>
      </c>
      <c r="T55" s="61" t="n">
        <v>0.09719509248706</v>
      </c>
      <c r="U55" s="61" t="n">
        <v>0.106991675498895</v>
      </c>
      <c r="V55" s="61" t="n">
        <v>0.105892024416557</v>
      </c>
      <c r="W55" s="61" t="n">
        <v>0.108556385769921</v>
      </c>
      <c r="X55" s="61" t="n">
        <v>0.108961859654324</v>
      </c>
      <c r="Y55" s="61" t="n">
        <v>0.106312776807128</v>
      </c>
      <c r="Z55" s="61" t="n">
        <v>0.104108411183587</v>
      </c>
      <c r="AA55" s="61" t="n">
        <v>0.142125866869927</v>
      </c>
      <c r="AB55" s="61" t="n">
        <v>0.140287495655282</v>
      </c>
      <c r="AC55" s="61" t="n">
        <v>0.138016555475784</v>
      </c>
      <c r="AD55" s="61" t="n">
        <v>0.128801654458578</v>
      </c>
      <c r="AE55" s="61" t="n">
        <v>0.131104013789758</v>
      </c>
      <c r="AF55" s="61" t="n">
        <v>0.142630931683967</v>
      </c>
      <c r="AG55" s="61" t="n">
        <v>0.127942196942425</v>
      </c>
      <c r="AH55" s="61" t="n">
        <v>0.12518614154484</v>
      </c>
      <c r="AI55" s="61" t="n">
        <v>0.134620580076547</v>
      </c>
      <c r="AJ55" s="61" t="n">
        <v>0.133878510215999</v>
      </c>
      <c r="AK55" s="61" t="n">
        <v>0.0888916095397439</v>
      </c>
    </row>
    <row r="56" customFormat="false" ht="15" hidden="false" customHeight="true" outlineLevel="0" collapsed="false">
      <c r="A56" s="59" t="n">
        <v>-0.0625</v>
      </c>
      <c r="B56" s="60" t="n">
        <v>0.475082330970753</v>
      </c>
      <c r="C56" s="61" t="n">
        <v>0.190061975931253</v>
      </c>
      <c r="D56" s="61" t="n">
        <v>0.990544718736708</v>
      </c>
      <c r="E56" s="61" t="n">
        <v>0.98152446724047</v>
      </c>
      <c r="F56" s="10" t="s">
        <v>1070</v>
      </c>
      <c r="G56" s="55" t="n">
        <v>24.4994261666023</v>
      </c>
      <c r="H56" s="62" t="n">
        <v>0</v>
      </c>
      <c r="I56" s="62" t="n">
        <v>0</v>
      </c>
      <c r="J56" s="62" t="n">
        <v>0</v>
      </c>
      <c r="K56" s="55" t="n">
        <v>0</v>
      </c>
      <c r="L56" s="55" t="n">
        <v>7.35053199353261</v>
      </c>
      <c r="M56" s="10" t="s">
        <v>1068</v>
      </c>
      <c r="N56" s="61" t="n">
        <v>0.13783357403292</v>
      </c>
      <c r="O56" s="61" t="n">
        <v>0.10656471914636</v>
      </c>
      <c r="P56" s="61" t="n">
        <v>0.126504414724918</v>
      </c>
      <c r="Q56" s="61" t="n">
        <v>0.0983527324992116</v>
      </c>
      <c r="R56" s="61" t="n">
        <v>0.122488876515044</v>
      </c>
      <c r="S56" s="61" t="n">
        <v>0.146556774690698</v>
      </c>
      <c r="T56" s="61" t="n">
        <v>0.0967811432920576</v>
      </c>
      <c r="U56" s="61" t="n">
        <v>0.10646000644086</v>
      </c>
      <c r="V56" s="61" t="n">
        <v>0.105369480823803</v>
      </c>
      <c r="W56" s="61" t="n">
        <v>0.107940846629205</v>
      </c>
      <c r="X56" s="61" t="n">
        <v>0.108501134214585</v>
      </c>
      <c r="Y56" s="61" t="n">
        <v>0.105714532812221</v>
      </c>
      <c r="Z56" s="61" t="n">
        <v>0.103614136728891</v>
      </c>
      <c r="AA56" s="61" t="n">
        <v>0.141223275821823</v>
      </c>
      <c r="AB56" s="61" t="n">
        <v>0.139859931433491</v>
      </c>
      <c r="AC56" s="61" t="n">
        <v>0.137189431915549</v>
      </c>
      <c r="AD56" s="61" t="n">
        <v>0.128109994360714</v>
      </c>
      <c r="AE56" s="61" t="n">
        <v>0.130538836039289</v>
      </c>
      <c r="AF56" s="61" t="n">
        <v>0.141975184343062</v>
      </c>
      <c r="AG56" s="61" t="n">
        <v>0.126994055682298</v>
      </c>
      <c r="AH56" s="61" t="n">
        <v>0.12446007501334</v>
      </c>
      <c r="AI56" s="61" t="n">
        <v>0.134004689996159</v>
      </c>
      <c r="AJ56" s="61" t="n">
        <v>0.133291763339763</v>
      </c>
      <c r="AK56" s="61" t="n">
        <v>0.0885044017149349</v>
      </c>
    </row>
    <row r="57" customFormat="false" ht="15" hidden="false" customHeight="true" outlineLevel="0" collapsed="false">
      <c r="A57" s="59" t="n">
        <v>-0.125</v>
      </c>
      <c r="B57" s="60" t="n">
        <v>0.450261775169887</v>
      </c>
      <c r="C57" s="61" t="n">
        <v>0.199707407026203</v>
      </c>
      <c r="D57" s="61" t="n">
        <v>0.980852646098804</v>
      </c>
      <c r="E57" s="61" t="n">
        <v>0.97164117701381</v>
      </c>
      <c r="F57" s="10" t="s">
        <v>1070</v>
      </c>
      <c r="G57" s="55" t="n">
        <v>30.6135406810742</v>
      </c>
      <c r="H57" s="62" t="n">
        <v>0</v>
      </c>
      <c r="I57" s="62" t="n">
        <v>0</v>
      </c>
      <c r="J57" s="62" t="n">
        <v>0</v>
      </c>
      <c r="K57" s="55" t="n">
        <v>0</v>
      </c>
      <c r="L57" s="55" t="n">
        <v>7.90266022994699</v>
      </c>
      <c r="M57" s="10" t="s">
        <v>1068</v>
      </c>
      <c r="N57" s="61" t="n">
        <v>0.137242826456029</v>
      </c>
      <c r="O57" s="61" t="n">
        <v>0.106051777267603</v>
      </c>
      <c r="P57" s="61" t="n">
        <v>0.126047702414294</v>
      </c>
      <c r="Q57" s="61" t="n">
        <v>0.0978320152784471</v>
      </c>
      <c r="R57" s="61" t="n">
        <v>0.12182950565736</v>
      </c>
      <c r="S57" s="61" t="n">
        <v>0.145665980490764</v>
      </c>
      <c r="T57" s="61" t="n">
        <v>0.0963684874567252</v>
      </c>
      <c r="U57" s="61" t="n">
        <v>0.105930126142744</v>
      </c>
      <c r="V57" s="61" t="n">
        <v>0.104848812462439</v>
      </c>
      <c r="W57" s="61" t="n">
        <v>0.107327110402712</v>
      </c>
      <c r="X57" s="61" t="n">
        <v>0.108041779115428</v>
      </c>
      <c r="Y57" s="61" t="n">
        <v>0.105118082385149</v>
      </c>
      <c r="Z57" s="61" t="n">
        <v>0.103121357811874</v>
      </c>
      <c r="AA57" s="61" t="n">
        <v>0.140323283308696</v>
      </c>
      <c r="AB57" s="61" t="n">
        <v>0.139433904543612</v>
      </c>
      <c r="AC57" s="61" t="n">
        <v>0.136364596562873</v>
      </c>
      <c r="AD57" s="61" t="n">
        <v>0.12742046573595</v>
      </c>
      <c r="AE57" s="61" t="n">
        <v>0.129975676112152</v>
      </c>
      <c r="AF57" s="61" t="n">
        <v>0.141321495963983</v>
      </c>
      <c r="AG57" s="61" t="n">
        <v>0.126048358635757</v>
      </c>
      <c r="AH57" s="61" t="n">
        <v>0.123736177086366</v>
      </c>
      <c r="AI57" s="61" t="n">
        <v>0.133390488425036</v>
      </c>
      <c r="AJ57" s="61" t="n">
        <v>0.132706642686574</v>
      </c>
      <c r="AK57" s="61" t="n">
        <v>0.0881183744352203</v>
      </c>
    </row>
    <row r="58" customFormat="false" ht="15" hidden="false" customHeight="true" outlineLevel="0" collapsed="false">
      <c r="A58" s="59" t="n">
        <v>-0.1875</v>
      </c>
      <c r="B58" s="60" t="n">
        <v>0.425634311844103</v>
      </c>
      <c r="C58" s="61" t="n">
        <v>0.209655658842777</v>
      </c>
      <c r="D58" s="61" t="n">
        <v>0.970921721267318</v>
      </c>
      <c r="E58" s="61" t="n">
        <v>0.961490337159278</v>
      </c>
      <c r="F58" s="10" t="s">
        <v>1070</v>
      </c>
      <c r="G58" s="55" t="n">
        <v>36.7583454194414</v>
      </c>
      <c r="H58" s="62" t="n">
        <v>0</v>
      </c>
      <c r="I58" s="62" t="n">
        <v>0</v>
      </c>
      <c r="J58" s="62" t="n">
        <v>0</v>
      </c>
      <c r="K58" s="55" t="n">
        <v>0</v>
      </c>
      <c r="L58" s="55" t="n">
        <v>8.61033103119952</v>
      </c>
      <c r="M58" s="10" t="s">
        <v>1068</v>
      </c>
      <c r="N58" s="61" t="n">
        <v>0.136652917240238</v>
      </c>
      <c r="O58" s="61" t="n">
        <v>0.105538103249953</v>
      </c>
      <c r="P58" s="61" t="n">
        <v>0.125590706380285</v>
      </c>
      <c r="Q58" s="61" t="n">
        <v>0.0973111202261905</v>
      </c>
      <c r="R58" s="61" t="n">
        <v>0.121171079047296</v>
      </c>
      <c r="S58" s="61" t="n">
        <v>0.144772691778239</v>
      </c>
      <c r="T58" s="61" t="n">
        <v>0.0959571112440513</v>
      </c>
      <c r="U58" s="61" t="n">
        <v>0.105396476979954</v>
      </c>
      <c r="V58" s="61" t="n">
        <v>0.104322930831008</v>
      </c>
      <c r="W58" s="61" t="n">
        <v>0.106708909642602</v>
      </c>
      <c r="X58" s="61" t="n">
        <v>0.107581357643014</v>
      </c>
      <c r="Y58" s="61" t="n">
        <v>0.10452341457534</v>
      </c>
      <c r="Z58" s="61" t="n">
        <v>0.102630058355825</v>
      </c>
      <c r="AA58" s="61" t="n">
        <v>0.13942575673819</v>
      </c>
      <c r="AB58" s="61" t="n">
        <v>0.139009397564156</v>
      </c>
      <c r="AC58" s="61" t="n">
        <v>0.135541926422782</v>
      </c>
      <c r="AD58" s="61" t="n">
        <v>0.126732985044638</v>
      </c>
      <c r="AE58" s="61" t="n">
        <v>0.129414500236038</v>
      </c>
      <c r="AF58" s="61" t="n">
        <v>0.140669799307897</v>
      </c>
      <c r="AG58" s="61" t="n">
        <v>0.125103555075012</v>
      </c>
      <c r="AH58" s="61" t="n">
        <v>0.123014276753583</v>
      </c>
      <c r="AI58" s="61" t="n">
        <v>0.132777905155716</v>
      </c>
      <c r="AJ58" s="61" t="n">
        <v>0.132122799033496</v>
      </c>
      <c r="AK58" s="61" t="n">
        <v>0.0877334787507979</v>
      </c>
    </row>
    <row r="59" customFormat="false" ht="15" hidden="false" customHeight="true" outlineLevel="0" collapsed="false">
      <c r="A59" s="59" t="n">
        <v>-0.25</v>
      </c>
      <c r="B59" s="60" t="n">
        <v>0.401293674317076</v>
      </c>
      <c r="C59" s="61" t="n">
        <v>0.219903737454917</v>
      </c>
      <c r="D59" s="61" t="n">
        <v>0.960750638781967</v>
      </c>
      <c r="E59" s="61" t="n">
        <v>0.951031122803007</v>
      </c>
      <c r="F59" s="10" t="s">
        <v>1070</v>
      </c>
      <c r="G59" s="55" t="n">
        <v>42.9261271325004</v>
      </c>
      <c r="H59" s="62" t="n">
        <v>0</v>
      </c>
      <c r="I59" s="62" t="n">
        <v>0</v>
      </c>
      <c r="J59" s="62" t="n">
        <v>0</v>
      </c>
      <c r="K59" s="55" t="n">
        <v>0</v>
      </c>
      <c r="L59" s="55" t="n">
        <v>9.55779048254383</v>
      </c>
      <c r="M59" s="10" t="s">
        <v>1068</v>
      </c>
      <c r="N59" s="61" t="n">
        <v>0.136063833430256</v>
      </c>
      <c r="O59" s="61" t="n">
        <v>0.105024052621738</v>
      </c>
      <c r="P59" s="61" t="n">
        <v>0.125133466048352</v>
      </c>
      <c r="Q59" s="61" t="n">
        <v>0.096790392055179</v>
      </c>
      <c r="R59" s="61" t="n">
        <v>0.120513565051744</v>
      </c>
      <c r="S59" s="61" t="n">
        <v>0.143876092609776</v>
      </c>
      <c r="T59" s="61" t="n">
        <v>0.0955469955921841</v>
      </c>
      <c r="U59" s="61" t="n">
        <v>0.104870206289756</v>
      </c>
      <c r="V59" s="61" t="n">
        <v>0.103798438122324</v>
      </c>
      <c r="W59" s="61" t="n">
        <v>0.106088029301052</v>
      </c>
      <c r="X59" s="61" t="n">
        <v>0.107124589930792</v>
      </c>
      <c r="Y59" s="61" t="n">
        <v>0.10392451635788</v>
      </c>
      <c r="Z59" s="61" t="n">
        <v>0.102134016960949</v>
      </c>
      <c r="AA59" s="61" t="n">
        <v>0.138530519335583</v>
      </c>
      <c r="AB59" s="61" t="n">
        <v>0.138586303969222</v>
      </c>
      <c r="AC59" s="61" t="n">
        <v>0.134721263809914</v>
      </c>
      <c r="AD59" s="61" t="n">
        <v>0.126047443730037</v>
      </c>
      <c r="AE59" s="61" t="n">
        <v>0.12885525282758</v>
      </c>
      <c r="AF59" s="61" t="n">
        <v>0.140020006798811</v>
      </c>
      <c r="AG59" s="61" t="n">
        <v>0.124159708793461</v>
      </c>
      <c r="AH59" s="61" t="n">
        <v>0.122294290338643</v>
      </c>
      <c r="AI59" s="61" t="n">
        <v>0.132166747534369</v>
      </c>
      <c r="AJ59" s="61" t="n">
        <v>0.131540372774849</v>
      </c>
      <c r="AK59" s="61" t="n">
        <v>0.0873496459013632</v>
      </c>
    </row>
    <row r="60" customFormat="false" ht="15" hidden="false" customHeight="true" outlineLevel="0" collapsed="false">
      <c r="A60" s="59" t="n">
        <v>-0.3125</v>
      </c>
      <c r="B60" s="60" t="n">
        <v>0.377330281529843</v>
      </c>
      <c r="C60" s="61" t="n">
        <v>0.230447750147062</v>
      </c>
      <c r="D60" s="61" t="n">
        <v>0.950338878556066</v>
      </c>
      <c r="E60" s="61" t="n">
        <v>0.940090979891977</v>
      </c>
      <c r="F60" s="10" t="s">
        <v>1070</v>
      </c>
      <c r="G60" s="55" t="n">
        <v>49.2397556434313</v>
      </c>
      <c r="H60" s="62" t="n">
        <v>0</v>
      </c>
      <c r="I60" s="62" t="n">
        <v>0</v>
      </c>
      <c r="J60" s="62" t="n">
        <v>0</v>
      </c>
      <c r="K60" s="55" t="n">
        <v>0</v>
      </c>
      <c r="L60" s="55" t="n">
        <v>19.7141882234275</v>
      </c>
      <c r="M60" s="10" t="s">
        <v>1068</v>
      </c>
      <c r="N60" s="61" t="n">
        <v>0.135468728127982</v>
      </c>
      <c r="O60" s="61" t="n">
        <v>0.104505981564413</v>
      </c>
      <c r="P60" s="61" t="n">
        <v>0.124671986931748</v>
      </c>
      <c r="Q60" s="61" t="n">
        <v>0.0962637264212285</v>
      </c>
      <c r="R60" s="61" t="n">
        <v>0.119844379501256</v>
      </c>
      <c r="S60" s="61" t="n">
        <v>0.142963502920825</v>
      </c>
      <c r="T60" s="61" t="n">
        <v>0.0951367413562183</v>
      </c>
      <c r="U60" s="61" t="n">
        <v>0.10433380534241</v>
      </c>
      <c r="V60" s="61" t="n">
        <v>0.103258177133245</v>
      </c>
      <c r="W60" s="61" t="n">
        <v>0.10545023987235</v>
      </c>
      <c r="X60" s="61" t="n">
        <v>0.106660025048739</v>
      </c>
      <c r="Y60" s="61" t="n">
        <v>0.103333382461009</v>
      </c>
      <c r="Z60" s="61" t="n">
        <v>0.101644514042344</v>
      </c>
      <c r="AA60" s="61" t="n">
        <v>0.137618415817437</v>
      </c>
      <c r="AB60" s="61" t="n">
        <v>0.138163956092634</v>
      </c>
      <c r="AC60" s="61" t="n">
        <v>0.133887028337705</v>
      </c>
      <c r="AD60" s="61" t="n">
        <v>0.125351531232861</v>
      </c>
      <c r="AE60" s="61" t="n">
        <v>0.128290248158867</v>
      </c>
      <c r="AF60" s="61" t="n">
        <v>0.139365063407322</v>
      </c>
      <c r="AG60" s="61" t="n">
        <v>0.12320628111021</v>
      </c>
      <c r="AH60" s="61" t="n">
        <v>0.121572285208775</v>
      </c>
      <c r="AI60" s="61" t="n">
        <v>0.13155399842402</v>
      </c>
      <c r="AJ60" s="61" t="n">
        <v>0.130950748514812</v>
      </c>
      <c r="AK60" s="61" t="n">
        <v>0.0869588796604431</v>
      </c>
    </row>
    <row r="61" customFormat="false" ht="15" hidden="false" customHeight="true" outlineLevel="0" collapsed="false">
      <c r="A61" s="59" t="n">
        <v>-0.375</v>
      </c>
      <c r="B61" s="60" t="n">
        <v>0.353830233327276</v>
      </c>
      <c r="C61" s="61" t="n">
        <v>0.241282890055073</v>
      </c>
      <c r="D61" s="61" t="n">
        <v>0.939686730384805</v>
      </c>
      <c r="E61" s="61" t="n">
        <v>0.928845406248491</v>
      </c>
      <c r="F61" s="10" t="s">
        <v>1070</v>
      </c>
      <c r="G61" s="55" t="n">
        <v>55.5543825339559</v>
      </c>
      <c r="H61" s="62" t="n">
        <v>0</v>
      </c>
      <c r="I61" s="62" t="n">
        <v>0</v>
      </c>
      <c r="J61" s="62" t="n">
        <v>0</v>
      </c>
      <c r="K61" s="55" t="n">
        <v>0</v>
      </c>
      <c r="L61" s="55" t="n">
        <v>30.5120689148946</v>
      </c>
      <c r="M61" s="10" t="s">
        <v>1068</v>
      </c>
      <c r="N61" s="61" t="n">
        <v>0.134875001992637</v>
      </c>
      <c r="O61" s="61" t="n">
        <v>0.103989618885097</v>
      </c>
      <c r="P61" s="61" t="n">
        <v>0.124210414412533</v>
      </c>
      <c r="Q61" s="61" t="n">
        <v>0.0957421552838076</v>
      </c>
      <c r="R61" s="61" t="n">
        <v>0.119175025462409</v>
      </c>
      <c r="S61" s="61" t="n">
        <v>0.142049607656213</v>
      </c>
      <c r="T61" s="61" t="n">
        <v>0.094727555017299</v>
      </c>
      <c r="U61" s="61" t="n">
        <v>0.103801463710007</v>
      </c>
      <c r="V61" s="61" t="n">
        <v>0.102734700975983</v>
      </c>
      <c r="W61" s="61" t="n">
        <v>0.104833732059527</v>
      </c>
      <c r="X61" s="61" t="n">
        <v>0.106192651300415</v>
      </c>
      <c r="Y61" s="61" t="n">
        <v>0.102744072896395</v>
      </c>
      <c r="Z61" s="61" t="n">
        <v>0.101157147734668</v>
      </c>
      <c r="AA61" s="61" t="n">
        <v>0.136707315078538</v>
      </c>
      <c r="AB61" s="61" t="n">
        <v>0.13774346286212</v>
      </c>
      <c r="AC61" s="61" t="n">
        <v>0.133053572121184</v>
      </c>
      <c r="AD61" s="61" t="n">
        <v>0.124656569455744</v>
      </c>
      <c r="AE61" s="61" t="n">
        <v>0.127726718494318</v>
      </c>
      <c r="AF61" s="61" t="n">
        <v>0.138711705600679</v>
      </c>
      <c r="AG61" s="61" t="n">
        <v>0.122255607527668</v>
      </c>
      <c r="AH61" s="61" t="n">
        <v>0.120853395209921</v>
      </c>
      <c r="AI61" s="61" t="n">
        <v>0.130943755660377</v>
      </c>
      <c r="AJ61" s="61" t="n">
        <v>0.130362462072852</v>
      </c>
      <c r="AK61" s="61" t="n">
        <v>0.0865687169412579</v>
      </c>
    </row>
    <row r="62" customFormat="false" ht="15" hidden="false" customHeight="true" outlineLevel="0" collapsed="false">
      <c r="A62" s="59" t="n">
        <v>-0.4375</v>
      </c>
      <c r="B62" s="60" t="n">
        <v>0.330874388040879</v>
      </c>
      <c r="C62" s="61" t="n">
        <v>0.252403425347261</v>
      </c>
      <c r="D62" s="61" t="n">
        <v>0.928795312574208</v>
      </c>
      <c r="E62" s="61" t="n">
        <v>0.917262607501928</v>
      </c>
      <c r="F62" s="10" t="s">
        <v>1070</v>
      </c>
      <c r="G62" s="55" t="n">
        <v>61.9222084352988</v>
      </c>
      <c r="H62" s="62" t="n">
        <v>0</v>
      </c>
      <c r="I62" s="62" t="n">
        <v>0</v>
      </c>
      <c r="J62" s="62" t="n">
        <v>0</v>
      </c>
      <c r="K62" s="55" t="n">
        <v>0</v>
      </c>
      <c r="L62" s="55" t="n">
        <v>45.0453484177076</v>
      </c>
      <c r="M62" s="10" t="s">
        <v>1068</v>
      </c>
      <c r="N62" s="61" t="n">
        <v>0.134279762814302</v>
      </c>
      <c r="O62" s="61" t="n">
        <v>0.103474309099977</v>
      </c>
      <c r="P62" s="61" t="n">
        <v>0.123747663618379</v>
      </c>
      <c r="Q62" s="61" t="n">
        <v>0.0952223031770476</v>
      </c>
      <c r="R62" s="61" t="n">
        <v>0.118498023415372</v>
      </c>
      <c r="S62" s="61" t="n">
        <v>0.141126635254342</v>
      </c>
      <c r="T62" s="61" t="n">
        <v>0.0943190441961579</v>
      </c>
      <c r="U62" s="61" t="n">
        <v>0.103279097965354</v>
      </c>
      <c r="V62" s="61" t="n">
        <v>0.102223776499119</v>
      </c>
      <c r="W62" s="61" t="n">
        <v>0.104215112490323</v>
      </c>
      <c r="X62" s="61" t="n">
        <v>0.10572744689475</v>
      </c>
      <c r="Y62" s="61" t="n">
        <v>0.102156475125405</v>
      </c>
      <c r="Z62" s="61" t="n">
        <v>0.100670934036137</v>
      </c>
      <c r="AA62" s="61" t="n">
        <v>0.13578700006464</v>
      </c>
      <c r="AB62" s="61" t="n">
        <v>0.137324283386569</v>
      </c>
      <c r="AC62" s="61" t="n">
        <v>0.132212267872793</v>
      </c>
      <c r="AD62" s="61" t="n">
        <v>0.123956601006614</v>
      </c>
      <c r="AE62" s="61" t="n">
        <v>0.127160096818384</v>
      </c>
      <c r="AF62" s="61" t="n">
        <v>0.138056308151869</v>
      </c>
      <c r="AG62" s="61" t="n">
        <v>0.121304142464304</v>
      </c>
      <c r="AH62" s="61" t="n">
        <v>0.120135136480288</v>
      </c>
      <c r="AI62" s="61" t="n">
        <v>0.130333893717496</v>
      </c>
      <c r="AJ62" s="61" t="n">
        <v>0.129772072735839</v>
      </c>
      <c r="AK62" s="61" t="n">
        <v>0.0861748115577286</v>
      </c>
    </row>
    <row r="63" customFormat="false" ht="15" hidden="false" customHeight="true" outlineLevel="0" collapsed="false">
      <c r="A63" s="59" t="n">
        <v>-0.5</v>
      </c>
      <c r="B63" s="60" t="n">
        <v>0.308537538725987</v>
      </c>
      <c r="C63" s="61" t="n">
        <v>0.263802693178172</v>
      </c>
      <c r="D63" s="61" t="n">
        <v>0.917666584386078</v>
      </c>
      <c r="E63" s="61" t="n">
        <v>0.905351499305714</v>
      </c>
      <c r="F63" s="10" t="s">
        <v>1070</v>
      </c>
      <c r="G63" s="55" t="n">
        <v>68.3880223847552</v>
      </c>
      <c r="H63" s="62" t="n">
        <v>0</v>
      </c>
      <c r="I63" s="62" t="n">
        <v>0</v>
      </c>
      <c r="J63" s="62" t="n">
        <v>0</v>
      </c>
      <c r="K63" s="55" t="n">
        <v>0</v>
      </c>
      <c r="L63" s="55" t="n">
        <v>61.1898548898538</v>
      </c>
      <c r="M63" s="10" t="s">
        <v>1068</v>
      </c>
      <c r="N63" s="61" t="n">
        <v>0.133682767298039</v>
      </c>
      <c r="O63" s="61" t="n">
        <v>0.102952743656099</v>
      </c>
      <c r="P63" s="61" t="n">
        <v>0.123283642630057</v>
      </c>
      <c r="Q63" s="61" t="n">
        <v>0.0946991848208605</v>
      </c>
      <c r="R63" s="61" t="n">
        <v>0.117816874863982</v>
      </c>
      <c r="S63" s="61" t="n">
        <v>0.140194174317637</v>
      </c>
      <c r="T63" s="61" t="n">
        <v>0.0939113635045117</v>
      </c>
      <c r="U63" s="61" t="n">
        <v>0.102743676690846</v>
      </c>
      <c r="V63" s="61" t="n">
        <v>0.101687053174938</v>
      </c>
      <c r="W63" s="61" t="n">
        <v>0.103571384045623</v>
      </c>
      <c r="X63" s="61" t="n">
        <v>0.105261343868441</v>
      </c>
      <c r="Y63" s="61" t="n">
        <v>0.101570587812802</v>
      </c>
      <c r="Z63" s="61" t="n">
        <v>0.100185955249447</v>
      </c>
      <c r="AA63" s="61" t="n">
        <v>0.134861659131156</v>
      </c>
      <c r="AB63" s="61" t="n">
        <v>0.136906390863641</v>
      </c>
      <c r="AC63" s="61" t="n">
        <v>0.131366718813949</v>
      </c>
      <c r="AD63" s="61" t="n">
        <v>0.123254079970204</v>
      </c>
      <c r="AE63" s="61" t="n">
        <v>0.126592323536975</v>
      </c>
      <c r="AF63" s="61" t="n">
        <v>0.137400228935694</v>
      </c>
      <c r="AG63" s="61" t="n">
        <v>0.120350748279439</v>
      </c>
      <c r="AH63" s="61" t="n">
        <v>0.119417369185667</v>
      </c>
      <c r="AI63" s="61" t="n">
        <v>0.129724313944778</v>
      </c>
      <c r="AJ63" s="61" t="n">
        <v>0.129178687299954</v>
      </c>
      <c r="AK63" s="61" t="n">
        <v>0.0857789328427339</v>
      </c>
    </row>
    <row r="64" customFormat="false" ht="15" hidden="false" customHeight="true" outlineLevel="0" collapsed="false">
      <c r="A64" s="59" t="n">
        <v>-0.5625</v>
      </c>
      <c r="B64" s="60" t="n">
        <v>0.286887701816365</v>
      </c>
      <c r="C64" s="61" t="n">
        <v>0.275473098614525</v>
      </c>
      <c r="D64" s="61" t="n">
        <v>0.906303352067872</v>
      </c>
      <c r="E64" s="61" t="n">
        <v>0.893111024469553</v>
      </c>
      <c r="F64" s="10" t="s">
        <v>1070</v>
      </c>
      <c r="G64" s="55" t="n">
        <v>74.8773792768955</v>
      </c>
      <c r="H64" s="62" t="n">
        <v>0</v>
      </c>
      <c r="I64" s="62" t="n">
        <v>0</v>
      </c>
      <c r="J64" s="62" t="n">
        <v>0</v>
      </c>
      <c r="K64" s="55" t="n">
        <v>0</v>
      </c>
      <c r="L64" s="55" t="n">
        <v>77.5644910396185</v>
      </c>
      <c r="M64" s="10" t="s">
        <v>1068</v>
      </c>
      <c r="N64" s="61" t="n">
        <v>0.133085709393765</v>
      </c>
      <c r="O64" s="61" t="n">
        <v>0.102433584948078</v>
      </c>
      <c r="P64" s="61" t="n">
        <v>0.122818027125607</v>
      </c>
      <c r="Q64" s="61" t="n">
        <v>0.0941771073370165</v>
      </c>
      <c r="R64" s="61" t="n">
        <v>0.117133745176502</v>
      </c>
      <c r="S64" s="61" t="n">
        <v>0.139257267675019</v>
      </c>
      <c r="T64" s="61" t="n">
        <v>0.0935046335921219</v>
      </c>
      <c r="U64" s="61" t="n">
        <v>0.102215703482166</v>
      </c>
      <c r="V64" s="61" t="n">
        <v>0.101168886216042</v>
      </c>
      <c r="W64" s="61" t="n">
        <v>0.102938790017876</v>
      </c>
      <c r="X64" s="61" t="n">
        <v>0.104791149851006</v>
      </c>
      <c r="Y64" s="61" t="n">
        <v>0.100984429910221</v>
      </c>
      <c r="Z64" s="61" t="n">
        <v>0.0997022646497918</v>
      </c>
      <c r="AA64" s="61" t="n">
        <v>0.133934454607998</v>
      </c>
      <c r="AB64" s="61" t="n">
        <v>0.136489720389836</v>
      </c>
      <c r="AC64" s="61" t="n">
        <v>0.13051961869496</v>
      </c>
      <c r="AD64" s="61" t="n">
        <v>0.122550891442303</v>
      </c>
      <c r="AE64" s="61" t="n">
        <v>0.126024828294007</v>
      </c>
      <c r="AF64" s="61" t="n">
        <v>0.136744498682384</v>
      </c>
      <c r="AG64" s="61" t="n">
        <v>0.119397531010765</v>
      </c>
      <c r="AH64" s="61" t="n">
        <v>0.118700906009711</v>
      </c>
      <c r="AI64" s="61" t="n">
        <v>0.129115725524663</v>
      </c>
      <c r="AJ64" s="61" t="n">
        <v>0.128586007336934</v>
      </c>
      <c r="AK64" s="61" t="n">
        <v>0.0853824137578855</v>
      </c>
    </row>
    <row r="65" customFormat="false" ht="15" hidden="false" customHeight="true" outlineLevel="0" collapsed="false">
      <c r="A65" s="59" t="n">
        <v>-0.625</v>
      </c>
      <c r="B65" s="60" t="n">
        <v>0.265985529048701</v>
      </c>
      <c r="C65" s="61" t="n">
        <v>0.287406118696383</v>
      </c>
      <c r="D65" s="61" t="n">
        <v>0.894709268314505</v>
      </c>
      <c r="E65" s="61" t="n">
        <v>0.880540192778931</v>
      </c>
      <c r="F65" s="10" t="s">
        <v>1070</v>
      </c>
      <c r="G65" s="55" t="n">
        <v>81.5179397989946</v>
      </c>
      <c r="H65" s="62" t="n">
        <v>0</v>
      </c>
      <c r="I65" s="62" t="n">
        <v>0</v>
      </c>
      <c r="J65" s="62" t="n">
        <v>0</v>
      </c>
      <c r="K65" s="55" t="n">
        <v>0</v>
      </c>
      <c r="L65" s="55" t="n">
        <v>92.3551711380928</v>
      </c>
      <c r="M65" s="10" t="s">
        <v>1068</v>
      </c>
      <c r="N65" s="61" t="n">
        <v>0.132489547838564</v>
      </c>
      <c r="O65" s="61" t="n">
        <v>0.101849825308251</v>
      </c>
      <c r="P65" s="61" t="n">
        <v>0.122352455000855</v>
      </c>
      <c r="Q65" s="61" t="n">
        <v>0.0936547093275041</v>
      </c>
      <c r="R65" s="61" t="n">
        <v>0.116451448583666</v>
      </c>
      <c r="S65" s="61" t="n">
        <v>0.138318675986409</v>
      </c>
      <c r="T65" s="61" t="n">
        <v>0.0930990899226813</v>
      </c>
      <c r="U65" s="61" t="n">
        <v>0.101689264914632</v>
      </c>
      <c r="V65" s="61" t="n">
        <v>0.100630035548203</v>
      </c>
      <c r="W65" s="61" t="n">
        <v>0.10231233034912</v>
      </c>
      <c r="X65" s="61" t="n">
        <v>0.10432265099334</v>
      </c>
      <c r="Y65" s="61" t="n">
        <v>0.100402012539234</v>
      </c>
      <c r="Z65" s="61" t="n">
        <v>0.099219939654442</v>
      </c>
      <c r="AA65" s="61" t="n">
        <v>0.133009844250123</v>
      </c>
      <c r="AB65" s="61" t="n">
        <v>0.136074531271667</v>
      </c>
      <c r="AC65" s="61" t="n">
        <v>0.12967459087444</v>
      </c>
      <c r="AD65" s="61" t="n">
        <v>0.121849942795028</v>
      </c>
      <c r="AE65" s="61" t="n">
        <v>0.125459308684979</v>
      </c>
      <c r="AF65" s="61" t="n">
        <v>0.136090682652265</v>
      </c>
      <c r="AG65" s="61" t="n">
        <v>0.118445131218378</v>
      </c>
      <c r="AH65" s="61" t="n">
        <v>0.117985715847705</v>
      </c>
      <c r="AI65" s="61" t="n">
        <v>0.128508366841864</v>
      </c>
      <c r="AJ65" s="61" t="n">
        <v>0.127994708871777</v>
      </c>
      <c r="AK65" s="61" t="n">
        <v>0.0849871042335728</v>
      </c>
    </row>
    <row r="66" customFormat="false" ht="15" hidden="false" customHeight="true" outlineLevel="0" collapsed="false">
      <c r="A66" s="59" t="n">
        <v>-0.6875</v>
      </c>
      <c r="B66" s="60" t="n">
        <v>0.245883850380261</v>
      </c>
      <c r="C66" s="61" t="n">
        <v>0.299592311757544</v>
      </c>
      <c r="D66" s="61" t="n">
        <v>0.882888825090404</v>
      </c>
      <c r="E66" s="61" t="n">
        <v>0.867297143563539</v>
      </c>
      <c r="F66" s="10" t="s">
        <v>1070</v>
      </c>
      <c r="G66" s="55" t="n">
        <v>88.7924369788157</v>
      </c>
      <c r="H66" s="62" t="n">
        <v>0</v>
      </c>
      <c r="I66" s="62" t="n">
        <v>0</v>
      </c>
      <c r="J66" s="62" t="n">
        <v>0</v>
      </c>
      <c r="K66" s="55" t="n">
        <v>0</v>
      </c>
      <c r="L66" s="55" t="n">
        <v>100.237273631469</v>
      </c>
      <c r="M66" s="10" t="s">
        <v>1068</v>
      </c>
      <c r="N66" s="61" t="n">
        <v>0.131884695611869</v>
      </c>
      <c r="O66" s="61" t="n">
        <v>0.101054361219319</v>
      </c>
      <c r="P66" s="61" t="n">
        <v>0.121873319034915</v>
      </c>
      <c r="Q66" s="61" t="n">
        <v>0.0931064798394339</v>
      </c>
      <c r="R66" s="61" t="n">
        <v>0.115750094567566</v>
      </c>
      <c r="S66" s="61" t="n">
        <v>0.137349680743793</v>
      </c>
      <c r="T66" s="61" t="n">
        <v>0.0926834070433926</v>
      </c>
      <c r="U66" s="61" t="n">
        <v>0.101125261489162</v>
      </c>
      <c r="V66" s="61" t="n">
        <v>0.100089657892314</v>
      </c>
      <c r="W66" s="61" t="n">
        <v>0.101647613749379</v>
      </c>
      <c r="X66" s="61" t="n">
        <v>0.103839300884199</v>
      </c>
      <c r="Y66" s="61" t="n">
        <v>0.099820282785525</v>
      </c>
      <c r="Z66" s="61" t="n">
        <v>0.0987295588823836</v>
      </c>
      <c r="AA66" s="61" t="n">
        <v>0.132063662176849</v>
      </c>
      <c r="AB66" s="61" t="n">
        <v>0.135654164342936</v>
      </c>
      <c r="AC66" s="61" t="n">
        <v>0.12882534303564</v>
      </c>
      <c r="AD66" s="61" t="n">
        <v>0.121147195133526</v>
      </c>
      <c r="AE66" s="61" t="n">
        <v>0.124889050879443</v>
      </c>
      <c r="AF66" s="61" t="n">
        <v>0.135433184456356</v>
      </c>
      <c r="AG66" s="61" t="n">
        <v>0.117472445836521</v>
      </c>
      <c r="AH66" s="61" t="n">
        <v>0.11725330301618</v>
      </c>
      <c r="AI66" s="61" t="n">
        <v>0.127883797536155</v>
      </c>
      <c r="AJ66" s="61" t="n">
        <v>0.127400531667993</v>
      </c>
      <c r="AK66" s="61" t="n">
        <v>0.0845884000942736</v>
      </c>
    </row>
    <row r="67" customFormat="false" ht="15" hidden="false" customHeight="true" outlineLevel="0" collapsed="false">
      <c r="A67" s="59" t="n">
        <v>-0.75</v>
      </c>
      <c r="B67" s="60" t="n">
        <v>0.226627352376868</v>
      </c>
      <c r="C67" s="61" t="n">
        <v>0.312021332087742</v>
      </c>
      <c r="D67" s="61" t="n">
        <v>0.870847339823064</v>
      </c>
      <c r="E67" s="61" t="n">
        <v>0.853966937286308</v>
      </c>
      <c r="F67" s="10" t="s">
        <v>1070</v>
      </c>
      <c r="G67" s="55" t="n">
        <v>95.9210363083941</v>
      </c>
      <c r="H67" s="62" t="n">
        <v>0</v>
      </c>
      <c r="I67" s="62" t="n">
        <v>0</v>
      </c>
      <c r="J67" s="62" t="n">
        <v>0</v>
      </c>
      <c r="K67" s="55" t="n">
        <v>0</v>
      </c>
      <c r="L67" s="55" t="n">
        <v>108.354712174633</v>
      </c>
      <c r="M67" s="10" t="s">
        <v>1068</v>
      </c>
      <c r="N67" s="61" t="n">
        <v>0.13128320526016</v>
      </c>
      <c r="O67" s="61" t="n">
        <v>0.10028331275757</v>
      </c>
      <c r="P67" s="61" t="n">
        <v>0.121393047813761</v>
      </c>
      <c r="Q67" s="61" t="n">
        <v>0.0925853873815822</v>
      </c>
      <c r="R67" s="61" t="n">
        <v>0.115033864136633</v>
      </c>
      <c r="S67" s="61" t="n">
        <v>0.136373110966544</v>
      </c>
      <c r="T67" s="61" t="n">
        <v>0.0922764818610383</v>
      </c>
      <c r="U67" s="61" t="n">
        <v>0.100604742431816</v>
      </c>
      <c r="V67" s="61" t="n">
        <v>0.0995882371020352</v>
      </c>
      <c r="W67" s="61" t="n">
        <v>0.101037821802494</v>
      </c>
      <c r="X67" s="61" t="n">
        <v>0.103347185297327</v>
      </c>
      <c r="Y67" s="61" t="n">
        <v>0.0992409955469993</v>
      </c>
      <c r="Z67" s="61" t="n">
        <v>0.098247495082882</v>
      </c>
      <c r="AA67" s="61" t="n">
        <v>0.131099113841171</v>
      </c>
      <c r="AB67" s="61" t="n">
        <v>0.135240044726518</v>
      </c>
      <c r="AC67" s="61" t="n">
        <v>0.127988721752795</v>
      </c>
      <c r="AD67" s="61" t="n">
        <v>0.120454525726497</v>
      </c>
      <c r="AE67" s="61" t="n">
        <v>0.124328416227025</v>
      </c>
      <c r="AF67" s="61" t="n">
        <v>0.134784257331724</v>
      </c>
      <c r="AG67" s="61" t="n">
        <v>0.116522086185946</v>
      </c>
      <c r="AH67" s="61" t="n">
        <v>0.116537062963855</v>
      </c>
      <c r="AI67" s="61" t="n">
        <v>0.127274112650746</v>
      </c>
      <c r="AJ67" s="61" t="n">
        <v>0.126815117274723</v>
      </c>
      <c r="AK67" s="61" t="n">
        <v>0.0841973256005992</v>
      </c>
    </row>
    <row r="68" customFormat="false" ht="15" hidden="false" customHeight="true" outlineLevel="0" collapsed="false">
      <c r="A68" s="59" t="n">
        <v>-0.8125</v>
      </c>
      <c r="B68" s="60" t="n">
        <v>0.208252393288109</v>
      </c>
      <c r="C68" s="61" t="n">
        <v>0.324681949975838</v>
      </c>
      <c r="D68" s="61" t="n">
        <v>0.858590935062762</v>
      </c>
      <c r="E68" s="61" t="n">
        <v>0.811437001506786</v>
      </c>
      <c r="F68" s="10" t="s">
        <v>1070</v>
      </c>
      <c r="G68" s="55" t="n">
        <v>141.450371610165</v>
      </c>
      <c r="H68" s="62" t="n">
        <v>2</v>
      </c>
      <c r="I68" s="62" t="n">
        <v>0</v>
      </c>
      <c r="J68" s="62" t="n">
        <v>0</v>
      </c>
      <c r="K68" s="55" t="n">
        <v>16.2528546240414</v>
      </c>
      <c r="L68" s="55" t="n">
        <v>162.021171187677</v>
      </c>
      <c r="M68" s="10" t="s">
        <v>1068</v>
      </c>
      <c r="N68" s="61" t="n">
        <v>0.129419316080123</v>
      </c>
      <c r="O68" s="61" t="n">
        <v>0.0920840364533346</v>
      </c>
      <c r="P68" s="61" t="n">
        <v>0.119553115077049</v>
      </c>
      <c r="Q68" s="61" t="n">
        <v>0.0896964030991744</v>
      </c>
      <c r="R68" s="61" t="n">
        <v>0.112251906872606</v>
      </c>
      <c r="S68" s="61" t="n">
        <v>0.132979160512455</v>
      </c>
      <c r="T68" s="61" t="n">
        <v>0.0907650072467039</v>
      </c>
      <c r="U68" s="61" t="n">
        <v>0.0988765289860067</v>
      </c>
      <c r="V68" s="61" t="n">
        <v>0.0978791653416792</v>
      </c>
      <c r="W68" s="61" t="n">
        <v>0.0971924758913669</v>
      </c>
      <c r="X68" s="61" t="n">
        <v>0.101746851998212</v>
      </c>
      <c r="Y68" s="61" t="n">
        <v>0.0984334191404664</v>
      </c>
      <c r="Z68" s="61" t="n">
        <v>0.0966837374045038</v>
      </c>
      <c r="AA68" s="61" t="n">
        <v>0.127437803922788</v>
      </c>
      <c r="AB68" s="61" t="n">
        <v>0.13407658958674</v>
      </c>
      <c r="AC68" s="61" t="n">
        <v>0.124634430485295</v>
      </c>
      <c r="AD68" s="61" t="n">
        <v>0.118209310828296</v>
      </c>
      <c r="AE68" s="61" t="n">
        <v>0.122268325090776</v>
      </c>
      <c r="AF68" s="61" t="n">
        <v>0.133159458497091</v>
      </c>
      <c r="AG68" s="61" t="n">
        <v>0.112688158297728</v>
      </c>
      <c r="AH68" s="61" t="n">
        <v>0.113981152138024</v>
      </c>
      <c r="AI68" s="61" t="n">
        <v>0.124864892965281</v>
      </c>
      <c r="AJ68" s="61" t="n">
        <v>0.125192571306762</v>
      </c>
      <c r="AK68" s="61" t="n">
        <v>0.0828432615181384</v>
      </c>
    </row>
    <row r="69" customFormat="false" ht="15" hidden="false" customHeight="true" outlineLevel="0" collapsed="false">
      <c r="A69" s="59" t="n">
        <v>-0.875</v>
      </c>
      <c r="B69" s="60" t="n">
        <v>0.190786952852511</v>
      </c>
      <c r="C69" s="61" t="n">
        <v>0.337562077128309</v>
      </c>
      <c r="D69" s="61" t="n">
        <v>0.846126511785262</v>
      </c>
      <c r="E69" s="61" t="n">
        <v>0.612908255459985</v>
      </c>
      <c r="F69" s="10" t="s">
        <v>1070</v>
      </c>
      <c r="G69" s="55" t="n">
        <v>423.811158659565</v>
      </c>
      <c r="H69" s="62" t="n">
        <v>9</v>
      </c>
      <c r="I69" s="62" t="n">
        <v>0</v>
      </c>
      <c r="J69" s="62" t="n">
        <v>1</v>
      </c>
      <c r="K69" s="55" t="n">
        <v>142.295911659071</v>
      </c>
      <c r="L69" s="55" t="n">
        <v>723.24138670008</v>
      </c>
      <c r="M69" s="10" t="s">
        <v>1069</v>
      </c>
      <c r="N69" s="61" t="n">
        <v>0.116592184249721</v>
      </c>
      <c r="O69" s="61" t="n">
        <v>0.0719852769869493</v>
      </c>
      <c r="P69" s="61" t="n">
        <v>0.1053086796379</v>
      </c>
      <c r="Q69" s="61" t="n">
        <v>0.0663189195975213</v>
      </c>
      <c r="R69" s="61" t="n">
        <v>0.0916409347360472</v>
      </c>
      <c r="S69" s="61" t="n">
        <v>0.108950558837077</v>
      </c>
      <c r="T69" s="61" t="n">
        <v>0.0740232169121541</v>
      </c>
      <c r="U69" s="61" t="n">
        <v>0.0887620587969671</v>
      </c>
      <c r="V69" s="61" t="n">
        <v>0.0829881407561959</v>
      </c>
      <c r="W69" s="61" t="n">
        <v>0.0451149978463968</v>
      </c>
      <c r="X69" s="61" t="n">
        <v>0.0927528425318781</v>
      </c>
      <c r="Y69" s="61" t="n">
        <v>0.0947616690599676</v>
      </c>
      <c r="Z69" s="61" t="n">
        <v>0.087808707466123</v>
      </c>
      <c r="AA69" s="61" t="n">
        <v>0.0993883393540076</v>
      </c>
      <c r="AB69" s="61" t="n">
        <v>0.125690437426374</v>
      </c>
      <c r="AC69" s="61" t="n">
        <v>0.0949552418794647</v>
      </c>
      <c r="AD69" s="61" t="n">
        <v>0.101737876471399</v>
      </c>
      <c r="AE69" s="61" t="n">
        <v>0.107487335161772</v>
      </c>
      <c r="AF69" s="61" t="n">
        <v>0.124467536767917</v>
      </c>
      <c r="AG69" s="61" t="n">
        <v>0.0873924756677897</v>
      </c>
      <c r="AH69" s="61" t="n">
        <v>0.0991597839104638</v>
      </c>
      <c r="AI69" s="61" t="n">
        <v>0.110609479219767</v>
      </c>
      <c r="AJ69" s="61" t="n">
        <v>0.114085638126247</v>
      </c>
      <c r="AK69" s="61" t="n">
        <v>0.0750693189298879</v>
      </c>
    </row>
    <row r="70" customFormat="false" ht="15" hidden="false" customHeight="true" outlineLevel="0" collapsed="false">
      <c r="A70" s="59" t="n">
        <v>-0.9375</v>
      </c>
      <c r="B70" s="60" t="n">
        <v>0.174250711880542</v>
      </c>
      <c r="C70" s="61" t="n">
        <v>0.350648797411482</v>
      </c>
      <c r="D70" s="61" t="n">
        <v>0.833461716593985</v>
      </c>
      <c r="E70" s="61" t="n">
        <v>0.597502455106825</v>
      </c>
      <c r="F70" s="10" t="s">
        <v>1070</v>
      </c>
      <c r="G70" s="55" t="n">
        <v>446.625882725255</v>
      </c>
      <c r="H70" s="62" t="n">
        <v>10</v>
      </c>
      <c r="I70" s="62" t="n">
        <v>1</v>
      </c>
      <c r="J70" s="62" t="n">
        <v>1</v>
      </c>
      <c r="K70" s="55" t="n">
        <v>158.548064876625</v>
      </c>
      <c r="L70" s="55" t="n">
        <v>821.495688334612</v>
      </c>
      <c r="M70" s="10" t="s">
        <v>1069</v>
      </c>
      <c r="N70" s="61" t="n">
        <v>0.115294122975808</v>
      </c>
      <c r="O70" s="61" t="n">
        <v>0.0705957215956067</v>
      </c>
      <c r="P70" s="61" t="n">
        <v>0.10386789006816</v>
      </c>
      <c r="Q70" s="61" t="n">
        <v>0.0646835749480388</v>
      </c>
      <c r="R70" s="61" t="n">
        <v>0.0898245097919566</v>
      </c>
      <c r="S70" s="61" t="n">
        <v>0.106825763156397</v>
      </c>
      <c r="T70" s="61" t="n">
        <v>0.0722822364806554</v>
      </c>
      <c r="U70" s="61" t="n">
        <v>0.0877256289120524</v>
      </c>
      <c r="V70" s="61" t="n">
        <v>0.0813410600367162</v>
      </c>
      <c r="W70" s="61" t="n">
        <v>0.0416736963116477</v>
      </c>
      <c r="X70" s="61" t="n">
        <v>0.0918849441046314</v>
      </c>
      <c r="Y70" s="61" t="n">
        <v>0.0939428170535937</v>
      </c>
      <c r="Z70" s="61" t="n">
        <v>0.0866276649802258</v>
      </c>
      <c r="AA70" s="61" t="n">
        <v>0.096625740268565</v>
      </c>
      <c r="AB70" s="61" t="n">
        <v>0.12478495708674</v>
      </c>
      <c r="AC70" s="61" t="n">
        <v>0.0918958398735262</v>
      </c>
      <c r="AD70" s="61" t="n">
        <v>0.100052819486212</v>
      </c>
      <c r="AE70" s="61" t="n">
        <v>0.106173457538647</v>
      </c>
      <c r="AF70" s="61" t="n">
        <v>0.123517976210218</v>
      </c>
      <c r="AG70" s="61" t="n">
        <v>0.08499733075859</v>
      </c>
      <c r="AH70" s="61" t="n">
        <v>0.0980741904226906</v>
      </c>
      <c r="AI70" s="61" t="n">
        <v>0.109685906984279</v>
      </c>
      <c r="AJ70" s="61" t="n">
        <v>0.112702059907405</v>
      </c>
      <c r="AK70" s="61" t="n">
        <v>0.0744026998853591</v>
      </c>
    </row>
    <row r="71" customFormat="false" ht="15" hidden="false" customHeight="true" outlineLevel="0" collapsed="false">
      <c r="A71" s="59" t="n">
        <v>-1</v>
      </c>
      <c r="B71" s="60" t="n">
        <v>0.158655253931457</v>
      </c>
      <c r="C71" s="61" t="n">
        <v>0.36392840281951</v>
      </c>
      <c r="D71" s="61" t="n">
        <v>0.820604903153857</v>
      </c>
      <c r="E71" s="61" t="n">
        <v>0.581734317123513</v>
      </c>
      <c r="F71" s="10" t="s">
        <v>1070</v>
      </c>
      <c r="G71" s="55" t="n">
        <v>470.300839557918</v>
      </c>
      <c r="H71" s="62" t="n">
        <v>11</v>
      </c>
      <c r="I71" s="62" t="n">
        <v>1</v>
      </c>
      <c r="J71" s="62" t="n">
        <v>1</v>
      </c>
      <c r="K71" s="55" t="n">
        <v>177.778897302991</v>
      </c>
      <c r="L71" s="55" t="n">
        <v>888.936177975733</v>
      </c>
      <c r="M71" s="10" t="s">
        <v>1069</v>
      </c>
      <c r="N71" s="61" t="n">
        <v>0.113615076740953</v>
      </c>
      <c r="O71" s="61" t="n">
        <v>0.069213402632858</v>
      </c>
      <c r="P71" s="61" t="n">
        <v>0.102415436318722</v>
      </c>
      <c r="Q71" s="61" t="n">
        <v>0.0630182298883244</v>
      </c>
      <c r="R71" s="61" t="n">
        <v>0.0880680144498581</v>
      </c>
      <c r="S71" s="61" t="n">
        <v>0.104770171973641</v>
      </c>
      <c r="T71" s="61" t="n">
        <v>0.0702549987238287</v>
      </c>
      <c r="U71" s="61" t="n">
        <v>0.0866753189074926</v>
      </c>
      <c r="V71" s="61" t="n">
        <v>0.0786468582129571</v>
      </c>
      <c r="W71" s="61" t="n">
        <v>0.0381362568025507</v>
      </c>
      <c r="X71" s="61" t="n">
        <v>0.0910832558481292</v>
      </c>
      <c r="Y71" s="61" t="n">
        <v>0.0931137102049007</v>
      </c>
      <c r="Z71" s="61" t="n">
        <v>0.0854135886381375</v>
      </c>
      <c r="AA71" s="61" t="n">
        <v>0.0939211527886475</v>
      </c>
      <c r="AB71" s="61" t="n">
        <v>0.123869415201117</v>
      </c>
      <c r="AC71" s="61" t="n">
        <v>0.0889120315906607</v>
      </c>
      <c r="AD71" s="61" t="n">
        <v>0.0984662876736821</v>
      </c>
      <c r="AE71" s="61" t="n">
        <v>0.104907464337427</v>
      </c>
      <c r="AF71" s="61" t="n">
        <v>0.122644250079858</v>
      </c>
      <c r="AG71" s="61" t="n">
        <v>0.0831077418819522</v>
      </c>
      <c r="AH71" s="61" t="n">
        <v>0.0970867262409931</v>
      </c>
      <c r="AI71" s="61" t="n">
        <v>0.108708423245783</v>
      </c>
      <c r="AJ71" s="61" t="n">
        <v>0.111354482844389</v>
      </c>
      <c r="AK71" s="61" t="n">
        <v>0.073808780399211</v>
      </c>
    </row>
    <row r="72" customFormat="false" ht="15" hidden="false" customHeight="true" outlineLevel="0" collapsed="false">
      <c r="A72" s="59" t="n">
        <v>-1.0625</v>
      </c>
      <c r="B72" s="60" t="n">
        <v>0.144004379001971</v>
      </c>
      <c r="C72" s="61" t="n">
        <v>0.377386434523761</v>
      </c>
      <c r="D72" s="61" t="n">
        <v>0.807565088259435</v>
      </c>
      <c r="E72" s="61" t="n">
        <v>0.565446621810144</v>
      </c>
      <c r="F72" s="10" t="s">
        <v>1070</v>
      </c>
      <c r="G72" s="55" t="n">
        <v>497.178696478903</v>
      </c>
      <c r="H72" s="62" t="n">
        <v>12</v>
      </c>
      <c r="I72" s="62" t="n">
        <v>1</v>
      </c>
      <c r="J72" s="62" t="n">
        <v>1</v>
      </c>
      <c r="K72" s="55" t="n">
        <v>202.330114447258</v>
      </c>
      <c r="L72" s="55" t="n">
        <v>941.116371379426</v>
      </c>
      <c r="M72" s="10" t="s">
        <v>1069</v>
      </c>
      <c r="N72" s="61" t="n">
        <v>0.11187273922075</v>
      </c>
      <c r="O72" s="61" t="n">
        <v>0.0677389222565963</v>
      </c>
      <c r="P72" s="61" t="n">
        <v>0.100513870475523</v>
      </c>
      <c r="Q72" s="61" t="n">
        <v>0.0610460797802729</v>
      </c>
      <c r="R72" s="61" t="n">
        <v>0.0860562999365369</v>
      </c>
      <c r="S72" s="61" t="n">
        <v>0.102451565860941</v>
      </c>
      <c r="T72" s="61" t="n">
        <v>0.0677737608716296</v>
      </c>
      <c r="U72" s="61" t="n">
        <v>0.0854839935078241</v>
      </c>
      <c r="V72" s="61" t="n">
        <v>0.0765855394390493</v>
      </c>
      <c r="W72" s="61" t="n">
        <v>0.0337393924214104</v>
      </c>
      <c r="X72" s="61" t="n">
        <v>0.0903518499728648</v>
      </c>
      <c r="Y72" s="61" t="n">
        <v>0.0922106321664161</v>
      </c>
      <c r="Z72" s="61" t="n">
        <v>0.0839829746981128</v>
      </c>
      <c r="AA72" s="61" t="n">
        <v>0.0907980424582527</v>
      </c>
      <c r="AB72" s="61" t="n">
        <v>0.122846990528661</v>
      </c>
      <c r="AC72" s="61" t="n">
        <v>0.0854332773321187</v>
      </c>
      <c r="AD72" s="61" t="n">
        <v>0.0967054481176545</v>
      </c>
      <c r="AE72" s="61" t="n">
        <v>0.10349212932149</v>
      </c>
      <c r="AF72" s="61" t="n">
        <v>0.121773228568218</v>
      </c>
      <c r="AG72" s="61" t="n">
        <v>0.0811316335851216</v>
      </c>
      <c r="AH72" s="61" t="n">
        <v>0.0960552361780575</v>
      </c>
      <c r="AI72" s="61" t="n">
        <v>0.107725723945759</v>
      </c>
      <c r="AJ72" s="61" t="n">
        <v>0.109352421045035</v>
      </c>
      <c r="AK72" s="61" t="n">
        <v>0.0732044471969704</v>
      </c>
    </row>
    <row r="73" customFormat="false" ht="15" hidden="false" customHeight="true" outlineLevel="0" collapsed="false">
      <c r="A73" s="59" t="n">
        <v>-1.125</v>
      </c>
      <c r="B73" s="60" t="n">
        <v>0.130294517136809</v>
      </c>
      <c r="C73" s="61" t="n">
        <v>0.391007728813389</v>
      </c>
      <c r="D73" s="61" t="n">
        <v>0.794351903003939</v>
      </c>
      <c r="E73" s="61" t="n">
        <v>0.548760161869946</v>
      </c>
      <c r="F73" s="10" t="s">
        <v>1070</v>
      </c>
      <c r="G73" s="55" t="n">
        <v>523.317712627911</v>
      </c>
      <c r="H73" s="62" t="n">
        <v>13</v>
      </c>
      <c r="I73" s="62" t="n">
        <v>1</v>
      </c>
      <c r="J73" s="62" t="n">
        <v>1</v>
      </c>
      <c r="K73" s="55" t="n">
        <v>226.557857682495</v>
      </c>
      <c r="L73" s="55" t="n">
        <v>961.964889966187</v>
      </c>
      <c r="M73" s="10" t="s">
        <v>1069</v>
      </c>
      <c r="N73" s="61" t="n">
        <v>0.110431454065389</v>
      </c>
      <c r="O73" s="61" t="n">
        <v>0.0662482496497806</v>
      </c>
      <c r="P73" s="61" t="n">
        <v>0.0987252304793689</v>
      </c>
      <c r="Q73" s="61" t="n">
        <v>0.0588919521729918</v>
      </c>
      <c r="R73" s="61" t="n">
        <v>0.0840925669316718</v>
      </c>
      <c r="S73" s="61" t="n">
        <v>0.100162184505545</v>
      </c>
      <c r="T73" s="61" t="n">
        <v>0.0653026937689245</v>
      </c>
      <c r="U73" s="61" t="n">
        <v>0.084197295879812</v>
      </c>
      <c r="V73" s="61" t="n">
        <v>0.0743119047251929</v>
      </c>
      <c r="W73" s="61" t="n">
        <v>0.0289290783971786</v>
      </c>
      <c r="X73" s="61" t="n">
        <v>0.0896723933717631</v>
      </c>
      <c r="Y73" s="61" t="n">
        <v>0.0912606385279363</v>
      </c>
      <c r="Z73" s="61" t="n">
        <v>0.0824164335110482</v>
      </c>
      <c r="AA73" s="61" t="n">
        <v>0.0879152451359878</v>
      </c>
      <c r="AB73" s="61" t="n">
        <v>0.121794960434973</v>
      </c>
      <c r="AC73" s="61" t="n">
        <v>0.0820476599146741</v>
      </c>
      <c r="AD73" s="61" t="n">
        <v>0.0950489738672589</v>
      </c>
      <c r="AE73" s="61" t="n">
        <v>0.102107602272215</v>
      </c>
      <c r="AF73" s="61" t="n">
        <v>0.120991751685754</v>
      </c>
      <c r="AG73" s="61" t="n">
        <v>0.0790633975335496</v>
      </c>
      <c r="AH73" s="61" t="n">
        <v>0.0950042487490955</v>
      </c>
      <c r="AI73" s="61" t="n">
        <v>0.106702344400765</v>
      </c>
      <c r="AJ73" s="61" t="n">
        <v>0.107836779066669</v>
      </c>
      <c r="AK73" s="61" t="n">
        <v>0.0727054757583481</v>
      </c>
    </row>
    <row r="74" customFormat="false" ht="15" hidden="false" customHeight="true" outlineLevel="0" collapsed="false">
      <c r="A74" s="59" t="n">
        <v>-1.1875</v>
      </c>
      <c r="B74" s="60" t="n">
        <v>0.117515228293214</v>
      </c>
      <c r="C74" s="61" t="n">
        <v>0.404776467692165</v>
      </c>
      <c r="D74" s="61" t="n">
        <v>0.780975539572239</v>
      </c>
      <c r="E74" s="61" t="n">
        <v>0.531746248637458</v>
      </c>
      <c r="F74" s="10" t="s">
        <v>1070</v>
      </c>
      <c r="G74" s="55" t="n">
        <v>550.61409322578</v>
      </c>
      <c r="H74" s="62" t="n">
        <v>13</v>
      </c>
      <c r="I74" s="62" t="n">
        <v>1</v>
      </c>
      <c r="J74" s="62" t="n">
        <v>1</v>
      </c>
      <c r="K74" s="55" t="n">
        <v>251.689345046395</v>
      </c>
      <c r="L74" s="55" t="n">
        <v>981.768626611341</v>
      </c>
      <c r="M74" s="10" t="s">
        <v>1069</v>
      </c>
      <c r="N74" s="61" t="n">
        <v>0.108970881412253</v>
      </c>
      <c r="O74" s="61" t="n">
        <v>0.0647457101038549</v>
      </c>
      <c r="P74" s="61" t="n">
        <v>0.0969054133154336</v>
      </c>
      <c r="Q74" s="61" t="n">
        <v>0.0567711296844901</v>
      </c>
      <c r="R74" s="61" t="n">
        <v>0.0820982494177591</v>
      </c>
      <c r="S74" s="61" t="n">
        <v>0.0976319794383351</v>
      </c>
      <c r="T74" s="61" t="n">
        <v>0.0627917960138486</v>
      </c>
      <c r="U74" s="61" t="n">
        <v>0.0817189921556726</v>
      </c>
      <c r="V74" s="61" t="n">
        <v>0.07198716109575</v>
      </c>
      <c r="W74" s="61" t="n">
        <v>0.0240536770998047</v>
      </c>
      <c r="X74" s="61" t="n">
        <v>0.088978794986373</v>
      </c>
      <c r="Y74" s="61" t="n">
        <v>0.090302950828373</v>
      </c>
      <c r="Z74" s="61" t="n">
        <v>0.0808240857815645</v>
      </c>
      <c r="AA74" s="61" t="n">
        <v>0.0849928424298595</v>
      </c>
      <c r="AB74" s="61" t="n">
        <v>0.120736382892166</v>
      </c>
      <c r="AC74" s="61" t="n">
        <v>0.0786160005984451</v>
      </c>
      <c r="AD74" s="61" t="n">
        <v>0.0933782008635355</v>
      </c>
      <c r="AE74" s="61" t="n">
        <v>0.100711828627841</v>
      </c>
      <c r="AF74" s="61" t="n">
        <v>0.120214565319268</v>
      </c>
      <c r="AG74" s="61" t="n">
        <v>0.0768235797582581</v>
      </c>
      <c r="AH74" s="61" t="n">
        <v>0.0939498111947085</v>
      </c>
      <c r="AI74" s="61" t="n">
        <v>0.105673630536205</v>
      </c>
      <c r="AJ74" s="61" t="n">
        <v>0.106453886760272</v>
      </c>
      <c r="AK74" s="61" t="n">
        <v>0.0722047687441192</v>
      </c>
    </row>
    <row r="75" customFormat="false" ht="15" hidden="false" customHeight="true" outlineLevel="0" collapsed="false">
      <c r="A75" s="59" t="n">
        <v>-1.25</v>
      </c>
      <c r="B75" s="60" t="n">
        <v>0.105649773666855</v>
      </c>
      <c r="C75" s="61" t="n">
        <v>0.41867623385342</v>
      </c>
      <c r="D75" s="61" t="n">
        <v>0.767446694228878</v>
      </c>
      <c r="E75" s="61" t="n">
        <v>0.514444085364523</v>
      </c>
      <c r="F75" s="10" t="s">
        <v>1070</v>
      </c>
      <c r="G75" s="55" t="n">
        <v>577.92831697238</v>
      </c>
      <c r="H75" s="62" t="n">
        <v>13</v>
      </c>
      <c r="I75" s="62" t="n">
        <v>1</v>
      </c>
      <c r="J75" s="62" t="n">
        <v>1</v>
      </c>
      <c r="K75" s="55" t="n">
        <v>277.560661888485</v>
      </c>
      <c r="L75" s="55" t="n">
        <v>1002.08497918547</v>
      </c>
      <c r="M75" s="10" t="s">
        <v>1069</v>
      </c>
      <c r="N75" s="61" t="n">
        <v>0.107491920958177</v>
      </c>
      <c r="O75" s="61" t="n">
        <v>0.063232291796125</v>
      </c>
      <c r="P75" s="61" t="n">
        <v>0.0950569309185697</v>
      </c>
      <c r="Q75" s="61" t="n">
        <v>0.0546326049178239</v>
      </c>
      <c r="R75" s="61" t="n">
        <v>0.0800688482747833</v>
      </c>
      <c r="S75" s="61" t="n">
        <v>0.0952742138199093</v>
      </c>
      <c r="T75" s="61" t="n">
        <v>0.0602416464108099</v>
      </c>
      <c r="U75" s="61" t="n">
        <v>0.0804075089040722</v>
      </c>
      <c r="V75" s="61" t="n">
        <v>0.0688300126821529</v>
      </c>
      <c r="W75" s="61" t="n">
        <v>0.019108188683285</v>
      </c>
      <c r="X75" s="61" t="n">
        <v>0.0882755877644737</v>
      </c>
      <c r="Y75" s="61" t="n">
        <v>0.0893386064937587</v>
      </c>
      <c r="Z75" s="61" t="n">
        <v>0.0789783225494998</v>
      </c>
      <c r="AA75" s="61" t="n">
        <v>0.0820068513878224</v>
      </c>
      <c r="AB75" s="61" t="n">
        <v>0.119664039239959</v>
      </c>
      <c r="AC75" s="61" t="n">
        <v>0.0751251955651933</v>
      </c>
      <c r="AD75" s="61" t="n">
        <v>0.0916872232319665</v>
      </c>
      <c r="AE75" s="61" t="n">
        <v>0.0993037366738742</v>
      </c>
      <c r="AF75" s="61" t="n">
        <v>0.119434825228159</v>
      </c>
      <c r="AG75" s="61" t="n">
        <v>0.0746978974683775</v>
      </c>
      <c r="AH75" s="61" t="n">
        <v>0.0928906034011602</v>
      </c>
      <c r="AI75" s="61" t="n">
        <v>0.104637000039589</v>
      </c>
      <c r="AJ75" s="61" t="n">
        <v>0.105052055375933</v>
      </c>
      <c r="AK75" s="61" t="n">
        <v>0.0717000535866087</v>
      </c>
    </row>
    <row r="76" customFormat="false" ht="15" hidden="false" customHeight="true" outlineLevel="0" collapsed="false">
      <c r="A76" s="59" t="n">
        <v>-1.3125</v>
      </c>
      <c r="B76" s="60" t="n">
        <v>0.0946757430216426</v>
      </c>
      <c r="C76" s="61" t="n">
        <v>0.432690069713977</v>
      </c>
      <c r="D76" s="61" t="n">
        <v>0.753776507111076</v>
      </c>
      <c r="E76" s="61" t="n">
        <v>0.496840916414014</v>
      </c>
      <c r="F76" s="10" t="s">
        <v>1070</v>
      </c>
      <c r="G76" s="55" t="n">
        <v>605.289163236019</v>
      </c>
      <c r="H76" s="62" t="n">
        <v>13</v>
      </c>
      <c r="I76" s="62" t="n">
        <v>1</v>
      </c>
      <c r="J76" s="62" t="n">
        <v>1</v>
      </c>
      <c r="K76" s="55" t="n">
        <v>304.327993292691</v>
      </c>
      <c r="L76" s="55" t="n">
        <v>1020.10711724335</v>
      </c>
      <c r="M76" s="10" t="s">
        <v>1069</v>
      </c>
      <c r="N76" s="61" t="n">
        <v>0.105996961251935</v>
      </c>
      <c r="O76" s="61" t="n">
        <v>0.0617094530236137</v>
      </c>
      <c r="P76" s="61" t="n">
        <v>0.0931801181367462</v>
      </c>
      <c r="Q76" s="61" t="n">
        <v>0.0524601728869866</v>
      </c>
      <c r="R76" s="61" t="n">
        <v>0.0780165577942114</v>
      </c>
      <c r="S76" s="61" t="n">
        <v>0.0928904830178238</v>
      </c>
      <c r="T76" s="61" t="n">
        <v>0.0576512687804227</v>
      </c>
      <c r="U76" s="61" t="n">
        <v>0.0790832417000873</v>
      </c>
      <c r="V76" s="61" t="n">
        <v>0.0664195765729883</v>
      </c>
      <c r="W76" s="61" t="n">
        <v>0.0140781111049276</v>
      </c>
      <c r="X76" s="61" t="n">
        <v>0.0875653981043622</v>
      </c>
      <c r="Y76" s="61" t="n">
        <v>0.0883673995308762</v>
      </c>
      <c r="Z76" s="61" t="n">
        <v>0.0773392569383555</v>
      </c>
      <c r="AA76" s="61" t="n">
        <v>0.0789711487288549</v>
      </c>
      <c r="AB76" s="61" t="n">
        <v>0.118576776935434</v>
      </c>
      <c r="AC76" s="61" t="n">
        <v>0.0715908456636583</v>
      </c>
      <c r="AD76" s="61" t="n">
        <v>0.0899882284355458</v>
      </c>
      <c r="AE76" s="61" t="n">
        <v>0.0978932627121069</v>
      </c>
      <c r="AF76" s="61" t="n">
        <v>0.118659124358573</v>
      </c>
      <c r="AG76" s="61" t="n">
        <v>0.0725492713318475</v>
      </c>
      <c r="AH76" s="61" t="n">
        <v>0.0918288309407972</v>
      </c>
      <c r="AI76" s="61" t="n">
        <v>0.103594266414074</v>
      </c>
      <c r="AJ76" s="61" t="n">
        <v>0.103636107248189</v>
      </c>
      <c r="AK76" s="61" t="n">
        <v>0.0712001447447292</v>
      </c>
    </row>
    <row r="77" customFormat="false" ht="15" hidden="false" customHeight="true" outlineLevel="0" collapsed="false">
      <c r="A77" s="59" t="n">
        <v>-1.375</v>
      </c>
      <c r="B77" s="60" t="n">
        <v>0.0845657223513357</v>
      </c>
      <c r="C77" s="61" t="n">
        <v>0.446800540149508</v>
      </c>
      <c r="D77" s="61" t="n">
        <v>0.73997649946579</v>
      </c>
      <c r="E77" s="61" t="n">
        <v>0.478878833983996</v>
      </c>
      <c r="F77" s="10" t="s">
        <v>1070</v>
      </c>
      <c r="G77" s="55" t="n">
        <v>633.989644065541</v>
      </c>
      <c r="H77" s="62" t="n">
        <v>13</v>
      </c>
      <c r="I77" s="62" t="n">
        <v>1</v>
      </c>
      <c r="J77" s="62" t="n">
        <v>1</v>
      </c>
      <c r="K77" s="55" t="n">
        <v>332.265423969161</v>
      </c>
      <c r="L77" s="55" t="n">
        <v>1055.23160705834</v>
      </c>
      <c r="M77" s="10" t="s">
        <v>1069</v>
      </c>
      <c r="N77" s="61" t="n">
        <v>0.104424606734428</v>
      </c>
      <c r="O77" s="61" t="n">
        <v>0.0601519728184424</v>
      </c>
      <c r="P77" s="61" t="n">
        <v>0.0912272576907251</v>
      </c>
      <c r="Q77" s="61" t="n">
        <v>0.0502174364189951</v>
      </c>
      <c r="R77" s="61" t="n">
        <v>0.0758709482276157</v>
      </c>
      <c r="S77" s="61" t="n">
        <v>0.0904034561121536</v>
      </c>
      <c r="T77" s="61" t="n">
        <v>0.0550110182188017</v>
      </c>
      <c r="U77" s="61" t="n">
        <v>0.0777260153679298</v>
      </c>
      <c r="V77" s="61" t="n">
        <v>0.0639560688514322</v>
      </c>
      <c r="W77" s="61" t="n">
        <v>0.00889148835556908</v>
      </c>
      <c r="X77" s="61" t="n">
        <v>0.0867438077032381</v>
      </c>
      <c r="Y77" s="61" t="n">
        <v>0.0873882965265498</v>
      </c>
      <c r="Z77" s="61" t="n">
        <v>0.0756716323567997</v>
      </c>
      <c r="AA77" s="61" t="n">
        <v>0.0757484216212506</v>
      </c>
      <c r="AB77" s="61" t="n">
        <v>0.117433952219784</v>
      </c>
      <c r="AC77" s="61" t="n">
        <v>0.0678877577842941</v>
      </c>
      <c r="AD77" s="61" t="n">
        <v>0.0882129762186153</v>
      </c>
      <c r="AE77" s="61" t="n">
        <v>0.0964355330192967</v>
      </c>
      <c r="AF77" s="61" t="n">
        <v>0.117827376704361</v>
      </c>
      <c r="AG77" s="61" t="n">
        <v>0.0702576539179309</v>
      </c>
      <c r="AH77" s="61" t="n">
        <v>0.0907479427567356</v>
      </c>
      <c r="AI77" s="61" t="n">
        <v>0.102522407265517</v>
      </c>
      <c r="AJ77" s="61" t="n">
        <v>0.10215137578523</v>
      </c>
      <c r="AK77" s="61" t="n">
        <v>0.0706494619693798</v>
      </c>
    </row>
    <row r="78" customFormat="false" ht="15" hidden="false" customHeight="true" outlineLevel="0" collapsed="false">
      <c r="A78" s="59" t="n">
        <v>-1.4375</v>
      </c>
      <c r="B78" s="60" t="n">
        <v>0.0752879864124234</v>
      </c>
      <c r="C78" s="61" t="n">
        <v>0.460989798538411</v>
      </c>
      <c r="D78" s="61" t="n">
        <v>0.726058508989047</v>
      </c>
      <c r="E78" s="61" t="n">
        <v>0.460677201070031</v>
      </c>
      <c r="F78" s="10" t="s">
        <v>1070</v>
      </c>
      <c r="G78" s="55" t="n">
        <v>663.546812211677</v>
      </c>
      <c r="H78" s="62" t="n">
        <v>13</v>
      </c>
      <c r="I78" s="62" t="n">
        <v>1</v>
      </c>
      <c r="J78" s="62" t="n">
        <v>1</v>
      </c>
      <c r="K78" s="55" t="n">
        <v>361.053436013053</v>
      </c>
      <c r="L78" s="55" t="n">
        <v>1072.09845486138</v>
      </c>
      <c r="M78" s="10" t="s">
        <v>1069</v>
      </c>
      <c r="N78" s="61" t="n">
        <v>0.102913850291318</v>
      </c>
      <c r="O78" s="61" t="n">
        <v>0.0578939630476459</v>
      </c>
      <c r="P78" s="61" t="n">
        <v>0.0893048498617354</v>
      </c>
      <c r="Q78" s="61" t="n">
        <v>0.047981286383819</v>
      </c>
      <c r="R78" s="61" t="n">
        <v>0.0737841109163069</v>
      </c>
      <c r="S78" s="61" t="n">
        <v>0.0879794058307732</v>
      </c>
      <c r="T78" s="61" t="n">
        <v>0.0523392313416975</v>
      </c>
      <c r="U78" s="61" t="n">
        <v>0.076381167644794</v>
      </c>
      <c r="V78" s="61" t="n">
        <v>0.061449482835138</v>
      </c>
      <c r="W78" s="61" t="n">
        <v>0.00374856411320053</v>
      </c>
      <c r="X78" s="61" t="n">
        <v>0.0860505843229322</v>
      </c>
      <c r="Y78" s="61" t="n">
        <v>0.0864028923134539</v>
      </c>
      <c r="Z78" s="61" t="n">
        <v>0.0739841008466225</v>
      </c>
      <c r="AA78" s="61" t="n">
        <v>0.0726488766661313</v>
      </c>
      <c r="AB78" s="61" t="n">
        <v>0.116228843691928</v>
      </c>
      <c r="AC78" s="61" t="n">
        <v>0.0642983088493375</v>
      </c>
      <c r="AD78" s="61" t="n">
        <v>0.0865109238378551</v>
      </c>
      <c r="AE78" s="61" t="n">
        <v>0.0950248067626541</v>
      </c>
      <c r="AF78" s="61" t="n">
        <v>0.117045777726413</v>
      </c>
      <c r="AG78" s="61" t="n">
        <v>0.0680905001470774</v>
      </c>
      <c r="AH78" s="61" t="n">
        <v>0.0896703765411391</v>
      </c>
      <c r="AI78" s="61" t="n">
        <v>0.10145076226109</v>
      </c>
      <c r="AJ78" s="61" t="n">
        <v>0.100723427418806</v>
      </c>
      <c r="AK78" s="61" t="n">
        <v>0.0701699536172877</v>
      </c>
    </row>
    <row r="79" customFormat="false" ht="15" hidden="false" customHeight="true" outlineLevel="0" collapsed="false">
      <c r="A79" s="59" t="n">
        <v>-1.5</v>
      </c>
      <c r="B79" s="60" t="n">
        <v>0.0668072012688581</v>
      </c>
      <c r="C79" s="61" t="n">
        <v>0.475239655689496</v>
      </c>
      <c r="D79" s="61" t="n">
        <v>0.712034623934708</v>
      </c>
      <c r="E79" s="61" t="n">
        <v>0.442041665464501</v>
      </c>
      <c r="F79" s="10" t="s">
        <v>1070</v>
      </c>
      <c r="G79" s="55" t="n">
        <v>693.916303935816</v>
      </c>
      <c r="H79" s="62" t="n">
        <v>14</v>
      </c>
      <c r="I79" s="62" t="n">
        <v>1</v>
      </c>
      <c r="J79" s="62" t="n">
        <v>1</v>
      </c>
      <c r="K79" s="55" t="n">
        <v>390.450782697894</v>
      </c>
      <c r="L79" s="55" t="n">
        <v>1105.4823768747</v>
      </c>
      <c r="M79" s="10" t="s">
        <v>1069</v>
      </c>
      <c r="N79" s="61" t="n">
        <v>0.101325436319182</v>
      </c>
      <c r="O79" s="61" t="n">
        <v>0.0563272705397589</v>
      </c>
      <c r="P79" s="61" t="n">
        <v>0.0872958079093469</v>
      </c>
      <c r="Q79" s="61" t="n">
        <v>0.0456661903178028</v>
      </c>
      <c r="R79" s="61" t="n">
        <v>0.0715564070879471</v>
      </c>
      <c r="S79" s="61" t="n">
        <v>0.0854055868140745</v>
      </c>
      <c r="T79" s="61" t="n">
        <v>0.0493927943612684</v>
      </c>
      <c r="U79" s="61" t="n">
        <v>0.0749835700697316</v>
      </c>
      <c r="V79" s="61" t="n">
        <v>0.0582587884086391</v>
      </c>
      <c r="W79" s="61" t="n">
        <v>-0.00163471313891456</v>
      </c>
      <c r="X79" s="61" t="n">
        <v>0.0844892239279312</v>
      </c>
      <c r="Y79" s="61" t="n">
        <v>0.0854047673216089</v>
      </c>
      <c r="Z79" s="61" t="n">
        <v>0.0722624298258005</v>
      </c>
      <c r="AA79" s="61" t="n">
        <v>0.0692280625240971</v>
      </c>
      <c r="AB79" s="61" t="n">
        <v>0.115024709936318</v>
      </c>
      <c r="AC79" s="61" t="n">
        <v>0.0604257624412561</v>
      </c>
      <c r="AD79" s="61" t="n">
        <v>0.0846900323185467</v>
      </c>
      <c r="AE79" s="61" t="n">
        <v>0.0935341938987883</v>
      </c>
      <c r="AF79" s="61" t="n">
        <v>0.116210253040066</v>
      </c>
      <c r="AG79" s="61" t="n">
        <v>0.0658038537103778</v>
      </c>
      <c r="AH79" s="61" t="n">
        <v>0.0885483618558167</v>
      </c>
      <c r="AI79" s="61" t="n">
        <v>0.100333011800435</v>
      </c>
      <c r="AJ79" s="61" t="n">
        <v>0.0991511810462254</v>
      </c>
      <c r="AK79" s="61" t="n">
        <v>0.069632851456109</v>
      </c>
    </row>
    <row r="80" customFormat="false" ht="15" hidden="false" customHeight="true" outlineLevel="0" collapsed="false">
      <c r="A80" s="59" t="n">
        <v>-1.5625</v>
      </c>
      <c r="B80" s="60" t="n">
        <v>0.0590851229326676</v>
      </c>
      <c r="C80" s="61" t="n">
        <v>0.48953165120084</v>
      </c>
      <c r="D80" s="61" t="n">
        <v>0.697917116658728</v>
      </c>
      <c r="E80" s="61" t="n">
        <v>0.423207628421771</v>
      </c>
      <c r="F80" s="10" t="s">
        <v>1070</v>
      </c>
      <c r="G80" s="55" t="n">
        <v>729.300595042366</v>
      </c>
      <c r="H80" s="62" t="n">
        <v>14</v>
      </c>
      <c r="I80" s="62" t="n">
        <v>2</v>
      </c>
      <c r="J80" s="62" t="n">
        <v>2</v>
      </c>
      <c r="K80" s="55" t="n">
        <v>423.638248060967</v>
      </c>
      <c r="L80" s="55" t="n">
        <v>1128.94490541503</v>
      </c>
      <c r="M80" s="10" t="s">
        <v>1069</v>
      </c>
      <c r="N80" s="61" t="n">
        <v>0.0994716512336202</v>
      </c>
      <c r="O80" s="61" t="n">
        <v>0.0545705776147348</v>
      </c>
      <c r="P80" s="61" t="n">
        <v>0.0850135270341523</v>
      </c>
      <c r="Q80" s="61" t="n">
        <v>0.0433260866717782</v>
      </c>
      <c r="R80" s="61" t="n">
        <v>0.0688518834713199</v>
      </c>
      <c r="S80" s="61" t="n">
        <v>0.0823389797029576</v>
      </c>
      <c r="T80" s="61" t="n">
        <v>0.0465783165435556</v>
      </c>
      <c r="U80" s="61" t="n">
        <v>0.0735232150736149</v>
      </c>
      <c r="V80" s="61" t="n">
        <v>0.0555607978304439</v>
      </c>
      <c r="W80" s="61" t="n">
        <v>-0.00788125085665714</v>
      </c>
      <c r="X80" s="61" t="n">
        <v>0.0831390248145913</v>
      </c>
      <c r="Y80" s="61" t="n">
        <v>0.0843438299848161</v>
      </c>
      <c r="Z80" s="61" t="n">
        <v>0.070480698797657</v>
      </c>
      <c r="AA80" s="61" t="n">
        <v>0.0654060315861655</v>
      </c>
      <c r="AB80" s="61" t="n">
        <v>0.113401533112551</v>
      </c>
      <c r="AC80" s="61" t="n">
        <v>0.0563059744538838</v>
      </c>
      <c r="AD80" s="61" t="n">
        <v>0.0823732698384942</v>
      </c>
      <c r="AE80" s="61" t="n">
        <v>0.0913633595247469</v>
      </c>
      <c r="AF80" s="61" t="n">
        <v>0.114662945672134</v>
      </c>
      <c r="AG80" s="61" t="n">
        <v>0.0630630293118898</v>
      </c>
      <c r="AH80" s="61" t="n">
        <v>0.0867423180994585</v>
      </c>
      <c r="AI80" s="61" t="n">
        <v>0.0989410872285661</v>
      </c>
      <c r="AJ80" s="61" t="n">
        <v>0.0973668841977964</v>
      </c>
      <c r="AK80" s="61" t="n">
        <v>0.0690228303879086</v>
      </c>
    </row>
    <row r="81" customFormat="false" ht="15" hidden="false" customHeight="true" outlineLevel="0" collapsed="false">
      <c r="A81" s="59" t="n">
        <v>-1.625</v>
      </c>
      <c r="B81" s="60" t="n">
        <v>0.0520812794152195</v>
      </c>
      <c r="C81" s="61" t="n">
        <v>0.503847126773507</v>
      </c>
      <c r="D81" s="61" t="n">
        <v>0.683718377254112</v>
      </c>
      <c r="E81" s="61" t="n">
        <v>0.404243215183093</v>
      </c>
      <c r="F81" s="10" t="s">
        <v>1070</v>
      </c>
      <c r="G81" s="55" t="n">
        <v>763.881470168623</v>
      </c>
      <c r="H81" s="62" t="n">
        <v>15</v>
      </c>
      <c r="I81" s="62" t="n">
        <v>2</v>
      </c>
      <c r="J81" s="62" t="n">
        <v>3</v>
      </c>
      <c r="K81" s="55" t="n">
        <v>456.820480395485</v>
      </c>
      <c r="L81" s="55" t="n">
        <v>1190.48569001408</v>
      </c>
      <c r="M81" s="10" t="s">
        <v>1069</v>
      </c>
      <c r="N81" s="61" t="n">
        <v>0.0977714587818199</v>
      </c>
      <c r="O81" s="61" t="n">
        <v>0.0529191650454773</v>
      </c>
      <c r="P81" s="61" t="n">
        <v>0.0828573918771624</v>
      </c>
      <c r="Q81" s="61" t="n">
        <v>0.0408838544873693</v>
      </c>
      <c r="R81" s="61" t="n">
        <v>0.0663530118259922</v>
      </c>
      <c r="S81" s="61" t="n">
        <v>0.0794962845578299</v>
      </c>
      <c r="T81" s="61" t="n">
        <v>0.0414461352914785</v>
      </c>
      <c r="U81" s="61" t="n">
        <v>0.0720788979304851</v>
      </c>
      <c r="V81" s="61" t="n">
        <v>0.0528229223407372</v>
      </c>
      <c r="W81" s="61" t="n">
        <v>-0.0136713286121155</v>
      </c>
      <c r="X81" s="61" t="n">
        <v>0.0821464998411462</v>
      </c>
      <c r="Y81" s="61" t="n">
        <v>0.0832054727960236</v>
      </c>
      <c r="Z81" s="61" t="n">
        <v>0.0687053041617272</v>
      </c>
      <c r="AA81" s="61" t="n">
        <v>0.0614637302159939</v>
      </c>
      <c r="AB81" s="61" t="n">
        <v>0.111902148062517</v>
      </c>
      <c r="AC81" s="61" t="n">
        <v>0.0519733080334361</v>
      </c>
      <c r="AD81" s="61" t="n">
        <v>0.080218385427092</v>
      </c>
      <c r="AE81" s="61" t="n">
        <v>0.089667286642006</v>
      </c>
      <c r="AF81" s="61" t="n">
        <v>0.113537275635474</v>
      </c>
      <c r="AG81" s="61" t="n">
        <v>0.0606100425792068</v>
      </c>
      <c r="AH81" s="61" t="n">
        <v>0.0854223013843589</v>
      </c>
      <c r="AI81" s="61" t="n">
        <v>0.0976835484426594</v>
      </c>
      <c r="AJ81" s="61" t="n">
        <v>0.0955103031965303</v>
      </c>
      <c r="AK81" s="61" t="n">
        <v>0.0684009445840653</v>
      </c>
    </row>
    <row r="82" customFormat="false" ht="15" hidden="false" customHeight="true" outlineLevel="0" collapsed="false">
      <c r="A82" s="59" t="n">
        <v>-1.6875</v>
      </c>
      <c r="B82" s="60" t="n">
        <v>0.0457536249617411</v>
      </c>
      <c r="C82" s="61" t="n">
        <v>0.518167300984666</v>
      </c>
      <c r="D82" s="61" t="n">
        <v>0.669450847911682</v>
      </c>
      <c r="E82" s="61" t="n">
        <v>0.385184447021615</v>
      </c>
      <c r="F82" s="10" t="s">
        <v>1070</v>
      </c>
      <c r="G82" s="55" t="n">
        <v>796.358699746164</v>
      </c>
      <c r="H82" s="62" t="n">
        <v>15</v>
      </c>
      <c r="I82" s="62" t="n">
        <v>2</v>
      </c>
      <c r="J82" s="62" t="n">
        <v>3</v>
      </c>
      <c r="K82" s="55" t="n">
        <v>489.686730595396</v>
      </c>
      <c r="L82" s="55" t="n">
        <v>1216.17995964115</v>
      </c>
      <c r="M82" s="10" t="s">
        <v>1069</v>
      </c>
      <c r="N82" s="61" t="n">
        <v>0.0961585768895338</v>
      </c>
      <c r="O82" s="61" t="n">
        <v>0.0513280710138128</v>
      </c>
      <c r="P82" s="61" t="n">
        <v>0.0806644259282763</v>
      </c>
      <c r="Q82" s="61" t="n">
        <v>0.0384665334904828</v>
      </c>
      <c r="R82" s="61" t="n">
        <v>0.0640628976933211</v>
      </c>
      <c r="S82" s="61" t="n">
        <v>0.0767651095858953</v>
      </c>
      <c r="T82" s="61" t="n">
        <v>0.0386287644997911</v>
      </c>
      <c r="U82" s="61" t="n">
        <v>0.0688069678487598</v>
      </c>
      <c r="V82" s="61" t="n">
        <v>0.050041917809192</v>
      </c>
      <c r="W82" s="61" t="n">
        <v>-0.0193316523460427</v>
      </c>
      <c r="X82" s="61" t="n">
        <v>0.0813029894137732</v>
      </c>
      <c r="Y82" s="61" t="n">
        <v>0.0821687139183567</v>
      </c>
      <c r="Z82" s="61" t="n">
        <v>0.0669189337894125</v>
      </c>
      <c r="AA82" s="61" t="n">
        <v>0.058012529486367</v>
      </c>
      <c r="AB82" s="61" t="n">
        <v>0.110634331786856</v>
      </c>
      <c r="AC82" s="61" t="n">
        <v>0.0480582887265518</v>
      </c>
      <c r="AD82" s="61" t="n">
        <v>0.078340124494329</v>
      </c>
      <c r="AE82" s="61" t="n">
        <v>0.0881272276896064</v>
      </c>
      <c r="AF82" s="61" t="n">
        <v>0.112678364393718</v>
      </c>
      <c r="AG82" s="61" t="n">
        <v>0.0581581392964633</v>
      </c>
      <c r="AH82" s="61" t="n">
        <v>0.0842013381783808</v>
      </c>
      <c r="AI82" s="61" t="n">
        <v>0.0964925463550851</v>
      </c>
      <c r="AJ82" s="61" t="n">
        <v>0.093905740956383</v>
      </c>
      <c r="AK82" s="61" t="n">
        <v>0.0679010228742421</v>
      </c>
    </row>
    <row r="83" customFormat="false" ht="15" hidden="false" customHeight="true" outlineLevel="0" collapsed="false">
      <c r="A83" s="59" t="n">
        <v>-1.75</v>
      </c>
      <c r="B83" s="60" t="n">
        <v>0.0400591568638171</v>
      </c>
      <c r="C83" s="61" t="n">
        <v>0.532473345010308</v>
      </c>
      <c r="D83" s="61" t="n">
        <v>0.655126958613193</v>
      </c>
      <c r="E83" s="61" t="n">
        <v>0.366032784698218</v>
      </c>
      <c r="F83" s="10" t="s">
        <v>1070</v>
      </c>
      <c r="G83" s="55" t="n">
        <v>840.310261451433</v>
      </c>
      <c r="H83" s="62" t="n">
        <v>15</v>
      </c>
      <c r="I83" s="62" t="n">
        <v>3</v>
      </c>
      <c r="J83" s="62" t="n">
        <v>4</v>
      </c>
      <c r="K83" s="55" t="n">
        <v>533.277719634576</v>
      </c>
      <c r="L83" s="55" t="n">
        <v>1314.52597847309</v>
      </c>
      <c r="M83" s="10" t="s">
        <v>1069</v>
      </c>
      <c r="N83" s="61" t="n">
        <v>0.093986337678055</v>
      </c>
      <c r="O83" s="61" t="n">
        <v>0.0493397502887603</v>
      </c>
      <c r="P83" s="61" t="n">
        <v>0.0781425282313684</v>
      </c>
      <c r="Q83" s="61" t="n">
        <v>0.0356532649451174</v>
      </c>
      <c r="R83" s="61" t="n">
        <v>0.0602693049908763</v>
      </c>
      <c r="S83" s="61" t="n">
        <v>0.0723773356139132</v>
      </c>
      <c r="T83" s="61" t="n">
        <v>0.0357109128989515</v>
      </c>
      <c r="U83" s="61" t="n">
        <v>0.0673294791966611</v>
      </c>
      <c r="V83" s="61" t="n">
        <v>0.04713596919759</v>
      </c>
      <c r="W83" s="61" t="n">
        <v>-0.0259301526028703</v>
      </c>
      <c r="X83" s="61" t="n">
        <v>0.079689963715017</v>
      </c>
      <c r="Y83" s="61" t="n">
        <v>0.0810824914508399</v>
      </c>
      <c r="Z83" s="61" t="n">
        <v>0.0650531896183343</v>
      </c>
      <c r="AA83" s="61" t="n">
        <v>0.0526936284274125</v>
      </c>
      <c r="AB83" s="61" t="n">
        <v>0.108887635749372</v>
      </c>
      <c r="AC83" s="61" t="n">
        <v>0.0426683522514636</v>
      </c>
      <c r="AD83" s="61" t="n">
        <v>0.0749067851376619</v>
      </c>
      <c r="AE83" s="61" t="n">
        <v>0.0851755161381215</v>
      </c>
      <c r="AF83" s="61" t="n">
        <v>0.110534941785966</v>
      </c>
      <c r="AG83" s="61" t="n">
        <v>0.0551266013835473</v>
      </c>
      <c r="AH83" s="61" t="n">
        <v>0.0822589769375572</v>
      </c>
      <c r="AI83" s="61" t="n">
        <v>0.0950021381312711</v>
      </c>
      <c r="AJ83" s="61" t="n">
        <v>0.0915695833734162</v>
      </c>
      <c r="AK83" s="61" t="n">
        <v>0.0666529113098753</v>
      </c>
    </row>
    <row r="84" customFormat="false" ht="15" hidden="false" customHeight="true" outlineLevel="0" collapsed="false">
      <c r="A84" s="59" t="n">
        <v>-1.8125</v>
      </c>
      <c r="B84" s="60" t="n">
        <v>0.0349544869682347</v>
      </c>
      <c r="C84" s="61" t="n">
        <v>0.54674645877832</v>
      </c>
      <c r="D84" s="61" t="n">
        <v>0.640759064727277</v>
      </c>
      <c r="E84" s="61" t="n">
        <v>0.352417485600002</v>
      </c>
      <c r="F84" s="10" t="s">
        <v>1070</v>
      </c>
      <c r="G84" s="55" t="n">
        <v>872.346377128657</v>
      </c>
      <c r="H84" s="62" t="n">
        <v>16</v>
      </c>
      <c r="I84" s="62" t="n">
        <v>3</v>
      </c>
      <c r="J84" s="62" t="n">
        <v>5</v>
      </c>
      <c r="K84" s="55" t="n">
        <v>566.742559396455</v>
      </c>
      <c r="L84" s="55" t="n">
        <v>1346.67800775849</v>
      </c>
      <c r="M84" s="10" t="s">
        <v>1069</v>
      </c>
      <c r="N84" s="61" t="n">
        <v>0.0923089475724206</v>
      </c>
      <c r="O84" s="61" t="n">
        <v>0.0479301335272019</v>
      </c>
      <c r="P84" s="61" t="n">
        <v>0.0762418507613927</v>
      </c>
      <c r="Q84" s="61" t="n">
        <v>0.0334900308741683</v>
      </c>
      <c r="R84" s="61" t="n">
        <v>0.0581211197291898</v>
      </c>
      <c r="S84" s="61" t="n">
        <v>0.0698505992413886</v>
      </c>
      <c r="T84" s="61" t="n">
        <v>0.0332355864681648</v>
      </c>
      <c r="U84" s="61" t="n">
        <v>0.0660559941023955</v>
      </c>
      <c r="V84" s="61" t="n">
        <v>0.0390586326656534</v>
      </c>
      <c r="W84" s="61" t="n">
        <v>-0.0309806747216273</v>
      </c>
      <c r="X84" s="61" t="n">
        <v>0.078825381897028</v>
      </c>
      <c r="Y84" s="61" t="n">
        <v>0.0801122479412781</v>
      </c>
      <c r="Z84" s="61" t="n">
        <v>0.0634388234499277</v>
      </c>
      <c r="AA84" s="61" t="n">
        <v>0.0493039914413104</v>
      </c>
      <c r="AB84" s="61" t="n">
        <v>0.107584472785135</v>
      </c>
      <c r="AC84" s="61" t="n">
        <v>0.0391254355244734</v>
      </c>
      <c r="AD84" s="61" t="n">
        <v>0.0732486351068819</v>
      </c>
      <c r="AE84" s="61" t="n">
        <v>0.0837201279355955</v>
      </c>
      <c r="AF84" s="61" t="n">
        <v>0.109624031796318</v>
      </c>
      <c r="AG84" s="61" t="n">
        <v>0.0528983802271489</v>
      </c>
      <c r="AH84" s="61" t="n">
        <v>0.0808963049360402</v>
      </c>
      <c r="AI84" s="61" t="n">
        <v>0.0938253669610648</v>
      </c>
      <c r="AJ84" s="61" t="n">
        <v>0.0900772838107811</v>
      </c>
      <c r="AK84" s="61" t="n">
        <v>0.0661727527312585</v>
      </c>
    </row>
    <row r="85" customFormat="false" ht="15" hidden="false" customHeight="true" outlineLevel="0" collapsed="false">
      <c r="A85" s="59" t="n">
        <v>-1.875</v>
      </c>
      <c r="B85" s="60" t="n">
        <v>0.0303963617652614</v>
      </c>
      <c r="C85" s="61" t="n">
        <v>0.560967947028297</v>
      </c>
      <c r="D85" s="61" t="n">
        <v>0.626359387036401</v>
      </c>
      <c r="E85" s="61" t="n">
        <v>0.344497662870021</v>
      </c>
      <c r="F85" s="10" t="s">
        <v>1070</v>
      </c>
      <c r="G85" s="55" t="n">
        <v>896.68341005227</v>
      </c>
      <c r="H85" s="62" t="n">
        <v>16</v>
      </c>
      <c r="I85" s="62" t="n">
        <v>3</v>
      </c>
      <c r="J85" s="62" t="n">
        <v>5</v>
      </c>
      <c r="K85" s="55" t="n">
        <v>593.052374164257</v>
      </c>
      <c r="L85" s="55" t="n">
        <v>1369.48349786784</v>
      </c>
      <c r="M85" s="10" t="s">
        <v>1069</v>
      </c>
      <c r="N85" s="61" t="n">
        <v>0.0910063876674397</v>
      </c>
      <c r="O85" s="61" t="n">
        <v>0.0467734468253368</v>
      </c>
      <c r="P85" s="61" t="n">
        <v>0.0746456849650215</v>
      </c>
      <c r="Q85" s="61" t="n">
        <v>0.0317107628891129</v>
      </c>
      <c r="R85" s="61" t="n">
        <v>0.0562743827430109</v>
      </c>
      <c r="S85" s="61" t="n">
        <v>0.0676385042036542</v>
      </c>
      <c r="T85" s="61" t="n">
        <v>0.0312176874978802</v>
      </c>
      <c r="U85" s="61" t="n">
        <v>0.0649772724849261</v>
      </c>
      <c r="V85" s="61" t="n">
        <v>0.0370881582250716</v>
      </c>
      <c r="W85" s="61" t="n">
        <v>-0.0348915901543187</v>
      </c>
      <c r="X85" s="61" t="n">
        <v>0.0780669527636247</v>
      </c>
      <c r="Y85" s="61" t="n">
        <v>0.079234662169549</v>
      </c>
      <c r="Z85" s="61" t="n">
        <v>0.0620597782172916</v>
      </c>
      <c r="AA85" s="61" t="n">
        <v>0.0463146193536441</v>
      </c>
      <c r="AB85" s="61" t="n">
        <v>0.106505981812223</v>
      </c>
      <c r="AC85" s="61" t="n">
        <v>0.0360985097737971</v>
      </c>
      <c r="AD85" s="61" t="n">
        <v>0.0718366165615791</v>
      </c>
      <c r="AE85" s="61" t="n">
        <v>0.0825170090237694</v>
      </c>
      <c r="AF85" s="61" t="n">
        <v>0.108846773590185</v>
      </c>
      <c r="AG85" s="61" t="n">
        <v>0.050976814058658</v>
      </c>
      <c r="AH85" s="61" t="n">
        <v>0.0798103732476602</v>
      </c>
      <c r="AI85" s="61" t="n">
        <v>0.0928170883124982</v>
      </c>
      <c r="AJ85" s="61" t="n">
        <v>0.0887281055907023</v>
      </c>
      <c r="AK85" s="61" t="n">
        <v>0.0657162334630027</v>
      </c>
    </row>
    <row r="86" customFormat="false" ht="15" hidden="false" customHeight="true" outlineLevel="0" collapsed="false">
      <c r="A86" s="59" t="n">
        <v>-1.9375</v>
      </c>
      <c r="B86" s="60" t="n">
        <v>0.0263421266891415</v>
      </c>
      <c r="C86" s="61" t="n">
        <v>0.575119294755249</v>
      </c>
      <c r="D86" s="61" t="n">
        <v>0.611939954676257</v>
      </c>
      <c r="E86" s="61" t="n">
        <v>0.336566975071941</v>
      </c>
      <c r="F86" s="10" t="s">
        <v>1070</v>
      </c>
      <c r="G86" s="55" t="n">
        <v>935.44689607404</v>
      </c>
      <c r="H86" s="62" t="n">
        <v>17</v>
      </c>
      <c r="I86" s="62" t="n">
        <v>4</v>
      </c>
      <c r="J86" s="62" t="n">
        <v>6</v>
      </c>
      <c r="K86" s="55" t="n">
        <v>633.626194368992</v>
      </c>
      <c r="L86" s="55" t="n">
        <v>1452.5491204515</v>
      </c>
      <c r="M86" s="10" t="s">
        <v>1069</v>
      </c>
      <c r="N86" s="61" t="n">
        <v>0.0890152437513141</v>
      </c>
      <c r="O86" s="61" t="n">
        <v>0.0451804354079528</v>
      </c>
      <c r="P86" s="61" t="n">
        <v>0.0724224827191991</v>
      </c>
      <c r="Q86" s="61" t="n">
        <v>0.0294558008488509</v>
      </c>
      <c r="R86" s="61" t="n">
        <v>0.0530221303616468</v>
      </c>
      <c r="S86" s="61" t="n">
        <v>0.0639995115004095</v>
      </c>
      <c r="T86" s="61" t="n">
        <v>0.0291013247251491</v>
      </c>
      <c r="U86" s="61" t="n">
        <v>0.0638088215900488</v>
      </c>
      <c r="V86" s="61" t="n">
        <v>0.0350293905390727</v>
      </c>
      <c r="W86" s="61" t="n">
        <v>-0.0407156331356399</v>
      </c>
      <c r="X86" s="61" t="n">
        <v>0.0761470404874579</v>
      </c>
      <c r="Y86" s="61" t="n">
        <v>0.0782856702744787</v>
      </c>
      <c r="Z86" s="61" t="n">
        <v>0.0603646659173273</v>
      </c>
      <c r="AA86" s="61" t="n">
        <v>0.0419428830632162</v>
      </c>
      <c r="AB86" s="61" t="n">
        <v>0.104461134814691</v>
      </c>
      <c r="AC86" s="61" t="n">
        <v>0.0314268394907957</v>
      </c>
      <c r="AD86" s="61" t="n">
        <v>0.0691619008492712</v>
      </c>
      <c r="AE86" s="61" t="n">
        <v>0.0797741635032088</v>
      </c>
      <c r="AF86" s="61" t="n">
        <v>0.106579908991684</v>
      </c>
      <c r="AG86" s="61" t="n">
        <v>0.0481242906167936</v>
      </c>
      <c r="AH86" s="61" t="n">
        <v>0.077470457955397</v>
      </c>
      <c r="AI86" s="61" t="n">
        <v>0.0913089663739665</v>
      </c>
      <c r="AJ86" s="61" t="n">
        <v>0.0864705904439056</v>
      </c>
      <c r="AK86" s="61" t="n">
        <v>0.0647877443433577</v>
      </c>
    </row>
    <row r="87" customFormat="false" ht="15" hidden="false" customHeight="true" outlineLevel="0" collapsed="false">
      <c r="A87" s="59" t="n">
        <v>-2</v>
      </c>
      <c r="B87" s="60" t="n">
        <v>0.0227501319481792</v>
      </c>
      <c r="C87" s="61" t="n">
        <v>0.589182241520144</v>
      </c>
      <c r="D87" s="61" t="n">
        <v>0.597512551420098</v>
      </c>
      <c r="E87" s="61" t="n">
        <v>0.328631903281054</v>
      </c>
      <c r="F87" s="10" t="s">
        <v>1070</v>
      </c>
      <c r="G87" s="55" t="n">
        <v>999.883876734996</v>
      </c>
      <c r="H87" s="62" t="n">
        <v>17</v>
      </c>
      <c r="I87" s="62" t="n">
        <v>6</v>
      </c>
      <c r="J87" s="62" t="n">
        <v>8</v>
      </c>
      <c r="K87" s="55" t="n">
        <v>699.773851602361</v>
      </c>
      <c r="L87" s="55" t="n">
        <v>1745.66291087879</v>
      </c>
      <c r="M87" s="10" t="s">
        <v>1069</v>
      </c>
      <c r="N87" s="61" t="n">
        <v>0.0857325069122499</v>
      </c>
      <c r="O87" s="61" t="n">
        <v>0.0395921755866327</v>
      </c>
      <c r="P87" s="61" t="n">
        <v>0.0691423493499771</v>
      </c>
      <c r="Q87" s="61" t="n">
        <v>0.0264482986594635</v>
      </c>
      <c r="R87" s="61" t="n">
        <v>0.0489510485225679</v>
      </c>
      <c r="S87" s="61" t="n">
        <v>0.0595166822094665</v>
      </c>
      <c r="T87" s="61" t="n">
        <v>0.026938397300064</v>
      </c>
      <c r="U87" s="61" t="n">
        <v>0.0615455658735951</v>
      </c>
      <c r="V87" s="61" t="n">
        <v>0.0329090677292849</v>
      </c>
      <c r="W87" s="61" t="n">
        <v>-0.0488273824186209</v>
      </c>
      <c r="X87" s="61" t="n">
        <v>0.0714945820012968</v>
      </c>
      <c r="Y87" s="61" t="n">
        <v>0.0772887874610378</v>
      </c>
      <c r="Z87" s="61" t="n">
        <v>0.0588372035944113</v>
      </c>
      <c r="AA87" s="61" t="n">
        <v>0.0354062027446511</v>
      </c>
      <c r="AB87" s="61" t="n">
        <v>0.101434762801519</v>
      </c>
      <c r="AC87" s="61" t="n">
        <v>0.026037409788773</v>
      </c>
      <c r="AD87" s="61" t="n">
        <v>0.0657047897035565</v>
      </c>
      <c r="AE87" s="61" t="n">
        <v>0.076043083516609</v>
      </c>
      <c r="AF87" s="61" t="n">
        <v>0.102950886545854</v>
      </c>
      <c r="AG87" s="61" t="n">
        <v>0.0405727274968078</v>
      </c>
      <c r="AH87" s="61" t="n">
        <v>0.074029697235765</v>
      </c>
      <c r="AI87" s="61" t="n">
        <v>0.0890959165948618</v>
      </c>
      <c r="AJ87" s="61" t="n">
        <v>0.0837420339119479</v>
      </c>
      <c r="AK87" s="61" t="n">
        <v>0.0633158782672386</v>
      </c>
    </row>
    <row r="88" customFormat="false" ht="15" hidden="false" customHeight="true" outlineLevel="0" collapsed="false">
      <c r="A88" s="59" t="n">
        <v>-2.0625</v>
      </c>
      <c r="B88" s="60" t="n">
        <v>0.0195800787783775</v>
      </c>
      <c r="C88" s="61" t="n">
        <v>0.600427205985276</v>
      </c>
      <c r="D88" s="61" t="n">
        <v>0.588101902104187</v>
      </c>
      <c r="E88" s="61" t="n">
        <v>0.323456046157303</v>
      </c>
      <c r="F88" s="10" t="s">
        <v>1070</v>
      </c>
      <c r="G88" s="55" t="n">
        <v>1025.25059851833</v>
      </c>
      <c r="H88" s="62" t="n">
        <v>17</v>
      </c>
      <c r="I88" s="62" t="n">
        <v>6</v>
      </c>
      <c r="J88" s="62" t="n">
        <v>8</v>
      </c>
      <c r="K88" s="55" t="n">
        <v>727.514355348363</v>
      </c>
      <c r="L88" s="55" t="n">
        <v>1774.23252612377</v>
      </c>
      <c r="M88" s="10" t="s">
        <v>1069</v>
      </c>
      <c r="N88" s="61" t="n">
        <v>0.0843998827062752</v>
      </c>
      <c r="O88" s="61" t="n">
        <v>0.0385561706233346</v>
      </c>
      <c r="P88" s="61" t="n">
        <v>0.0675490153660985</v>
      </c>
      <c r="Q88" s="61" t="n">
        <v>0.0247030932060912</v>
      </c>
      <c r="R88" s="61" t="n">
        <v>0.0470328162770051</v>
      </c>
      <c r="S88" s="61" t="n">
        <v>0.0564817462799969</v>
      </c>
      <c r="T88" s="61" t="n">
        <v>0.0250075247057195</v>
      </c>
      <c r="U88" s="61" t="n">
        <v>0.0604884236619646</v>
      </c>
      <c r="V88" s="61" t="n">
        <v>0.0309847903455357</v>
      </c>
      <c r="W88" s="61" t="n">
        <v>-0.0526783363249676</v>
      </c>
      <c r="X88" s="61" t="n">
        <v>0.0706136575985975</v>
      </c>
      <c r="Y88" s="61" t="n">
        <v>0.0764256675489327</v>
      </c>
      <c r="Z88" s="61" t="n">
        <v>0.0574982197220675</v>
      </c>
      <c r="AA88" s="61" t="n">
        <v>0.032224503113027</v>
      </c>
      <c r="AB88" s="61" t="n">
        <v>0.100319983661519</v>
      </c>
      <c r="AC88" s="61" t="n">
        <v>0.0229454381529727</v>
      </c>
      <c r="AD88" s="61" t="n">
        <v>0.0642355727086236</v>
      </c>
      <c r="AE88" s="61" t="n">
        <v>0.0747597750742019</v>
      </c>
      <c r="AF88" s="61" t="n">
        <v>0.102099277233403</v>
      </c>
      <c r="AG88" s="61" t="n">
        <v>0.038617598978837</v>
      </c>
      <c r="AH88" s="61" t="n">
        <v>0.0729055456262285</v>
      </c>
      <c r="AI88" s="61" t="n">
        <v>0.0880782568727433</v>
      </c>
      <c r="AJ88" s="61" t="n">
        <v>0.0823936584817008</v>
      </c>
      <c r="AK88" s="61" t="n">
        <v>0.06281225257129</v>
      </c>
    </row>
    <row r="89" customFormat="false" ht="15" hidden="false" customHeight="true" outlineLevel="0" collapsed="false">
      <c r="A89" s="59" t="n">
        <v>-2.125</v>
      </c>
      <c r="B89" s="60" t="n">
        <v>0.0167933064484488</v>
      </c>
      <c r="C89" s="61" t="n">
        <v>0.611596388738452</v>
      </c>
      <c r="D89" s="61" t="n">
        <v>0.578687204551507</v>
      </c>
      <c r="E89" s="61" t="n">
        <v>0.318277962503329</v>
      </c>
      <c r="F89" s="10" t="s">
        <v>1070</v>
      </c>
      <c r="G89" s="55" t="n">
        <v>1050.01956289502</v>
      </c>
      <c r="H89" s="62" t="n">
        <v>17</v>
      </c>
      <c r="I89" s="62" t="n">
        <v>6</v>
      </c>
      <c r="J89" s="62" t="n">
        <v>8</v>
      </c>
      <c r="K89" s="55" t="n">
        <v>754.661282051992</v>
      </c>
      <c r="L89" s="55" t="n">
        <v>1790.84154975879</v>
      </c>
      <c r="M89" s="10" t="s">
        <v>1069</v>
      </c>
      <c r="N89" s="61" t="n">
        <v>0.083077409695952</v>
      </c>
      <c r="O89" s="61" t="n">
        <v>0.037536670476468</v>
      </c>
      <c r="P89" s="61" t="n">
        <v>0.0659623843923176</v>
      </c>
      <c r="Q89" s="61" t="n">
        <v>0.0229709464149868</v>
      </c>
      <c r="R89" s="61" t="n">
        <v>0.0451429959351554</v>
      </c>
      <c r="S89" s="61" t="n">
        <v>0.0542272210186546</v>
      </c>
      <c r="T89" s="61" t="n">
        <v>0.0230909621096028</v>
      </c>
      <c r="U89" s="61" t="n">
        <v>0.0594348420417591</v>
      </c>
      <c r="V89" s="61" t="n">
        <v>0.0290626591834239</v>
      </c>
      <c r="W89" s="61" t="n">
        <v>-0.0564935375600105</v>
      </c>
      <c r="X89" s="61" t="n">
        <v>0.0697274877139158</v>
      </c>
      <c r="Y89" s="61" t="n">
        <v>0.0755659769982236</v>
      </c>
      <c r="Z89" s="61" t="n">
        <v>0.0561667972299078</v>
      </c>
      <c r="AA89" s="61" t="n">
        <v>0.0290459773963772</v>
      </c>
      <c r="AB89" s="61" t="n">
        <v>0.0992053831616754</v>
      </c>
      <c r="AC89" s="61" t="n">
        <v>0.0198881472897699</v>
      </c>
      <c r="AD89" s="61" t="n">
        <v>0.0627846878989555</v>
      </c>
      <c r="AE89" s="61" t="n">
        <v>0.0735051193105821</v>
      </c>
      <c r="AF89" s="61" t="n">
        <v>0.101257932350759</v>
      </c>
      <c r="AG89" s="61" t="n">
        <v>0.0366730467120685</v>
      </c>
      <c r="AH89" s="61" t="n">
        <v>0.0717917755865601</v>
      </c>
      <c r="AI89" s="61" t="n">
        <v>0.0870718163042415</v>
      </c>
      <c r="AJ89" s="61" t="n">
        <v>0.0810392618246657</v>
      </c>
      <c r="AK89" s="61" t="n">
        <v>0.0623276133000584</v>
      </c>
    </row>
    <row r="90" customFormat="false" ht="15" hidden="false" customHeight="true" outlineLevel="0" collapsed="false">
      <c r="A90" s="59" t="n">
        <v>-2.1875</v>
      </c>
      <c r="B90" s="60" t="n">
        <v>0.0143530216088017</v>
      </c>
      <c r="C90" s="61" t="n">
        <v>0.622680908704031</v>
      </c>
      <c r="D90" s="61" t="n">
        <v>0.569273800278022</v>
      </c>
      <c r="E90" s="61" t="n">
        <v>0.313100590152912</v>
      </c>
      <c r="F90" s="10" t="s">
        <v>1070</v>
      </c>
      <c r="G90" s="55" t="n">
        <v>1083.51034621328</v>
      </c>
      <c r="H90" s="62" t="n">
        <v>17</v>
      </c>
      <c r="I90" s="62" t="n">
        <v>7</v>
      </c>
      <c r="J90" s="62" t="n">
        <v>9</v>
      </c>
      <c r="K90" s="55" t="n">
        <v>790.312609929499</v>
      </c>
      <c r="L90" s="55" t="n">
        <v>1836.5033377323</v>
      </c>
      <c r="M90" s="10" t="s">
        <v>1069</v>
      </c>
      <c r="N90" s="61" t="n">
        <v>0.0813337707809423</v>
      </c>
      <c r="O90" s="61" t="n">
        <v>0.0362477002789197</v>
      </c>
      <c r="P90" s="61" t="n">
        <v>0.063896301705161</v>
      </c>
      <c r="Q90" s="61" t="n">
        <v>0.0209259082197201</v>
      </c>
      <c r="R90" s="61" t="n">
        <v>0.043122587349284</v>
      </c>
      <c r="S90" s="61" t="n">
        <v>0.0511138152816447</v>
      </c>
      <c r="T90" s="61" t="n">
        <v>0.0211315443778522</v>
      </c>
      <c r="U90" s="61" t="n">
        <v>0.0583299982790926</v>
      </c>
      <c r="V90" s="61" t="n">
        <v>0.0270879271116577</v>
      </c>
      <c r="W90" s="61" t="n">
        <v>-0.06140394682291</v>
      </c>
      <c r="X90" s="61" t="n">
        <v>0.0680799093845342</v>
      </c>
      <c r="Y90" s="61" t="n">
        <v>0.0746570248751962</v>
      </c>
      <c r="Z90" s="61" t="n">
        <v>0.0547831060059041</v>
      </c>
      <c r="AA90" s="61" t="n">
        <v>0.0247951624550731</v>
      </c>
      <c r="AB90" s="61" t="n">
        <v>0.0974217299732138</v>
      </c>
      <c r="AC90" s="61" t="n">
        <v>0.0161224910526884</v>
      </c>
      <c r="AD90" s="61" t="n">
        <v>0.0605468068657819</v>
      </c>
      <c r="AE90" s="61" t="n">
        <v>0.0712417484928662</v>
      </c>
      <c r="AF90" s="61" t="n">
        <v>0.0993477401690855</v>
      </c>
      <c r="AG90" s="61" t="n">
        <v>0.0340750228762944</v>
      </c>
      <c r="AH90" s="61" t="n">
        <v>0.0697682739665239</v>
      </c>
      <c r="AI90" s="61" t="n">
        <v>0.0856844618127687</v>
      </c>
      <c r="AJ90" s="61" t="n">
        <v>0.0792541810107666</v>
      </c>
      <c r="AK90" s="61" t="n">
        <v>0.0615947957200866</v>
      </c>
    </row>
    <row r="91" customFormat="false" ht="15" hidden="false" customHeight="true" outlineLevel="0" collapsed="false">
      <c r="A91" s="59" t="n">
        <v>-2.25</v>
      </c>
      <c r="B91" s="60" t="n">
        <v>0.0122244726550447</v>
      </c>
      <c r="C91" s="61" t="n">
        <v>0.633672074570843</v>
      </c>
      <c r="D91" s="61" t="n">
        <v>0.559866881423717</v>
      </c>
      <c r="E91" s="61" t="n">
        <v>0.307926784783044</v>
      </c>
      <c r="F91" s="10" t="s">
        <v>1070</v>
      </c>
      <c r="G91" s="55" t="n">
        <v>1108.58255166119</v>
      </c>
      <c r="H91" s="62" t="n">
        <v>17</v>
      </c>
      <c r="I91" s="62" t="n">
        <v>7</v>
      </c>
      <c r="J91" s="62" t="n">
        <v>9</v>
      </c>
      <c r="K91" s="55" t="n">
        <v>817.735889583786</v>
      </c>
      <c r="L91" s="55" t="n">
        <v>1854.3030410888</v>
      </c>
      <c r="M91" s="10" t="s">
        <v>1069</v>
      </c>
      <c r="N91" s="61" t="n">
        <v>0.0800192772872413</v>
      </c>
      <c r="O91" s="61" t="n">
        <v>0.0352516120758385</v>
      </c>
      <c r="P91" s="61" t="n">
        <v>0.0623142656870548</v>
      </c>
      <c r="Q91" s="61" t="n">
        <v>0.0192090195320404</v>
      </c>
      <c r="R91" s="61" t="n">
        <v>0.0412380282937154</v>
      </c>
      <c r="S91" s="61" t="n">
        <v>0.0488456787794466</v>
      </c>
      <c r="T91" s="61" t="n">
        <v>0.0192449395176694</v>
      </c>
      <c r="U91" s="61" t="n">
        <v>0.0572932794051818</v>
      </c>
      <c r="V91" s="61" t="n">
        <v>0.0251745147815889</v>
      </c>
      <c r="W91" s="61" t="n">
        <v>-0.0651407803639674</v>
      </c>
      <c r="X91" s="61" t="n">
        <v>0.0669264200092712</v>
      </c>
      <c r="Y91" s="61" t="n">
        <v>0.0738032470586603</v>
      </c>
      <c r="Z91" s="61" t="n">
        <v>0.0534652875157978</v>
      </c>
      <c r="AA91" s="61" t="n">
        <v>0.0215742387935553</v>
      </c>
      <c r="AB91" s="61" t="n">
        <v>0.0962299687933802</v>
      </c>
      <c r="AC91" s="61" t="n">
        <v>0.0130796245359827</v>
      </c>
      <c r="AD91" s="61" t="n">
        <v>0.0590930948021018</v>
      </c>
      <c r="AE91" s="61" t="n">
        <v>0.0699841283516046</v>
      </c>
      <c r="AF91" s="61" t="n">
        <v>0.0984232341888499</v>
      </c>
      <c r="AG91" s="61" t="n">
        <v>0.032136697370138</v>
      </c>
      <c r="AH91" s="61" t="n">
        <v>0.0686215911668587</v>
      </c>
      <c r="AI91" s="61" t="n">
        <v>0.0846360202895181</v>
      </c>
      <c r="AJ91" s="61" t="n">
        <v>0.0778994235348427</v>
      </c>
      <c r="AK91" s="61" t="n">
        <v>0.0611123707234005</v>
      </c>
    </row>
    <row r="92" customFormat="false" ht="15" hidden="false" customHeight="true" outlineLevel="0" collapsed="false">
      <c r="A92" s="59" t="n">
        <v>-2.3125</v>
      </c>
      <c r="B92" s="60" t="n">
        <v>0.010375072658058</v>
      </c>
      <c r="C92" s="61" t="n">
        <v>0.644561405862307</v>
      </c>
      <c r="D92" s="61" t="n">
        <v>0.550471487160215</v>
      </c>
      <c r="E92" s="61" t="n">
        <v>0.302759317938118</v>
      </c>
      <c r="F92" s="10" t="s">
        <v>1070</v>
      </c>
      <c r="G92" s="55" t="n">
        <v>1133.42024266863</v>
      </c>
      <c r="H92" s="62" t="n">
        <v>17</v>
      </c>
      <c r="I92" s="62" t="n">
        <v>7</v>
      </c>
      <c r="J92" s="62" t="n">
        <v>9</v>
      </c>
      <c r="K92" s="55" t="n">
        <v>844.942853957002</v>
      </c>
      <c r="L92" s="55" t="n">
        <v>1867.2427382302</v>
      </c>
      <c r="M92" s="10" t="s">
        <v>1069</v>
      </c>
      <c r="N92" s="61" t="n">
        <v>0.0787156515324601</v>
      </c>
      <c r="O92" s="61" t="n">
        <v>0.0342685867811135</v>
      </c>
      <c r="P92" s="61" t="n">
        <v>0.0607479073747371</v>
      </c>
      <c r="Q92" s="61" t="n">
        <v>0.0175091469832411</v>
      </c>
      <c r="R92" s="61" t="n">
        <v>0.0393593721384412</v>
      </c>
      <c r="S92" s="61" t="n">
        <v>0.0465848754707805</v>
      </c>
      <c r="T92" s="61" t="n">
        <v>0.0173735298126232</v>
      </c>
      <c r="U92" s="61" t="n">
        <v>0.0562633599049815</v>
      </c>
      <c r="V92" s="61" t="n">
        <v>0.02326995948724</v>
      </c>
      <c r="W92" s="61" t="n">
        <v>-0.0688389477733167</v>
      </c>
      <c r="X92" s="61" t="n">
        <v>0.0660384475758351</v>
      </c>
      <c r="Y92" s="61" t="n">
        <v>0.0729530887449882</v>
      </c>
      <c r="Z92" s="61" t="n">
        <v>0.052154937233237</v>
      </c>
      <c r="AA92" s="61" t="n">
        <v>0.0183290956939235</v>
      </c>
      <c r="AB92" s="61" t="n">
        <v>0.0950972448247449</v>
      </c>
      <c r="AC92" s="61" t="n">
        <v>0.0100438164387449</v>
      </c>
      <c r="AD92" s="61" t="n">
        <v>0.0576457508733966</v>
      </c>
      <c r="AE92" s="61" t="n">
        <v>0.0687370953972461</v>
      </c>
      <c r="AF92" s="61" t="n">
        <v>0.0975570673819793</v>
      </c>
      <c r="AG92" s="61" t="n">
        <v>0.0302230708958631</v>
      </c>
      <c r="AH92" s="61" t="n">
        <v>0.0674963129951117</v>
      </c>
      <c r="AI92" s="61" t="n">
        <v>0.0836246877550661</v>
      </c>
      <c r="AJ92" s="61" t="n">
        <v>0.0765424933201012</v>
      </c>
      <c r="AK92" s="61" t="n">
        <v>0.0606328448336837</v>
      </c>
    </row>
    <row r="93" customFormat="false" ht="15" hidden="false" customHeight="true" outlineLevel="0" collapsed="false">
      <c r="A93" s="59" t="n">
        <v>-2.375</v>
      </c>
      <c r="B93" s="60" t="n">
        <v>0.00877447509573836</v>
      </c>
      <c r="C93" s="61" t="n">
        <v>0.65534065322097</v>
      </c>
      <c r="D93" s="61" t="n">
        <v>0.541092500575977</v>
      </c>
      <c r="E93" s="61" t="n">
        <v>0.297600875316787</v>
      </c>
      <c r="F93" s="10" t="s">
        <v>1070</v>
      </c>
      <c r="G93" s="55" t="n">
        <v>1164.90864898612</v>
      </c>
      <c r="H93" s="62" t="n">
        <v>17</v>
      </c>
      <c r="I93" s="62" t="n">
        <v>8</v>
      </c>
      <c r="J93" s="62" t="n">
        <v>10</v>
      </c>
      <c r="K93" s="55" t="n">
        <v>878.667590189265</v>
      </c>
      <c r="L93" s="55" t="n">
        <v>1878.35185305112</v>
      </c>
      <c r="M93" s="10" t="s">
        <v>1069</v>
      </c>
      <c r="N93" s="61" t="n">
        <v>0.0769847074145081</v>
      </c>
      <c r="O93" s="61" t="n">
        <v>0.0330986573025672</v>
      </c>
      <c r="P93" s="61" t="n">
        <v>0.0589154345514511</v>
      </c>
      <c r="Q93" s="61" t="n">
        <v>0.0155924982715443</v>
      </c>
      <c r="R93" s="61" t="n">
        <v>0.0369549757784546</v>
      </c>
      <c r="S93" s="61" t="n">
        <v>0.043450824548638</v>
      </c>
      <c r="T93" s="61" t="n">
        <v>0.0154793259627453</v>
      </c>
      <c r="U93" s="61" t="n">
        <v>0.055196701333035</v>
      </c>
      <c r="V93" s="61" t="n">
        <v>0.0213336058202315</v>
      </c>
      <c r="W93" s="61" t="n">
        <v>-0.0733145108452683</v>
      </c>
      <c r="X93" s="61" t="n">
        <v>0.0645890001117315</v>
      </c>
      <c r="Y93" s="61" t="n">
        <v>0.0720665730172678</v>
      </c>
      <c r="Z93" s="61" t="n">
        <v>0.0508111152166043</v>
      </c>
      <c r="AA93" s="61" t="n">
        <v>0.0144886647743321</v>
      </c>
      <c r="AB93" s="61" t="n">
        <v>0.0935780520481742</v>
      </c>
      <c r="AC93" s="61" t="n">
        <v>0.00664676664902247</v>
      </c>
      <c r="AD93" s="61" t="n">
        <v>0.0556570296793013</v>
      </c>
      <c r="AE93" s="61" t="n">
        <v>0.0667898168348635</v>
      </c>
      <c r="AF93" s="61" t="n">
        <v>0.095973629283367</v>
      </c>
      <c r="AG93" s="61" t="n">
        <v>0.0278462724981327</v>
      </c>
      <c r="AH93" s="61" t="n">
        <v>0.0657228179751314</v>
      </c>
      <c r="AI93" s="61" t="n">
        <v>0.0823857977623127</v>
      </c>
      <c r="AJ93" s="61" t="n">
        <v>0.0749150611889268</v>
      </c>
      <c r="AK93" s="61" t="n">
        <v>0.0600222126247887</v>
      </c>
    </row>
    <row r="94" customFormat="false" ht="15" hidden="false" customHeight="true" outlineLevel="0" collapsed="false">
      <c r="A94" s="59" t="n">
        <v>-2.4375</v>
      </c>
      <c r="B94" s="60" t="n">
        <v>0.00739460711088069</v>
      </c>
      <c r="C94" s="61" t="n">
        <v>0.666001817822876</v>
      </c>
      <c r="D94" s="61" t="n">
        <v>0.531734646017446</v>
      </c>
      <c r="E94" s="61" t="n">
        <v>0.292454055309595</v>
      </c>
      <c r="F94" s="10" t="s">
        <v>1070</v>
      </c>
      <c r="G94" s="55" t="n">
        <v>1189.84462568891</v>
      </c>
      <c r="H94" s="62" t="n">
        <v>17</v>
      </c>
      <c r="I94" s="62" t="n">
        <v>8</v>
      </c>
      <c r="J94" s="62" t="n">
        <v>10</v>
      </c>
      <c r="K94" s="55" t="n">
        <v>905.977342474511</v>
      </c>
      <c r="L94" s="55" t="n">
        <v>1889.7202978334</v>
      </c>
      <c r="M94" s="10" t="s">
        <v>1069</v>
      </c>
      <c r="N94" s="61" t="n">
        <v>0.0756879432803496</v>
      </c>
      <c r="O94" s="61" t="n">
        <v>0.0321366234439098</v>
      </c>
      <c r="P94" s="61" t="n">
        <v>0.0573611393983354</v>
      </c>
      <c r="Q94" s="61" t="n">
        <v>0.0139136481793693</v>
      </c>
      <c r="R94" s="61" t="n">
        <v>0.0350689156155461</v>
      </c>
      <c r="S94" s="61" t="n">
        <v>0.0411959250861868</v>
      </c>
      <c r="T94" s="61" t="n">
        <v>0.0136379446792954</v>
      </c>
      <c r="U94" s="61" t="n">
        <v>0.0541794268192393</v>
      </c>
      <c r="V94" s="61" t="n">
        <v>0.0194436046927961</v>
      </c>
      <c r="W94" s="61" t="n">
        <v>-0.0769528692335686</v>
      </c>
      <c r="X94" s="61" t="n">
        <v>0.0636876633219001</v>
      </c>
      <c r="Y94" s="61" t="n">
        <v>0.0712229431186498</v>
      </c>
      <c r="Z94" s="61" t="n">
        <v>0.0495150825073481</v>
      </c>
      <c r="AA94" s="61" t="n">
        <v>0.0111752762921219</v>
      </c>
      <c r="AB94" s="61" t="n">
        <v>0.092463063590541</v>
      </c>
      <c r="AC94" s="61" t="n">
        <v>0.00361080614757726</v>
      </c>
      <c r="AD94" s="61" t="n">
        <v>0.0542080105699405</v>
      </c>
      <c r="AE94" s="61" t="n">
        <v>0.0655445181249332</v>
      </c>
      <c r="AF94" s="61" t="n">
        <v>0.0951205478462344</v>
      </c>
      <c r="AG94" s="61" t="n">
        <v>0.0259445011514394</v>
      </c>
      <c r="AH94" s="61" t="n">
        <v>0.0645737152923739</v>
      </c>
      <c r="AI94" s="61" t="n">
        <v>0.0813900380428161</v>
      </c>
      <c r="AJ94" s="61" t="n">
        <v>0.0735040585348539</v>
      </c>
      <c r="AK94" s="61" t="n">
        <v>0.0595407468316054</v>
      </c>
    </row>
    <row r="95" customFormat="false" ht="15" hidden="false" customHeight="true" outlineLevel="0" collapsed="false">
      <c r="A95" s="59" t="n">
        <v>-2.5</v>
      </c>
      <c r="B95" s="60" t="n">
        <v>0.00620966532577613</v>
      </c>
      <c r="C95" s="61" t="n">
        <v>0.676537169841728</v>
      </c>
      <c r="D95" s="61" t="n">
        <v>0.522402486969454</v>
      </c>
      <c r="E95" s="61" t="n">
        <v>0.2873213678332</v>
      </c>
      <c r="F95" s="10" t="s">
        <v>1070</v>
      </c>
      <c r="G95" s="55" t="n">
        <v>1214.74496180391</v>
      </c>
      <c r="H95" s="62" t="n">
        <v>18</v>
      </c>
      <c r="I95" s="62" t="n">
        <v>8</v>
      </c>
      <c r="J95" s="62" t="n">
        <v>10</v>
      </c>
      <c r="K95" s="55" t="n">
        <v>933.741986298335</v>
      </c>
      <c r="L95" s="55" t="n">
        <v>1901.3533315067</v>
      </c>
      <c r="M95" s="10" t="s">
        <v>1069</v>
      </c>
      <c r="N95" s="61" t="n">
        <v>0.0743965762253702</v>
      </c>
      <c r="O95" s="61" t="n">
        <v>0.0311870037180874</v>
      </c>
      <c r="P95" s="61" t="n">
        <v>0.0558140755499187</v>
      </c>
      <c r="Q95" s="61" t="n">
        <v>0.0122467993531509</v>
      </c>
      <c r="R95" s="61" t="n">
        <v>0.0331844789885132</v>
      </c>
      <c r="S95" s="61" t="n">
        <v>0.0389434136089417</v>
      </c>
      <c r="T95" s="61" t="n">
        <v>0.0118120943523622</v>
      </c>
      <c r="U95" s="61" t="n">
        <v>0.0531688804219596</v>
      </c>
      <c r="V95" s="61" t="n">
        <v>0.0175612884095917</v>
      </c>
      <c r="W95" s="61" t="n">
        <v>-0.0805532331594257</v>
      </c>
      <c r="X95" s="61" t="n">
        <v>0.0627833151506868</v>
      </c>
      <c r="Y95" s="61" t="n">
        <v>0.0703830304828003</v>
      </c>
      <c r="Z95" s="61" t="n">
        <v>0.048226781119883</v>
      </c>
      <c r="AA95" s="61" t="n">
        <v>0.00783317507249036</v>
      </c>
      <c r="AB95" s="61" t="n">
        <v>0.0913489112467176</v>
      </c>
      <c r="AC95" s="61" t="n">
        <v>0.00057873827550896</v>
      </c>
      <c r="AD95" s="61" t="n">
        <v>0.0527637618148076</v>
      </c>
      <c r="AE95" s="61" t="n">
        <v>0.0643073617514224</v>
      </c>
      <c r="AF95" s="61" t="n">
        <v>0.0942700791138397</v>
      </c>
      <c r="AG95" s="61" t="n">
        <v>0.024049995782827</v>
      </c>
      <c r="AH95" s="61" t="n">
        <v>0.0634532754508482</v>
      </c>
      <c r="AI95" s="61" t="n">
        <v>0.0803763528669269</v>
      </c>
      <c r="AJ95" s="61" t="n">
        <v>0.0721355212601836</v>
      </c>
      <c r="AK95" s="61" t="n">
        <v>0.0590595201588553</v>
      </c>
    </row>
    <row r="96" customFormat="false" ht="15" hidden="false" customHeight="true" outlineLevel="0" collapsed="false">
      <c r="A96" s="59" t="n">
        <v>-2.5625</v>
      </c>
      <c r="B96" s="60" t="n">
        <v>0.00519607938209116</v>
      </c>
      <c r="C96" s="61" t="n">
        <v>0.686939265887919</v>
      </c>
      <c r="D96" s="61" t="n">
        <v>0.517397377726166</v>
      </c>
      <c r="E96" s="61" t="n">
        <v>0.284568557749391</v>
      </c>
      <c r="F96" s="10" t="s">
        <v>1070</v>
      </c>
      <c r="G96" s="55" t="n">
        <v>1235.7341834625</v>
      </c>
      <c r="H96" s="62" t="n">
        <v>18</v>
      </c>
      <c r="I96" s="62" t="n">
        <v>8</v>
      </c>
      <c r="J96" s="62" t="n">
        <v>10</v>
      </c>
      <c r="K96" s="55" t="n">
        <v>957.734609335906</v>
      </c>
      <c r="L96" s="55" t="n">
        <v>1911.03391433037</v>
      </c>
      <c r="M96" s="10" t="s">
        <v>1069</v>
      </c>
      <c r="N96" s="61" t="n">
        <v>0.073273412312998</v>
      </c>
      <c r="O96" s="61" t="n">
        <v>0.0304499160960686</v>
      </c>
      <c r="P96" s="61" t="n">
        <v>0.0545289548237826</v>
      </c>
      <c r="Q96" s="61" t="n">
        <v>0.0109364444489995</v>
      </c>
      <c r="R96" s="61" t="n">
        <v>0.0315334725757335</v>
      </c>
      <c r="S96" s="61" t="n">
        <v>0.0369471030242541</v>
      </c>
      <c r="T96" s="61" t="n">
        <v>0.0104329803618442</v>
      </c>
      <c r="U96" s="61" t="n">
        <v>0.0523659630573592</v>
      </c>
      <c r="V96" s="61" t="n">
        <v>0.0161105853483176</v>
      </c>
      <c r="W96" s="61" t="n">
        <v>-0.0831734733766905</v>
      </c>
      <c r="X96" s="61" t="n">
        <v>0.0619087021147471</v>
      </c>
      <c r="Y96" s="61" t="n">
        <v>0.069550812993886</v>
      </c>
      <c r="Z96" s="61" t="n">
        <v>0.0471917135896349</v>
      </c>
      <c r="AA96" s="61" t="n">
        <v>0.00479349466046633</v>
      </c>
      <c r="AB96" s="61" t="n">
        <v>0.0903636738523275</v>
      </c>
      <c r="AC96" s="61" t="n">
        <v>-0.00198390496852117</v>
      </c>
      <c r="AD96" s="61" t="n">
        <v>0.0514982885990757</v>
      </c>
      <c r="AE96" s="61" t="n">
        <v>0.0632449408930788</v>
      </c>
      <c r="AF96" s="61" t="n">
        <v>0.0934264759086987</v>
      </c>
      <c r="AG96" s="61" t="n">
        <v>0.0223980878158309</v>
      </c>
      <c r="AH96" s="61" t="n">
        <v>0.0624359143446512</v>
      </c>
      <c r="AI96" s="61" t="n">
        <v>0.079495939968134</v>
      </c>
      <c r="AJ96" s="61" t="n">
        <v>0.0709277086229066</v>
      </c>
      <c r="AK96" s="61" t="n">
        <v>0.0585791797950328</v>
      </c>
    </row>
    <row r="97" customFormat="false" ht="15" hidden="false" customHeight="true" outlineLevel="0" collapsed="false">
      <c r="A97" s="59" t="n">
        <v>-2.625</v>
      </c>
      <c r="B97" s="60" t="n">
        <v>0.00433244836301256</v>
      </c>
      <c r="C97" s="61" t="n">
        <v>0.697200965353009</v>
      </c>
      <c r="D97" s="61" t="n">
        <v>0.512472326440358</v>
      </c>
      <c r="E97" s="61" t="n">
        <v>0.281859779542197</v>
      </c>
      <c r="F97" s="10" t="s">
        <v>1070</v>
      </c>
      <c r="G97" s="55" t="n">
        <v>1254.2617157058</v>
      </c>
      <c r="H97" s="62" t="n">
        <v>18</v>
      </c>
      <c r="I97" s="62" t="n">
        <v>8</v>
      </c>
      <c r="J97" s="62" t="n">
        <v>10</v>
      </c>
      <c r="K97" s="55" t="n">
        <v>979.341553442355</v>
      </c>
      <c r="L97" s="55" t="n">
        <v>1920.69952741014</v>
      </c>
      <c r="M97" s="10" t="s">
        <v>1069</v>
      </c>
      <c r="N97" s="61" t="n">
        <v>0.0722473665008739</v>
      </c>
      <c r="O97" s="61" t="n">
        <v>0.0298382347245866</v>
      </c>
      <c r="P97" s="61" t="n">
        <v>0.0534114874575693</v>
      </c>
      <c r="Q97" s="61" t="n">
        <v>0.00984031705184233</v>
      </c>
      <c r="R97" s="61" t="n">
        <v>0.0300154083702172</v>
      </c>
      <c r="S97" s="61" t="n">
        <v>0.0350942234435746</v>
      </c>
      <c r="T97" s="61" t="n">
        <v>0.00932204032538921</v>
      </c>
      <c r="U97" s="61" t="n">
        <v>0.0516680372390002</v>
      </c>
      <c r="V97" s="61" t="n">
        <v>0.0149080159228399</v>
      </c>
      <c r="W97" s="61" t="n">
        <v>-0.0852366732008565</v>
      </c>
      <c r="X97" s="61" t="n">
        <v>0.0610409687573571</v>
      </c>
      <c r="Y97" s="61" t="n">
        <v>0.0688718987519826</v>
      </c>
      <c r="Z97" s="61" t="n">
        <v>0.0460792351776823</v>
      </c>
      <c r="AA97" s="61" t="n">
        <v>0.00212880498622216</v>
      </c>
      <c r="AB97" s="61" t="n">
        <v>0.0894829501034488</v>
      </c>
      <c r="AC97" s="61" t="n">
        <v>-0.00416540301736599</v>
      </c>
      <c r="AD97" s="61" t="n">
        <v>0.0503585798874341</v>
      </c>
      <c r="AE97" s="61" t="n">
        <v>0.0622775191552939</v>
      </c>
      <c r="AF97" s="61" t="n">
        <v>0.0925862474499645</v>
      </c>
      <c r="AG97" s="61" t="n">
        <v>0.0208824888618417</v>
      </c>
      <c r="AH97" s="61" t="n">
        <v>0.0614686916338065</v>
      </c>
      <c r="AI97" s="61" t="n">
        <v>0.0786736657594333</v>
      </c>
      <c r="AJ97" s="61" t="n">
        <v>0.069857747377541</v>
      </c>
      <c r="AK97" s="61" t="n">
        <v>0.0580991233552358</v>
      </c>
    </row>
    <row r="98" customFormat="false" ht="15" hidden="false" customHeight="true" outlineLevel="0" collapsed="false">
      <c r="A98" s="59" t="n">
        <v>-2.6875</v>
      </c>
      <c r="B98" s="60" t="n">
        <v>0.00359945511440997</v>
      </c>
      <c r="C98" s="61" t="n">
        <v>0.707315445596167</v>
      </c>
      <c r="D98" s="61" t="n">
        <v>0.507630112653107</v>
      </c>
      <c r="E98" s="61" t="n">
        <v>0.279196561959209</v>
      </c>
      <c r="F98" s="10" t="s">
        <v>1070</v>
      </c>
      <c r="G98" s="55" t="n">
        <v>1268.64968552923</v>
      </c>
      <c r="H98" s="62" t="n">
        <v>18</v>
      </c>
      <c r="I98" s="62" t="n">
        <v>8</v>
      </c>
      <c r="J98" s="62" t="n">
        <v>10</v>
      </c>
      <c r="K98" s="55" t="n">
        <v>996.808935128935</v>
      </c>
      <c r="L98" s="55" t="n">
        <v>1930.2107970985</v>
      </c>
      <c r="M98" s="10" t="s">
        <v>1069</v>
      </c>
      <c r="N98" s="61" t="n">
        <v>0.071368552030661</v>
      </c>
      <c r="O98" s="61" t="n">
        <v>0.0293886024097567</v>
      </c>
      <c r="P98" s="61" t="n">
        <v>0.0525972214334283</v>
      </c>
      <c r="Q98" s="61" t="n">
        <v>0.00911889538031807</v>
      </c>
      <c r="R98" s="61" t="n">
        <v>0.0287219932855939</v>
      </c>
      <c r="S98" s="61" t="n">
        <v>0.0335107618571962</v>
      </c>
      <c r="T98" s="61" t="n">
        <v>0.00866300223978249</v>
      </c>
      <c r="U98" s="61" t="n">
        <v>0.0511281670186941</v>
      </c>
      <c r="V98" s="61" t="n">
        <v>0.0142252783338059</v>
      </c>
      <c r="W98" s="61" t="n">
        <v>-0.0864222833896591</v>
      </c>
      <c r="X98" s="61" t="n">
        <v>0.0601534429064785</v>
      </c>
      <c r="Y98" s="61" t="n">
        <v>0.0679953207322886</v>
      </c>
      <c r="Z98" s="61" t="n">
        <v>0.0454088806874969</v>
      </c>
      <c r="AA98" s="61" t="n">
        <v>0.000102579863478423</v>
      </c>
      <c r="AB98" s="61" t="n">
        <v>0.0887600409944567</v>
      </c>
      <c r="AC98" s="61" t="n">
        <v>-0.00569010690314775</v>
      </c>
      <c r="AD98" s="61" t="n">
        <v>0.049433890847961</v>
      </c>
      <c r="AE98" s="61" t="n">
        <v>0.061465758445555</v>
      </c>
      <c r="AF98" s="61" t="n">
        <v>0.0917498881526006</v>
      </c>
      <c r="AG98" s="61" t="n">
        <v>0.0195893884048015</v>
      </c>
      <c r="AH98" s="61" t="n">
        <v>0.0605676273317698</v>
      </c>
      <c r="AI98" s="61" t="n">
        <v>0.0779248883706818</v>
      </c>
      <c r="AJ98" s="61" t="n">
        <v>0.0690056045546171</v>
      </c>
      <c r="AK98" s="61" t="n">
        <v>0.057619774917232</v>
      </c>
    </row>
    <row r="99" customFormat="false" ht="15" hidden="false" customHeight="true" outlineLevel="0" collapsed="false">
      <c r="A99" s="59" t="n">
        <v>-2.75</v>
      </c>
      <c r="B99" s="60" t="n">
        <v>0.00297976323505456</v>
      </c>
      <c r="C99" s="61" t="n">
        <v>0.717276215915438</v>
      </c>
      <c r="D99" s="61" t="n">
        <v>0.50287333940408</v>
      </c>
      <c r="E99" s="61" t="n">
        <v>0.276580336672244</v>
      </c>
      <c r="F99" s="10" t="s">
        <v>1070</v>
      </c>
      <c r="G99" s="55" t="n">
        <v>1283.39470351116</v>
      </c>
      <c r="H99" s="62" t="n">
        <v>18</v>
      </c>
      <c r="I99" s="62" t="n">
        <v>8</v>
      </c>
      <c r="J99" s="62" t="n">
        <v>11</v>
      </c>
      <c r="K99" s="55" t="n">
        <v>1014.63336497401</v>
      </c>
      <c r="L99" s="55" t="n">
        <v>1940.01360597223</v>
      </c>
      <c r="M99" s="10" t="s">
        <v>1069</v>
      </c>
      <c r="N99" s="61" t="n">
        <v>0.0704817537924271</v>
      </c>
      <c r="O99" s="61" t="n">
        <v>0.0288967398233159</v>
      </c>
      <c r="P99" s="61" t="n">
        <v>0.0518805988577909</v>
      </c>
      <c r="Q99" s="61" t="n">
        <v>0.00851819361465678</v>
      </c>
      <c r="R99" s="61" t="n">
        <v>0.0274391969550169</v>
      </c>
      <c r="S99" s="61" t="n">
        <v>0.0320011082485695</v>
      </c>
      <c r="T99" s="61" t="n">
        <v>0.00813709466245735</v>
      </c>
      <c r="U99" s="61" t="n">
        <v>0.0502685045380024</v>
      </c>
      <c r="V99" s="61" t="n">
        <v>0.0138624748082477</v>
      </c>
      <c r="W99" s="61" t="n">
        <v>-0.0875070169920459</v>
      </c>
      <c r="X99" s="61" t="n">
        <v>0.0591603574046978</v>
      </c>
      <c r="Y99" s="61" t="n">
        <v>0.066873561924205</v>
      </c>
      <c r="Z99" s="61" t="n">
        <v>0.0421644390889877</v>
      </c>
      <c r="AA99" s="61" t="n">
        <v>-0.00194530036325389</v>
      </c>
      <c r="AB99" s="61" t="n">
        <v>0.0880052752366262</v>
      </c>
      <c r="AC99" s="61" t="n">
        <v>-0.00710681620894377</v>
      </c>
      <c r="AD99" s="61" t="n">
        <v>0.0485285495958104</v>
      </c>
      <c r="AE99" s="61" t="n">
        <v>0.0606489129466123</v>
      </c>
      <c r="AF99" s="61" t="n">
        <v>0.0908676686309629</v>
      </c>
      <c r="AG99" s="61" t="n">
        <v>0.0183211079142267</v>
      </c>
      <c r="AH99" s="61" t="n">
        <v>0.0596183181088276</v>
      </c>
      <c r="AI99" s="61" t="n">
        <v>0.0771238376409647</v>
      </c>
      <c r="AJ99" s="61" t="n">
        <v>0.0681298048803549</v>
      </c>
      <c r="AK99" s="61" t="n">
        <v>0.057124651557037</v>
      </c>
    </row>
    <row r="100" customFormat="false" ht="15" hidden="false" customHeight="true" outlineLevel="0" collapsed="false">
      <c r="A100" s="59" t="n">
        <v>-2.8125</v>
      </c>
      <c r="B100" s="60" t="n">
        <v>0.00245790117519669</v>
      </c>
      <c r="C100" s="61" t="n">
        <v>0.727077130253315</v>
      </c>
      <c r="D100" s="61" t="n">
        <v>0.498204429298904</v>
      </c>
      <c r="E100" s="61" t="n">
        <v>0.274012436114397</v>
      </c>
      <c r="F100" s="10" t="s">
        <v>1070</v>
      </c>
      <c r="G100" s="55" t="n">
        <v>1296.81232407769</v>
      </c>
      <c r="H100" s="62" t="n">
        <v>18</v>
      </c>
      <c r="I100" s="62" t="n">
        <v>8</v>
      </c>
      <c r="J100" s="62" t="n">
        <v>11</v>
      </c>
      <c r="K100" s="55" t="n">
        <v>1031.13039740369</v>
      </c>
      <c r="L100" s="55" t="n">
        <v>1949.27220101305</v>
      </c>
      <c r="M100" s="10" t="s">
        <v>1069</v>
      </c>
      <c r="N100" s="61" t="n">
        <v>0.069623304044623</v>
      </c>
      <c r="O100" s="61" t="n">
        <v>0.0284257692472513</v>
      </c>
      <c r="P100" s="61" t="n">
        <v>0.0511927977316074</v>
      </c>
      <c r="Q100" s="61" t="n">
        <v>0.00794231441104938</v>
      </c>
      <c r="R100" s="61" t="n">
        <v>0.0262054463774714</v>
      </c>
      <c r="S100" s="61" t="n">
        <v>0.0305412095268811</v>
      </c>
      <c r="T100" s="61" t="n">
        <v>0.00762575222651385</v>
      </c>
      <c r="U100" s="61" t="n">
        <v>0.0498143745879725</v>
      </c>
      <c r="V100" s="61" t="n">
        <v>0.0135122002121679</v>
      </c>
      <c r="W100" s="61" t="n">
        <v>-0.0884983214490231</v>
      </c>
      <c r="X100" s="61" t="n">
        <v>0.0582069885706388</v>
      </c>
      <c r="Y100" s="61" t="n">
        <v>0.0657597068356966</v>
      </c>
      <c r="Z100" s="61" t="n">
        <v>0.0415551900500092</v>
      </c>
      <c r="AA100" s="61" t="n">
        <v>-0.00387751256569901</v>
      </c>
      <c r="AB100" s="61" t="n">
        <v>0.087291810516358</v>
      </c>
      <c r="AC100" s="61" t="n">
        <v>-0.00843784399426911</v>
      </c>
      <c r="AD100" s="61" t="n">
        <v>0.0476728785552286</v>
      </c>
      <c r="AE100" s="61" t="n">
        <v>0.0598869379687283</v>
      </c>
      <c r="AF100" s="61" t="n">
        <v>0.0900365206696554</v>
      </c>
      <c r="AG100" s="61" t="n">
        <v>0.0170899334520811</v>
      </c>
      <c r="AH100" s="61" t="n">
        <v>0.0587123385272703</v>
      </c>
      <c r="AI100" s="61" t="n">
        <v>0.0763602946660813</v>
      </c>
      <c r="AJ100" s="61" t="n">
        <v>0.0673031685831351</v>
      </c>
      <c r="AK100" s="61" t="n">
        <v>0.0566463987275922</v>
      </c>
    </row>
    <row r="101" customFormat="false" ht="15" hidden="false" customHeight="true" outlineLevel="0" collapsed="false">
      <c r="A101" s="59" t="n">
        <v>-2.875</v>
      </c>
      <c r="B101" s="60" t="n">
        <v>0.002020137489946</v>
      </c>
      <c r="C101" s="61" t="n">
        <v>0.736712398593023</v>
      </c>
      <c r="D101" s="61" t="n">
        <v>0.493625621229235</v>
      </c>
      <c r="E101" s="61" t="n">
        <v>0.271494091676079</v>
      </c>
      <c r="F101" s="10" t="s">
        <v>1070</v>
      </c>
      <c r="G101" s="55" t="n">
        <v>1310.20894021342</v>
      </c>
      <c r="H101" s="62" t="n">
        <v>18</v>
      </c>
      <c r="I101" s="62" t="n">
        <v>8</v>
      </c>
      <c r="J101" s="62" t="n">
        <v>11</v>
      </c>
      <c r="K101" s="55" t="n">
        <v>1047.60642540257</v>
      </c>
      <c r="L101" s="55" t="n">
        <v>1958.5452863211</v>
      </c>
      <c r="M101" s="10" t="s">
        <v>1069</v>
      </c>
      <c r="N101" s="61" t="n">
        <v>0.0687667679739725</v>
      </c>
      <c r="O101" s="61" t="n">
        <v>0.027960489479319</v>
      </c>
      <c r="P101" s="61" t="n">
        <v>0.0505113520680387</v>
      </c>
      <c r="Q101" s="61" t="n">
        <v>0.00737540323470232</v>
      </c>
      <c r="R101" s="61" t="n">
        <v>0.0249629254804713</v>
      </c>
      <c r="S101" s="61" t="n">
        <v>0.0290845376514239</v>
      </c>
      <c r="T101" s="61" t="n">
        <v>0.00712377417725641</v>
      </c>
      <c r="U101" s="61" t="n">
        <v>0.0493652912825876</v>
      </c>
      <c r="V101" s="61" t="n">
        <v>0.0131707764609987</v>
      </c>
      <c r="W101" s="61" t="n">
        <v>-0.0894671260231019</v>
      </c>
      <c r="X101" s="61" t="n">
        <v>0.0572565956130775</v>
      </c>
      <c r="Y101" s="61" t="n">
        <v>0.0646512115739191</v>
      </c>
      <c r="Z101" s="61" t="n">
        <v>0.0409521078797368</v>
      </c>
      <c r="AA101" s="61" t="n">
        <v>-0.00580552287503999</v>
      </c>
      <c r="AB101" s="61" t="n">
        <v>0.0865828322078326</v>
      </c>
      <c r="AC101" s="61" t="n">
        <v>-0.0097562298843264</v>
      </c>
      <c r="AD101" s="61" t="n">
        <v>0.0468226316276984</v>
      </c>
      <c r="AE101" s="61" t="n">
        <v>0.0591301241739706</v>
      </c>
      <c r="AF101" s="61" t="n">
        <v>0.0892082421060482</v>
      </c>
      <c r="AG101" s="61" t="n">
        <v>0.0158700016149597</v>
      </c>
      <c r="AH101" s="61" t="n">
        <v>0.0577973364693002</v>
      </c>
      <c r="AI101" s="61" t="n">
        <v>0.0755845021560548</v>
      </c>
      <c r="AJ101" s="61" t="n">
        <v>0.0664823150972221</v>
      </c>
      <c r="AK101" s="61" t="n">
        <v>0.0561691525062899</v>
      </c>
    </row>
    <row r="102" customFormat="false" ht="15" hidden="false" customHeight="true" outlineLevel="0" collapsed="false">
      <c r="A102" s="59" t="n">
        <v>-2.9375</v>
      </c>
      <c r="B102" s="60" t="n">
        <v>0.0016543508595475</v>
      </c>
      <c r="C102" s="61" t="n">
        <v>0.746176597009078</v>
      </c>
      <c r="D102" s="61" t="n">
        <v>0.489138967750046</v>
      </c>
      <c r="E102" s="61" t="n">
        <v>0.269026432262525</v>
      </c>
      <c r="F102" s="10" t="s">
        <v>1070</v>
      </c>
      <c r="G102" s="55" t="n">
        <v>1323.46855018575</v>
      </c>
      <c r="H102" s="62" t="n">
        <v>18</v>
      </c>
      <c r="I102" s="62" t="n">
        <v>8</v>
      </c>
      <c r="J102" s="62" t="n">
        <v>11</v>
      </c>
      <c r="K102" s="55" t="n">
        <v>1063.94544723804</v>
      </c>
      <c r="L102" s="55" t="n">
        <v>1967.81226476288</v>
      </c>
      <c r="M102" s="10" t="s">
        <v>1069</v>
      </c>
      <c r="N102" s="61" t="n">
        <v>0.0679353739891734</v>
      </c>
      <c r="O102" s="61" t="n">
        <v>0.0275113877043048</v>
      </c>
      <c r="P102" s="61" t="n">
        <v>0.0498688778591212</v>
      </c>
      <c r="Q102" s="61" t="n">
        <v>0.00683898187216216</v>
      </c>
      <c r="R102" s="61" t="n">
        <v>0.0236545177538858</v>
      </c>
      <c r="S102" s="61" t="n">
        <v>0.0276311794196137</v>
      </c>
      <c r="T102" s="61" t="n">
        <v>0.00663104061716396</v>
      </c>
      <c r="U102" s="61" t="n">
        <v>0.0489401241661256</v>
      </c>
      <c r="V102" s="61" t="n">
        <v>0.0128378106561033</v>
      </c>
      <c r="W102" s="61" t="n">
        <v>-0.0903511805576903</v>
      </c>
      <c r="X102" s="61" t="n">
        <v>0.0564112771513935</v>
      </c>
      <c r="Y102" s="61" t="n">
        <v>0.0635479804043137</v>
      </c>
      <c r="Z102" s="61" t="n">
        <v>0.0403554793886337</v>
      </c>
      <c r="AA102" s="61" t="n">
        <v>-0.00772950706407934</v>
      </c>
      <c r="AB102" s="61" t="n">
        <v>0.085850274445656</v>
      </c>
      <c r="AC102" s="61" t="n">
        <v>-0.0110622998515655</v>
      </c>
      <c r="AD102" s="61" t="n">
        <v>0.04597767208121</v>
      </c>
      <c r="AE102" s="61" t="n">
        <v>0.0583783168000973</v>
      </c>
      <c r="AF102" s="61" t="n">
        <v>0.0883828365611746</v>
      </c>
      <c r="AG102" s="61" t="n">
        <v>0.0147833442636503</v>
      </c>
      <c r="AH102" s="61" t="n">
        <v>0.0567991138772004</v>
      </c>
      <c r="AI102" s="61" t="n">
        <v>0.0747042927368747</v>
      </c>
      <c r="AJ102" s="61" t="n">
        <v>0.0656671466363116</v>
      </c>
      <c r="AK102" s="61" t="n">
        <v>0.0557091461094742</v>
      </c>
    </row>
    <row r="103" customFormat="false" ht="15" hidden="false" customHeight="true" outlineLevel="0" collapsed="false">
      <c r="A103" s="59" t="n">
        <v>-3</v>
      </c>
      <c r="B103" s="60" t="n">
        <v>0.00134989803163009</v>
      </c>
      <c r="C103" s="61" t="n">
        <v>0.75546467634301</v>
      </c>
      <c r="D103" s="61" t="n">
        <v>0.484746333115318</v>
      </c>
      <c r="E103" s="61" t="n">
        <v>0.266610483213425</v>
      </c>
      <c r="F103" s="10" t="s">
        <v>1070</v>
      </c>
      <c r="G103" s="55" t="n">
        <v>1336.69257226057</v>
      </c>
      <c r="H103" s="62" t="n">
        <v>18</v>
      </c>
      <c r="I103" s="62" t="n">
        <v>8</v>
      </c>
      <c r="J103" s="62" t="n">
        <v>11</v>
      </c>
      <c r="K103" s="55" t="n">
        <v>1080.24888117601</v>
      </c>
      <c r="L103" s="55" t="n">
        <v>1977.07141363919</v>
      </c>
      <c r="M103" s="10" t="s">
        <v>1069</v>
      </c>
      <c r="N103" s="61" t="n">
        <v>0.0671043680982848</v>
      </c>
      <c r="O103" s="61" t="n">
        <v>0.0270672177496504</v>
      </c>
      <c r="P103" s="61" t="n">
        <v>0.0492309504890457</v>
      </c>
      <c r="Q103" s="61" t="n">
        <v>0.00630990796289023</v>
      </c>
      <c r="R103" s="61" t="n">
        <v>0.0223390119182711</v>
      </c>
      <c r="S103" s="61" t="n">
        <v>0.0261812165064706</v>
      </c>
      <c r="T103" s="61" t="n">
        <v>0.00614689308360409</v>
      </c>
      <c r="U103" s="61" t="n">
        <v>0.0485186996230796</v>
      </c>
      <c r="V103" s="61" t="n">
        <v>0.0125129141534241</v>
      </c>
      <c r="W103" s="61" t="n">
        <v>-0.091217431387694</v>
      </c>
      <c r="X103" s="61" t="n">
        <v>0.0555640976185469</v>
      </c>
      <c r="Y103" s="61" t="n">
        <v>0.0624499185243661</v>
      </c>
      <c r="Z103" s="61" t="n">
        <v>0.0397645714583058</v>
      </c>
      <c r="AA103" s="61" t="n">
        <v>-0.00964963972997118</v>
      </c>
      <c r="AB103" s="61" t="n">
        <v>0.0851505060395592</v>
      </c>
      <c r="AC103" s="61" t="n">
        <v>-0.0123563771973418</v>
      </c>
      <c r="AD103" s="61" t="n">
        <v>0.0451378662828026</v>
      </c>
      <c r="AE103" s="61" t="n">
        <v>0.0576313630844215</v>
      </c>
      <c r="AF103" s="61" t="n">
        <v>0.0875603070956779</v>
      </c>
      <c r="AG103" s="61" t="n">
        <v>0.0137019886397541</v>
      </c>
      <c r="AH103" s="61" t="n">
        <v>0.0557942457394333</v>
      </c>
      <c r="AI103" s="61" t="n">
        <v>0.0738147918728548</v>
      </c>
      <c r="AJ103" s="61" t="n">
        <v>0.0648575658709004</v>
      </c>
      <c r="AK103" s="61" t="n">
        <v>0.0552494111453341</v>
      </c>
    </row>
    <row r="106" customFormat="false" ht="15" hidden="false" customHeight="true" outlineLevel="0" collapsed="false">
      <c r="A106" s="9" t="s">
        <v>1071</v>
      </c>
    </row>
    <row r="107" customFormat="false" ht="39.75" hidden="false" customHeight="true" outlineLevel="0" collapsed="false">
      <c r="A107" s="21" t="s">
        <v>1060</v>
      </c>
      <c r="B107" s="21" t="s">
        <v>1072</v>
      </c>
      <c r="C107" s="21" t="s">
        <v>1073</v>
      </c>
      <c r="D107" s="21" t="s">
        <v>1074</v>
      </c>
      <c r="E107" s="21" t="s">
        <v>1073</v>
      </c>
      <c r="F107" s="21" t="s">
        <v>1075</v>
      </c>
      <c r="G107" s="21" t="s">
        <v>1073</v>
      </c>
      <c r="H107" s="21" t="s">
        <v>1076</v>
      </c>
      <c r="I107" s="21" t="s">
        <v>1073</v>
      </c>
    </row>
    <row r="108" customFormat="false" ht="15" hidden="false" customHeight="true" outlineLevel="0" collapsed="false">
      <c r="A108" s="10" t="s">
        <v>1067</v>
      </c>
      <c r="B108" s="59" t="n">
        <v>-0.875</v>
      </c>
      <c r="C108" s="61" t="n">
        <v>0.846126511785262</v>
      </c>
      <c r="D108" s="59" t="n">
        <v>-1</v>
      </c>
      <c r="E108" s="61" t="n">
        <v>0.820604903153857</v>
      </c>
      <c r="F108" s="59" t="n">
        <v>-1.125</v>
      </c>
      <c r="G108" s="61" t="n">
        <v>0.794351903003939</v>
      </c>
      <c r="H108" s="59" t="n">
        <v>-1.125</v>
      </c>
      <c r="I108" s="61" t="n">
        <v>0.794351903003939</v>
      </c>
    </row>
    <row r="109" customFormat="false" ht="15" hidden="false" customHeight="true" outlineLevel="0" collapsed="false">
      <c r="A109" s="10" t="s">
        <v>1070</v>
      </c>
      <c r="B109" s="59" t="n">
        <v>-0.8125</v>
      </c>
      <c r="C109" s="61" t="n">
        <v>0.858590935062762</v>
      </c>
      <c r="D109" s="59" t="n">
        <v>-0.875</v>
      </c>
      <c r="E109" s="61" t="n">
        <v>0.846126511785262</v>
      </c>
      <c r="F109" s="59" t="n">
        <v>-0.9375</v>
      </c>
      <c r="G109" s="61" t="n">
        <v>0.833461716593985</v>
      </c>
      <c r="H109" s="59" t="n">
        <v>-0.875</v>
      </c>
      <c r="I109" s="61" t="n">
        <v>0.846126511785262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6"/>
    <col collapsed="false" customWidth="true" hidden="false" outlineLevel="0" max="14" min="3" style="1" width="13"/>
  </cols>
  <sheetData>
    <row r="1" customFormat="false" ht="17.25" hidden="false" customHeight="true" outlineLevel="0" collapsed="false">
      <c r="A1" s="5" t="s">
        <v>1077</v>
      </c>
    </row>
    <row r="2" customFormat="false" ht="15" hidden="false" customHeight="true" outlineLevel="0" collapsed="false">
      <c r="A2" s="6" t="s">
        <v>1078</v>
      </c>
    </row>
    <row r="4" customFormat="false" ht="39.75" hidden="false" customHeight="true" outlineLevel="0" collapsed="false">
      <c r="A4" s="21" t="s">
        <v>1079</v>
      </c>
      <c r="B4" s="21" t="s">
        <v>22</v>
      </c>
      <c r="C4" s="21" t="s">
        <v>23</v>
      </c>
      <c r="D4" s="21" t="s">
        <v>1080</v>
      </c>
      <c r="E4" s="21" t="s">
        <v>1081</v>
      </c>
    </row>
    <row r="5" customFormat="false" ht="15" hidden="false" customHeight="true" outlineLevel="0" collapsed="false">
      <c r="A5" s="10" t="s">
        <v>1082</v>
      </c>
      <c r="B5" s="20" t="n">
        <v>0.0997</v>
      </c>
      <c r="C5" s="20" t="n">
        <v>0.12</v>
      </c>
      <c r="D5" s="60" t="n">
        <v>0.041</v>
      </c>
      <c r="E5" s="60" t="n">
        <v>0.0448</v>
      </c>
    </row>
    <row r="6" customFormat="false" ht="15" hidden="false" customHeight="true" outlineLevel="0" collapsed="false">
      <c r="A6" s="10" t="s">
        <v>1083</v>
      </c>
      <c r="B6" s="20" t="n">
        <v>0.1014</v>
      </c>
      <c r="C6" s="20" t="n">
        <v>0.1251</v>
      </c>
      <c r="D6" s="60" t="n">
        <v>0.0539</v>
      </c>
      <c r="E6" s="60" t="n">
        <v>0.0665</v>
      </c>
    </row>
    <row r="7" customFormat="false" ht="15" hidden="false" customHeight="true" outlineLevel="0" collapsed="false">
      <c r="A7" s="10" t="s">
        <v>1084</v>
      </c>
      <c r="B7" s="20" t="n">
        <v>0.0997</v>
      </c>
      <c r="C7" s="20" t="n">
        <v>0.12</v>
      </c>
      <c r="D7" s="60" t="n">
        <v>0.041</v>
      </c>
      <c r="E7" s="60" t="n">
        <v>0.0448</v>
      </c>
    </row>
    <row r="8" customFormat="false" ht="15" hidden="false" customHeight="true" outlineLevel="0" collapsed="false">
      <c r="A8" s="10" t="s">
        <v>1085</v>
      </c>
      <c r="B8" s="20" t="n">
        <v>0.0767</v>
      </c>
      <c r="C8" s="20" t="n">
        <v>0.1053</v>
      </c>
      <c r="D8" s="60" t="n">
        <v>0.0096</v>
      </c>
      <c r="E8" s="60" t="n">
        <v>0.013</v>
      </c>
    </row>
    <row r="9" customFormat="false" ht="15" hidden="false" customHeight="true" outlineLevel="0" collapsed="false">
      <c r="A9" s="10" t="s">
        <v>1086</v>
      </c>
      <c r="B9" s="20" t="n">
        <v>0.0766</v>
      </c>
      <c r="C9" s="20" t="n">
        <v>0.1098</v>
      </c>
      <c r="D9" s="60" t="n">
        <v>0.0096</v>
      </c>
      <c r="E9" s="60" t="n">
        <v>0.013</v>
      </c>
    </row>
    <row r="10" customFormat="false" ht="15" hidden="false" customHeight="true" outlineLevel="0" collapsed="false">
      <c r="A10" s="10" t="s">
        <v>1087</v>
      </c>
      <c r="B10" s="56" t="n">
        <v>118.31236966604</v>
      </c>
      <c r="C10" s="56" t="n">
        <v>146.842869095112</v>
      </c>
      <c r="D10" s="55" t="n">
        <v>61.0921029541627</v>
      </c>
      <c r="E10" s="55" t="n">
        <v>68.7803751600066</v>
      </c>
    </row>
    <row r="11" customFormat="false" ht="15" hidden="false" customHeight="true" outlineLevel="0" collapsed="false">
      <c r="A11" s="10" t="s">
        <v>1088</v>
      </c>
      <c r="B11" s="56" t="n">
        <v>59.799133357149</v>
      </c>
      <c r="C11" s="56" t="n">
        <v>70.5184592168506</v>
      </c>
      <c r="D11" s="55" t="n">
        <v>45.6083113167016</v>
      </c>
      <c r="E11" s="55" t="n">
        <v>50.5423762927679</v>
      </c>
    </row>
    <row r="12" customFormat="false" ht="15" hidden="false" customHeight="true" outlineLevel="0" collapsed="false">
      <c r="A12" s="10" t="s">
        <v>1089</v>
      </c>
      <c r="B12" s="56" t="n">
        <v>625.246513286432</v>
      </c>
      <c r="C12" s="56" t="n">
        <v>733.916614942053</v>
      </c>
      <c r="D12" s="55" t="n">
        <v>239.316016009409</v>
      </c>
      <c r="E12" s="55" t="n">
        <v>266.047358682391</v>
      </c>
    </row>
    <row r="13" customFormat="false" ht="15" hidden="false" customHeight="true" outlineLevel="0" collapsed="false">
      <c r="A13" s="10" t="s">
        <v>1090</v>
      </c>
      <c r="B13" s="56" t="n">
        <v>1021.38011042072</v>
      </c>
      <c r="C13" s="56" t="n">
        <v>1211.74250683511</v>
      </c>
      <c r="D13" s="55" t="n">
        <v>457.896607227015</v>
      </c>
      <c r="E13" s="55" t="n">
        <v>523.975150855737</v>
      </c>
    </row>
    <row r="14" customFormat="false" ht="15" hidden="false" customHeight="true" outlineLevel="0" collapsed="false">
      <c r="A14" s="10" t="s">
        <v>1091</v>
      </c>
      <c r="B14" s="56" t="n">
        <v>1324.3390198386</v>
      </c>
      <c r="C14" s="56" t="n">
        <v>1760.09119448336</v>
      </c>
      <c r="D14" s="55" t="n">
        <v>694.297957327606</v>
      </c>
      <c r="E14" s="55" t="n">
        <v>788.498107258975</v>
      </c>
    </row>
    <row r="15" customFormat="false" ht="15" hidden="false" customHeight="true" outlineLevel="0" collapsed="false">
      <c r="A15" s="10" t="s">
        <v>1092</v>
      </c>
      <c r="B15" s="56" t="n">
        <v>609.512742152715</v>
      </c>
      <c r="C15" s="56" t="n">
        <v>783.868547249032</v>
      </c>
      <c r="D15" s="55" t="n">
        <v>120.441294754259</v>
      </c>
      <c r="E15" s="55" t="n">
        <v>165.194646016355</v>
      </c>
    </row>
    <row r="16" customFormat="false" ht="15" hidden="false" customHeight="true" outlineLevel="0" collapsed="false">
      <c r="A16" s="10" t="s">
        <v>1093</v>
      </c>
      <c r="B16" s="56" t="n">
        <v>923.315315105507</v>
      </c>
      <c r="C16" s="56" t="n">
        <v>1359.06748975027</v>
      </c>
      <c r="D16" s="55" t="n">
        <v>312.035943896787</v>
      </c>
      <c r="E16" s="55" t="n">
        <v>407.911681463159</v>
      </c>
    </row>
    <row r="17" customFormat="false" ht="15" hidden="false" customHeight="true" outlineLevel="0" collapsed="false">
      <c r="A17" s="10" t="s">
        <v>1094</v>
      </c>
      <c r="B17" s="58" t="n">
        <v>16</v>
      </c>
      <c r="C17" s="58" t="n">
        <v>17</v>
      </c>
      <c r="D17" s="62" t="n">
        <v>9</v>
      </c>
      <c r="E17" s="62" t="n">
        <v>10</v>
      </c>
    </row>
    <row r="18" customFormat="false" ht="15" hidden="false" customHeight="true" outlineLevel="0" collapsed="false">
      <c r="A18" s="10" t="s">
        <v>1095</v>
      </c>
      <c r="B18" s="58" t="n">
        <v>18</v>
      </c>
      <c r="C18" s="58" t="n">
        <v>18</v>
      </c>
      <c r="D18" s="62" t="n">
        <v>15</v>
      </c>
      <c r="E18" s="62" t="n">
        <v>15</v>
      </c>
    </row>
    <row r="21" customFormat="false" ht="15" hidden="false" customHeight="true" outlineLevel="0" collapsed="false">
      <c r="A21" s="9" t="s">
        <v>1096</v>
      </c>
    </row>
    <row r="22" customFormat="false" ht="39.75" hidden="false" customHeight="true" outlineLevel="0" collapsed="false">
      <c r="A22" s="21" t="s">
        <v>51</v>
      </c>
      <c r="B22" s="21" t="s">
        <v>52</v>
      </c>
      <c r="C22" s="21" t="s">
        <v>1097</v>
      </c>
      <c r="D22" s="21" t="s">
        <v>1098</v>
      </c>
      <c r="E22" s="21" t="s">
        <v>1099</v>
      </c>
      <c r="F22" s="21" t="s">
        <v>1100</v>
      </c>
      <c r="G22" s="21" t="s">
        <v>1101</v>
      </c>
      <c r="H22" s="21" t="s">
        <v>1102</v>
      </c>
      <c r="I22" s="21" t="s">
        <v>1103</v>
      </c>
      <c r="J22" s="21" t="s">
        <v>1104</v>
      </c>
      <c r="K22" s="21" t="s">
        <v>1105</v>
      </c>
      <c r="L22" s="21" t="s">
        <v>1106</v>
      </c>
      <c r="M22" s="21" t="s">
        <v>1107</v>
      </c>
      <c r="N22" s="21" t="s">
        <v>1108</v>
      </c>
    </row>
    <row r="23" customFormat="false" ht="15" hidden="false" customHeight="true" outlineLevel="0" collapsed="false">
      <c r="A23" s="10" t="s">
        <v>496</v>
      </c>
      <c r="B23" s="10" t="s">
        <v>497</v>
      </c>
      <c r="C23" s="60" t="n">
        <v>0.0456</v>
      </c>
      <c r="D23" s="60" t="n">
        <v>0</v>
      </c>
      <c r="E23" s="60" t="n">
        <v>0</v>
      </c>
      <c r="F23" s="61" t="n">
        <v>0.155090855168778</v>
      </c>
      <c r="G23" s="61" t="n">
        <v>0.116545569465758</v>
      </c>
      <c r="H23" s="61" t="n">
        <v>0.0928249928945313</v>
      </c>
      <c r="I23" s="55" t="n">
        <v>117.138247263486</v>
      </c>
      <c r="J23" s="60" t="n">
        <v>0.0537</v>
      </c>
      <c r="K23" s="60" t="n">
        <v>0.0003</v>
      </c>
      <c r="L23" s="60" t="n">
        <v>0.0003</v>
      </c>
      <c r="M23" s="61" t="n">
        <v>0.0852351112645992</v>
      </c>
      <c r="N23" s="55" t="n">
        <v>135.827741477987</v>
      </c>
    </row>
    <row r="24" customFormat="false" ht="15" hidden="false" customHeight="true" outlineLevel="0" collapsed="false">
      <c r="A24" s="10" t="s">
        <v>499</v>
      </c>
      <c r="B24" s="10" t="s">
        <v>500</v>
      </c>
      <c r="C24" s="60" t="n">
        <v>0.0991</v>
      </c>
      <c r="D24" s="60" t="n">
        <v>0.001</v>
      </c>
      <c r="E24" s="60" t="n">
        <v>0.001</v>
      </c>
      <c r="F24" s="61" t="n">
        <v>0.114256985962849</v>
      </c>
      <c r="G24" s="61" t="n">
        <v>0.0799641063231849</v>
      </c>
      <c r="H24" s="61" t="n">
        <v>0.0613170014032857</v>
      </c>
      <c r="I24" s="55" t="n">
        <v>92.1601274814897</v>
      </c>
      <c r="J24" s="60" t="n">
        <v>0.1244</v>
      </c>
      <c r="K24" s="60" t="n">
        <v>0.0178</v>
      </c>
      <c r="L24" s="60" t="n">
        <v>0.0178</v>
      </c>
      <c r="M24" s="61" t="n">
        <v>0.0261790059540483</v>
      </c>
      <c r="N24" s="55" t="n">
        <v>161.325355199485</v>
      </c>
    </row>
    <row r="25" customFormat="false" ht="15" hidden="false" customHeight="true" outlineLevel="0" collapsed="false">
      <c r="A25" s="10" t="s">
        <v>501</v>
      </c>
      <c r="B25" s="10" t="s">
        <v>502</v>
      </c>
      <c r="C25" s="60" t="n">
        <v>0.0971</v>
      </c>
      <c r="D25" s="60" t="n">
        <v>0.0005</v>
      </c>
      <c r="E25" s="60" t="n">
        <v>0.0005</v>
      </c>
      <c r="F25" s="61" t="n">
        <v>0.13513744532765</v>
      </c>
      <c r="G25" s="61" t="n">
        <v>0.0973906054356996</v>
      </c>
      <c r="H25" s="61" t="n">
        <v>0.0705723417394765</v>
      </c>
      <c r="I25" s="55" t="n">
        <v>74.2325788017097</v>
      </c>
      <c r="J25" s="60" t="n">
        <v>0.1168</v>
      </c>
      <c r="K25" s="60" t="n">
        <v>0.0023</v>
      </c>
      <c r="L25" s="60" t="n">
        <v>0.0023</v>
      </c>
      <c r="M25" s="61" t="n">
        <v>0.0655803509882571</v>
      </c>
      <c r="N25" s="55" t="n">
        <v>83.2448045780475</v>
      </c>
    </row>
    <row r="26" customFormat="false" ht="15" hidden="false" customHeight="true" outlineLevel="0" collapsed="false">
      <c r="A26" s="10" t="s">
        <v>503</v>
      </c>
      <c r="B26" s="10" t="s">
        <v>504</v>
      </c>
      <c r="C26" s="60" t="n">
        <v>0.098</v>
      </c>
      <c r="D26" s="60" t="n">
        <v>0.0181</v>
      </c>
      <c r="E26" s="60" t="n">
        <v>0.0181</v>
      </c>
      <c r="F26" s="61" t="n">
        <v>0.104263578921165</v>
      </c>
      <c r="G26" s="61" t="n">
        <v>0.0641767711214234</v>
      </c>
      <c r="H26" s="61" t="n">
        <v>0.0351217773083956</v>
      </c>
      <c r="I26" s="55" t="n">
        <v>92.9700767449368</v>
      </c>
      <c r="J26" s="60" t="n">
        <v>0.1191</v>
      </c>
      <c r="K26" s="60" t="n">
        <v>0.0378</v>
      </c>
      <c r="L26" s="60" t="n">
        <v>0.0409</v>
      </c>
      <c r="M26" s="61" t="n">
        <v>0.0190343173790132</v>
      </c>
      <c r="N26" s="55" t="n">
        <v>115.984706862239</v>
      </c>
    </row>
    <row r="27" customFormat="false" ht="15" hidden="false" customHeight="true" outlineLevel="0" collapsed="false">
      <c r="A27" s="10" t="s">
        <v>505</v>
      </c>
      <c r="B27" s="10" t="s">
        <v>506</v>
      </c>
      <c r="C27" s="60" t="n">
        <v>0.0997</v>
      </c>
      <c r="D27" s="60" t="n">
        <v>0.0066</v>
      </c>
      <c r="E27" s="60" t="n">
        <v>0.0066</v>
      </c>
      <c r="F27" s="61" t="n">
        <v>0.13163118107788</v>
      </c>
      <c r="G27" s="61" t="n">
        <v>0.082568312978735</v>
      </c>
      <c r="H27" s="61" t="n">
        <v>0.0503249275222036</v>
      </c>
      <c r="I27" s="55" t="n">
        <v>66.1893238777739</v>
      </c>
      <c r="J27" s="60" t="n">
        <v>0.1199</v>
      </c>
      <c r="K27" s="60" t="n">
        <v>0.0109</v>
      </c>
      <c r="L27" s="60" t="n">
        <v>0.0109</v>
      </c>
      <c r="M27" s="61" t="n">
        <v>0.0437868829137304</v>
      </c>
      <c r="N27" s="55" t="n">
        <v>71.5461475014586</v>
      </c>
    </row>
    <row r="28" customFormat="false" ht="15" hidden="false" customHeight="true" outlineLevel="0" collapsed="false">
      <c r="A28" s="10" t="s">
        <v>507</v>
      </c>
      <c r="B28" s="10" t="s">
        <v>508</v>
      </c>
      <c r="C28" s="60" t="n">
        <v>0.0893</v>
      </c>
      <c r="D28" s="60" t="n">
        <v>0.0016</v>
      </c>
      <c r="E28" s="60" t="n">
        <v>0.0016</v>
      </c>
      <c r="F28" s="61" t="n">
        <v>0.157721319031697</v>
      </c>
      <c r="G28" s="61" t="n">
        <v>0.10255299500039</v>
      </c>
      <c r="H28" s="61" t="n">
        <v>0.0669606208775729</v>
      </c>
      <c r="I28" s="55" t="n">
        <v>53.2839820908729</v>
      </c>
      <c r="J28" s="60" t="n">
        <v>0.1038</v>
      </c>
      <c r="K28" s="60" t="n">
        <v>0.0039</v>
      </c>
      <c r="L28" s="60" t="n">
        <v>0.0039</v>
      </c>
      <c r="M28" s="61" t="n">
        <v>0.0580694714713457</v>
      </c>
      <c r="N28" s="55" t="n">
        <v>59.1345999949017</v>
      </c>
    </row>
    <row r="29" customFormat="false" ht="15" hidden="false" customHeight="true" outlineLevel="0" collapsed="false">
      <c r="A29" s="10" t="s">
        <v>509</v>
      </c>
      <c r="B29" s="10" t="s">
        <v>509</v>
      </c>
      <c r="C29" s="60" t="n">
        <v>0.0803</v>
      </c>
      <c r="D29" s="60" t="n">
        <v>0.0279</v>
      </c>
      <c r="E29" s="60" t="n">
        <v>0.0279</v>
      </c>
      <c r="F29" s="61" t="n">
        <v>0.0999625687616279</v>
      </c>
      <c r="G29" s="61" t="n">
        <v>0.0584745558488295</v>
      </c>
      <c r="H29" s="61" t="n">
        <v>0.0260004567924657</v>
      </c>
      <c r="I29" s="55" t="n">
        <v>37.7812187602123</v>
      </c>
      <c r="J29" s="60" t="n">
        <v>0.0898</v>
      </c>
      <c r="K29" s="60" t="n">
        <v>0.0332</v>
      </c>
      <c r="L29" s="60" t="n">
        <v>0.0346</v>
      </c>
      <c r="M29" s="61" t="n">
        <v>0.0182293880292766</v>
      </c>
      <c r="N29" s="55" t="n">
        <v>42.0269183547173</v>
      </c>
    </row>
    <row r="30" customFormat="false" ht="15" hidden="false" customHeight="true" outlineLevel="0" collapsed="false">
      <c r="A30" s="10" t="s">
        <v>510</v>
      </c>
      <c r="B30" s="10" t="s">
        <v>511</v>
      </c>
      <c r="C30" s="60" t="n">
        <v>0.0068</v>
      </c>
      <c r="D30" s="60" t="n">
        <v>0</v>
      </c>
      <c r="E30" s="60" t="n">
        <v>0</v>
      </c>
      <c r="F30" s="61" t="n">
        <v>0.113830679931691</v>
      </c>
      <c r="G30" s="61" t="n">
        <v>0.0890354376118129</v>
      </c>
      <c r="H30" s="61" t="n">
        <v>0.0732772479799268</v>
      </c>
      <c r="I30" s="55" t="n">
        <v>18.1365262247742</v>
      </c>
      <c r="J30" s="60" t="n">
        <v>0.0219</v>
      </c>
      <c r="K30" s="60" t="n">
        <v>0.002</v>
      </c>
      <c r="L30" s="60" t="n">
        <v>0.002</v>
      </c>
      <c r="M30" s="61" t="n">
        <v>0.0585423282964149</v>
      </c>
      <c r="N30" s="55" t="n">
        <v>26.0536090569274</v>
      </c>
    </row>
    <row r="31" customFormat="false" ht="15" hidden="false" customHeight="true" outlineLevel="0" collapsed="false">
      <c r="A31" s="10" t="s">
        <v>512</v>
      </c>
      <c r="B31" s="10" t="s">
        <v>513</v>
      </c>
      <c r="C31" s="60" t="n">
        <v>0.0441</v>
      </c>
      <c r="D31" s="60" t="n">
        <v>0.0126</v>
      </c>
      <c r="E31" s="60" t="n">
        <v>0.0126</v>
      </c>
      <c r="F31" s="61" t="n">
        <v>0.108877367530249</v>
      </c>
      <c r="G31" s="61" t="n">
        <v>0.072700907303149</v>
      </c>
      <c r="H31" s="61" t="n">
        <v>0.0411996557258329</v>
      </c>
      <c r="I31" s="55" t="n">
        <v>29.4904163572456</v>
      </c>
      <c r="J31" s="60" t="n">
        <v>0.0594</v>
      </c>
      <c r="K31" s="60" t="n">
        <v>0.0209</v>
      </c>
      <c r="L31" s="60" t="n">
        <v>0.021</v>
      </c>
      <c r="M31" s="61" t="n">
        <v>0.0263989718269758</v>
      </c>
      <c r="N31" s="55" t="n">
        <v>36.1922751710195</v>
      </c>
    </row>
    <row r="32" customFormat="false" ht="15" hidden="false" customHeight="true" outlineLevel="0" collapsed="false">
      <c r="A32" s="10" t="s">
        <v>514</v>
      </c>
      <c r="B32" s="10" t="s">
        <v>515</v>
      </c>
      <c r="C32" s="60" t="n">
        <v>0.099</v>
      </c>
      <c r="D32" s="60" t="n">
        <v>0.0767</v>
      </c>
      <c r="E32" s="60" t="n">
        <v>0.0765</v>
      </c>
      <c r="F32" s="61" t="n">
        <v>0.112369514848495</v>
      </c>
      <c r="G32" s="61" t="n">
        <v>0.0235641860121237</v>
      </c>
      <c r="H32" s="61" t="n">
        <v>-0.0416516103497326</v>
      </c>
      <c r="I32" s="55" t="n">
        <v>23.1721013685182</v>
      </c>
      <c r="J32" s="60" t="n">
        <v>0.1188</v>
      </c>
      <c r="K32" s="60" t="n">
        <v>0.1053</v>
      </c>
      <c r="L32" s="60" t="n">
        <v>0.1097</v>
      </c>
      <c r="M32" s="61" t="n">
        <v>-0.0679395359630963</v>
      </c>
      <c r="N32" s="55" t="n">
        <v>27.0099986625925</v>
      </c>
    </row>
    <row r="33" customFormat="false" ht="15" hidden="false" customHeight="true" outlineLevel="0" collapsed="false">
      <c r="A33" s="10" t="s">
        <v>516</v>
      </c>
      <c r="B33" s="10" t="s">
        <v>517</v>
      </c>
      <c r="C33" s="60" t="n">
        <v>0.0298</v>
      </c>
      <c r="D33" s="60" t="n">
        <v>0.0034</v>
      </c>
      <c r="E33" s="60" t="n">
        <v>0.0034</v>
      </c>
      <c r="F33" s="61" t="n">
        <v>0.124346355818846</v>
      </c>
      <c r="G33" s="61" t="n">
        <v>0.0933955797803061</v>
      </c>
      <c r="H33" s="61" t="n">
        <v>0.0645332855631783</v>
      </c>
      <c r="I33" s="55" t="n">
        <v>10.3099209675382</v>
      </c>
      <c r="J33" s="60" t="n">
        <v>0.0404</v>
      </c>
      <c r="K33" s="60" t="n">
        <v>0.0079</v>
      </c>
      <c r="L33" s="60" t="n">
        <v>0.0079</v>
      </c>
      <c r="M33" s="61" t="n">
        <v>0.049408947068743</v>
      </c>
      <c r="N33" s="55" t="n">
        <v>13.8318857049501</v>
      </c>
    </row>
    <row r="34" customFormat="false" ht="15" hidden="false" customHeight="true" outlineLevel="0" collapsed="false">
      <c r="A34" s="10" t="s">
        <v>518</v>
      </c>
      <c r="B34" s="10" t="s">
        <v>519</v>
      </c>
      <c r="C34" s="60" t="n">
        <v>0.0053</v>
      </c>
      <c r="D34" s="60" t="n">
        <v>0</v>
      </c>
      <c r="E34" s="60" t="n">
        <v>0</v>
      </c>
      <c r="F34" s="61" t="n">
        <v>0.109308956581026</v>
      </c>
      <c r="G34" s="61" t="n">
        <v>0.0892899137495265</v>
      </c>
      <c r="H34" s="61" t="n">
        <v>0.0745150757142615</v>
      </c>
      <c r="I34" s="55" t="n">
        <v>5.80726274085144</v>
      </c>
      <c r="J34" s="60" t="n">
        <v>0.0073</v>
      </c>
      <c r="K34" s="60" t="n">
        <v>0</v>
      </c>
      <c r="L34" s="60" t="n">
        <v>0</v>
      </c>
      <c r="M34" s="61" t="n">
        <v>0.072956846991616</v>
      </c>
      <c r="N34" s="55" t="n">
        <v>6.14349881671307</v>
      </c>
    </row>
    <row r="35" customFormat="false" ht="15" hidden="false" customHeight="true" outlineLevel="0" collapsed="false">
      <c r="A35" s="10" t="s">
        <v>520</v>
      </c>
      <c r="B35" s="10" t="s">
        <v>521</v>
      </c>
      <c r="C35" s="60" t="n">
        <v>0.0904</v>
      </c>
      <c r="D35" s="60" t="n">
        <v>0</v>
      </c>
      <c r="E35" s="60" t="n">
        <v>0</v>
      </c>
      <c r="F35" s="61" t="n">
        <v>0.107524035667738</v>
      </c>
      <c r="G35" s="61" t="n">
        <v>0.0789389508269918</v>
      </c>
      <c r="H35" s="61" t="n">
        <v>0.0583092500094455</v>
      </c>
      <c r="I35" s="55" t="n">
        <v>8.41522762729546</v>
      </c>
      <c r="J35" s="60" t="n">
        <v>0.105</v>
      </c>
      <c r="K35" s="60" t="n">
        <v>0.002</v>
      </c>
      <c r="L35" s="60" t="n">
        <v>0.0022</v>
      </c>
      <c r="M35" s="61" t="n">
        <v>0.0550169130328669</v>
      </c>
      <c r="N35" s="55" t="n">
        <v>9.12502620156291</v>
      </c>
    </row>
    <row r="36" customFormat="false" ht="15" hidden="false" customHeight="true" outlineLevel="0" collapsed="false">
      <c r="A36" s="10" t="s">
        <v>522</v>
      </c>
      <c r="B36" s="10" t="s">
        <v>523</v>
      </c>
      <c r="C36" s="60" t="n">
        <v>0.0986</v>
      </c>
      <c r="D36" s="60" t="n">
        <v>0.0137</v>
      </c>
      <c r="E36" s="60" t="n">
        <v>0.0137</v>
      </c>
      <c r="F36" s="61" t="n">
        <v>0.146746682544554</v>
      </c>
      <c r="G36" s="61" t="n">
        <v>0.0825469130866224</v>
      </c>
      <c r="H36" s="61" t="n">
        <v>0.0349030727593675</v>
      </c>
      <c r="I36" s="55" t="n">
        <v>56.22901658706</v>
      </c>
      <c r="J36" s="60" t="n">
        <v>0.1181</v>
      </c>
      <c r="K36" s="60" t="n">
        <v>0.0203</v>
      </c>
      <c r="L36" s="60" t="n">
        <v>0.0203</v>
      </c>
      <c r="M36" s="61" t="n">
        <v>0.0197711371688255</v>
      </c>
      <c r="N36" s="55" t="n">
        <v>64.0180301485387</v>
      </c>
    </row>
    <row r="37" customFormat="false" ht="15" hidden="false" customHeight="true" outlineLevel="0" collapsed="false">
      <c r="A37" s="10" t="s">
        <v>525</v>
      </c>
      <c r="B37" s="10" t="s">
        <v>526</v>
      </c>
      <c r="C37" s="60" t="n">
        <v>0.0156</v>
      </c>
      <c r="D37" s="60" t="n">
        <v>0</v>
      </c>
      <c r="E37" s="60" t="n">
        <v>0</v>
      </c>
      <c r="F37" s="61" t="n">
        <v>0.154425288783125</v>
      </c>
      <c r="G37" s="61" t="n">
        <v>0.125834605494031</v>
      </c>
      <c r="H37" s="61" t="n">
        <v>0.106037237751871</v>
      </c>
      <c r="I37" s="55" t="n">
        <v>34.6073642991623</v>
      </c>
      <c r="J37" s="60" t="n">
        <v>0.0213</v>
      </c>
      <c r="K37" s="60" t="n">
        <v>0.0001</v>
      </c>
      <c r="L37" s="60" t="n">
        <v>0.0001</v>
      </c>
      <c r="M37" s="61" t="n">
        <v>0.100515128658822</v>
      </c>
      <c r="N37" s="55" t="n">
        <v>40.1011595202932</v>
      </c>
    </row>
    <row r="38" customFormat="false" ht="15" hidden="false" customHeight="true" outlineLevel="0" collapsed="false">
      <c r="A38" s="10" t="s">
        <v>527</v>
      </c>
      <c r="B38" s="10" t="s">
        <v>528</v>
      </c>
      <c r="C38" s="60" t="n">
        <v>0.0981</v>
      </c>
      <c r="D38" s="60" t="n">
        <v>0.0207</v>
      </c>
      <c r="E38" s="60" t="n">
        <v>0.0207</v>
      </c>
      <c r="F38" s="61" t="n">
        <v>0.139446247148423</v>
      </c>
      <c r="G38" s="61" t="n">
        <v>0.0720571060584507</v>
      </c>
      <c r="H38" s="61" t="n">
        <v>0.0229314272432253</v>
      </c>
      <c r="I38" s="55" t="n">
        <v>51.6384100917346</v>
      </c>
      <c r="J38" s="60" t="n">
        <v>0.1162</v>
      </c>
      <c r="K38" s="60" t="n">
        <v>0.0263</v>
      </c>
      <c r="L38" s="60" t="n">
        <v>0.0263</v>
      </c>
      <c r="M38" s="61" t="n">
        <v>0.0109525677371841</v>
      </c>
      <c r="N38" s="55" t="n">
        <v>56.9827935724873</v>
      </c>
    </row>
    <row r="39" customFormat="false" ht="15" hidden="false" customHeight="true" outlineLevel="0" collapsed="false">
      <c r="A39" s="10" t="s">
        <v>530</v>
      </c>
      <c r="B39" s="10" t="s">
        <v>531</v>
      </c>
      <c r="C39" s="60" t="n">
        <v>0.0917</v>
      </c>
      <c r="D39" s="60" t="n">
        <v>0.0004</v>
      </c>
      <c r="E39" s="60" t="n">
        <v>0.0004</v>
      </c>
      <c r="F39" s="61" t="n">
        <v>0.133032257237869</v>
      </c>
      <c r="G39" s="61" t="n">
        <v>0.0923214414644655</v>
      </c>
      <c r="H39" s="61" t="n">
        <v>0.066708959437657</v>
      </c>
      <c r="I39" s="55" t="n">
        <v>60.1984570059965</v>
      </c>
      <c r="J39" s="60" t="n">
        <v>0.1076</v>
      </c>
      <c r="K39" s="60" t="n">
        <v>0.0031</v>
      </c>
      <c r="L39" s="60" t="n">
        <v>0.0031</v>
      </c>
      <c r="M39" s="61" t="n">
        <v>0.0576428480629438</v>
      </c>
      <c r="N39" s="55" t="n">
        <v>68.3955772094034</v>
      </c>
    </row>
    <row r="40" customFormat="false" ht="15" hidden="false" customHeight="true" outlineLevel="0" collapsed="false">
      <c r="A40" s="10" t="s">
        <v>532</v>
      </c>
      <c r="B40" s="10" t="s">
        <v>533</v>
      </c>
      <c r="C40" s="60" t="n">
        <v>0.0579</v>
      </c>
      <c r="D40" s="60" t="n">
        <v>0</v>
      </c>
      <c r="E40" s="60" t="n">
        <v>0</v>
      </c>
      <c r="F40" s="61" t="n">
        <v>0.135936821144243</v>
      </c>
      <c r="G40" s="61" t="n">
        <v>0.100252324633176</v>
      </c>
      <c r="H40" s="61" t="n">
        <v>0.0777037095962082</v>
      </c>
      <c r="I40" s="55" t="n">
        <v>25.6885398321636</v>
      </c>
      <c r="J40" s="60" t="n">
        <v>0.065</v>
      </c>
      <c r="K40" s="60" t="n">
        <v>0.001</v>
      </c>
      <c r="L40" s="60" t="n">
        <v>0.001</v>
      </c>
      <c r="M40" s="61" t="n">
        <v>0.0712394420683502</v>
      </c>
      <c r="N40" s="55" t="n">
        <v>28.826040503559</v>
      </c>
    </row>
    <row r="41" customFormat="false" ht="15" hidden="false" customHeight="true" outlineLevel="0" collapsed="false">
      <c r="A41" s="10" t="s">
        <v>534</v>
      </c>
      <c r="B41" s="10" t="s">
        <v>534</v>
      </c>
      <c r="C41" s="60" t="n">
        <v>0.012</v>
      </c>
      <c r="D41" s="60" t="n">
        <v>0</v>
      </c>
      <c r="E41" s="60" t="n">
        <v>0</v>
      </c>
      <c r="F41" s="61" t="n">
        <v>0.148541478519812</v>
      </c>
      <c r="G41" s="61" t="n">
        <v>0.122708971207031</v>
      </c>
      <c r="H41" s="61" t="n">
        <v>0.106385175023352</v>
      </c>
      <c r="I41" s="55" t="n">
        <v>18.2706895584459</v>
      </c>
      <c r="J41" s="60" t="n">
        <v>0.0165</v>
      </c>
      <c r="K41" s="60" t="n">
        <v>0</v>
      </c>
      <c r="L41" s="60" t="n">
        <v>0</v>
      </c>
      <c r="M41" s="61" t="n">
        <v>0.101948283412077</v>
      </c>
      <c r="N41" s="55" t="n">
        <v>20.8361847545864</v>
      </c>
    </row>
    <row r="42" customFormat="false" ht="15" hidden="false" customHeight="true" outlineLevel="0" collapsed="false">
      <c r="A42" s="10" t="s">
        <v>535</v>
      </c>
      <c r="B42" s="10" t="s">
        <v>535</v>
      </c>
      <c r="C42" s="60" t="n">
        <v>0.0921</v>
      </c>
      <c r="D42" s="60" t="n">
        <v>0.0119</v>
      </c>
      <c r="E42" s="60" t="n">
        <v>0.0119</v>
      </c>
      <c r="F42" s="61" t="n">
        <v>0.126188517061955</v>
      </c>
      <c r="G42" s="61" t="n">
        <v>0.0727178536772457</v>
      </c>
      <c r="H42" s="61" t="n">
        <v>0.0418304140263962</v>
      </c>
      <c r="I42" s="55" t="n">
        <v>69.8264429459195</v>
      </c>
      <c r="J42" s="60" t="n">
        <v>0.1099</v>
      </c>
      <c r="K42" s="60" t="n">
        <v>0.0177</v>
      </c>
      <c r="L42" s="60" t="n">
        <v>0.0177</v>
      </c>
      <c r="M42" s="61" t="n">
        <v>0.0239424145120938</v>
      </c>
      <c r="N42" s="55" t="n">
        <v>84.8661671749937</v>
      </c>
    </row>
    <row r="43" customFormat="false" ht="15" hidden="false" customHeight="true" outlineLevel="0" collapsed="false">
      <c r="A43" s="10" t="s">
        <v>537</v>
      </c>
      <c r="B43" s="10" t="s">
        <v>537</v>
      </c>
      <c r="C43" s="60" t="n">
        <v>0.0184</v>
      </c>
      <c r="D43" s="60" t="n">
        <v>0</v>
      </c>
      <c r="E43" s="60" t="n">
        <v>0</v>
      </c>
      <c r="F43" s="61" t="n">
        <v>0.128184175012624</v>
      </c>
      <c r="G43" s="61" t="n">
        <v>0.0933232027776154</v>
      </c>
      <c r="H43" s="61" t="n">
        <v>0.0738270520439121</v>
      </c>
      <c r="I43" s="55" t="n">
        <v>33.9941738300608</v>
      </c>
      <c r="J43" s="60" t="n">
        <v>0.0235</v>
      </c>
      <c r="K43" s="60" t="n">
        <v>0.0011</v>
      </c>
      <c r="L43" s="60" t="n">
        <v>0.0011</v>
      </c>
      <c r="M43" s="61" t="n">
        <v>0.0688962430234792</v>
      </c>
      <c r="N43" s="55" t="n">
        <v>36.9142149670284</v>
      </c>
    </row>
    <row r="44" customFormat="false" ht="15" hidden="false" customHeight="true" outlineLevel="0" collapsed="false">
      <c r="A44" s="10" t="s">
        <v>538</v>
      </c>
      <c r="B44" s="10" t="s">
        <v>539</v>
      </c>
      <c r="C44" s="60" t="n">
        <v>0.0028</v>
      </c>
      <c r="D44" s="60" t="n">
        <v>0</v>
      </c>
      <c r="E44" s="60" t="n">
        <v>0</v>
      </c>
      <c r="F44" s="61" t="n">
        <v>0.137456647162136</v>
      </c>
      <c r="G44" s="61" t="n">
        <v>0.104487945297098</v>
      </c>
      <c r="H44" s="61" t="n">
        <v>0.087765443611509</v>
      </c>
      <c r="I44" s="55" t="n">
        <v>23.7281614841675</v>
      </c>
      <c r="J44" s="60" t="n">
        <v>0.006</v>
      </c>
      <c r="K44" s="60" t="n">
        <v>0</v>
      </c>
      <c r="L44" s="60" t="n">
        <v>0</v>
      </c>
      <c r="M44" s="61" t="n">
        <v>0.0844393507293605</v>
      </c>
      <c r="N44" s="55" t="n">
        <v>25.3892895361534</v>
      </c>
    </row>
    <row r="45" customFormat="false" ht="15" hidden="false" customHeight="true" outlineLevel="0" collapsed="false">
      <c r="A45" s="10" t="s">
        <v>540</v>
      </c>
      <c r="B45" s="10" t="s">
        <v>541</v>
      </c>
      <c r="C45" s="60" t="n">
        <v>0.0465</v>
      </c>
      <c r="D45" s="60" t="n">
        <v>0</v>
      </c>
      <c r="E45" s="60" t="n">
        <v>0</v>
      </c>
      <c r="F45" s="61" t="n">
        <v>0.146346072762042</v>
      </c>
      <c r="G45" s="61" t="n">
        <v>0.111926611218534</v>
      </c>
      <c r="H45" s="61" t="n">
        <v>0.0892475776533324</v>
      </c>
      <c r="I45" s="55" t="n">
        <v>27.2155729136971</v>
      </c>
      <c r="J45" s="60" t="n">
        <v>0.0593</v>
      </c>
      <c r="K45" s="60" t="n">
        <v>0.0013</v>
      </c>
      <c r="L45" s="60" t="n">
        <v>0.0013</v>
      </c>
      <c r="M45" s="61" t="n">
        <v>0.0767980582153867</v>
      </c>
      <c r="N45" s="55" t="n">
        <v>35.7159105209447</v>
      </c>
    </row>
    <row r="46" customFormat="false" ht="15" hidden="false" customHeight="true" outlineLevel="0" collapsed="false">
      <c r="A46" s="10" t="s">
        <v>543</v>
      </c>
      <c r="B46" s="10" t="s">
        <v>544</v>
      </c>
      <c r="C46" s="60" t="n">
        <v>0.0153</v>
      </c>
      <c r="D46" s="60" t="n">
        <v>0</v>
      </c>
      <c r="E46" s="60" t="n">
        <v>0</v>
      </c>
      <c r="F46" s="61" t="n">
        <v>0.0908364290245829</v>
      </c>
      <c r="G46" s="61" t="n">
        <v>0.0736663175533099</v>
      </c>
      <c r="H46" s="61" t="n">
        <v>0.0658770036614222</v>
      </c>
      <c r="I46" s="55" t="n">
        <v>2.15843724065091</v>
      </c>
      <c r="J46" s="60" t="n">
        <v>0.0203</v>
      </c>
      <c r="K46" s="60" t="n">
        <v>0</v>
      </c>
      <c r="L46" s="60" t="n">
        <v>0</v>
      </c>
      <c r="M46" s="61" t="n">
        <v>0.0633997729115327</v>
      </c>
      <c r="N46" s="55" t="n">
        <v>2.43002666556319</v>
      </c>
    </row>
    <row r="49" customFormat="false" ht="15" hidden="false" customHeight="true" outlineLevel="0" collapsed="false">
      <c r="A49" s="9" t="s">
        <v>1109</v>
      </c>
    </row>
    <row r="50" customFormat="false" ht="39.75" hidden="false" customHeight="true" outlineLevel="0" collapsed="false">
      <c r="A50" s="21" t="s">
        <v>1110</v>
      </c>
      <c r="B50" s="21" t="s">
        <v>1111</v>
      </c>
      <c r="C50" s="21" t="s">
        <v>1112</v>
      </c>
      <c r="D50" s="21" t="s">
        <v>1113</v>
      </c>
      <c r="E50" s="21" t="s">
        <v>1114</v>
      </c>
    </row>
    <row r="51" customFormat="false" ht="15" hidden="false" customHeight="true" outlineLevel="0" collapsed="false">
      <c r="A51" s="10" t="s">
        <v>1033</v>
      </c>
      <c r="B51" s="55" t="n">
        <v>11.6469256811215</v>
      </c>
      <c r="C51" s="55" t="n">
        <v>95.9348443343698</v>
      </c>
      <c r="D51" s="55" t="n">
        <v>289.397346271775</v>
      </c>
      <c r="E51" s="61" t="n">
        <v>0.433458038113273</v>
      </c>
    </row>
    <row r="52" customFormat="false" ht="15" hidden="false" customHeight="true" outlineLevel="0" collapsed="false">
      <c r="A52" s="10" t="s">
        <v>1034</v>
      </c>
      <c r="B52" s="55" t="n">
        <v>1.01167743394371</v>
      </c>
      <c r="C52" s="55" t="n">
        <v>4.52069325134801</v>
      </c>
      <c r="D52" s="55" t="n">
        <v>10.9029954027005</v>
      </c>
      <c r="E52" s="61" t="n">
        <v>0.0163304572681685</v>
      </c>
    </row>
    <row r="53" customFormat="false" ht="15" hidden="false" customHeight="true" outlineLevel="0" collapsed="false">
      <c r="A53" s="10" t="s">
        <v>1035</v>
      </c>
      <c r="B53" s="55" t="n">
        <v>0.0868088271063671</v>
      </c>
      <c r="C53" s="55" t="n">
        <v>0.870700372180212</v>
      </c>
      <c r="D53" s="55" t="n">
        <v>5.8554813915226</v>
      </c>
      <c r="E53" s="61" t="n">
        <v>0.00877031358053509</v>
      </c>
    </row>
    <row r="54" customFormat="false" ht="15" hidden="false" customHeight="true" outlineLevel="0" collapsed="false">
      <c r="A54" s="10" t="s">
        <v>1036</v>
      </c>
      <c r="B54" s="55" t="n">
        <v>0.224032682820234</v>
      </c>
      <c r="C54" s="55" t="n">
        <v>1.043293558289</v>
      </c>
      <c r="D54" s="55" t="n">
        <v>1.86369059467884</v>
      </c>
      <c r="E54" s="61" t="n">
        <v>0.00279142735490397</v>
      </c>
    </row>
    <row r="55" customFormat="false" ht="15" hidden="false" customHeight="true" outlineLevel="0" collapsed="false">
      <c r="A55" s="10" t="s">
        <v>1037</v>
      </c>
      <c r="B55" s="55" t="n">
        <v>4.46126632821527</v>
      </c>
      <c r="C55" s="55" t="n">
        <v>11.2827136331871</v>
      </c>
      <c r="D55" s="55" t="n">
        <v>20.6119361223756</v>
      </c>
      <c r="E55" s="61" t="n">
        <v>0.0308724648253364</v>
      </c>
    </row>
    <row r="56" customFormat="false" ht="15" hidden="false" customHeight="true" outlineLevel="0" collapsed="false">
      <c r="A56" s="10" t="s">
        <v>1038</v>
      </c>
      <c r="B56" s="55" t="n">
        <v>28.6842095026223</v>
      </c>
      <c r="C56" s="55" t="n">
        <v>95.0785523146158</v>
      </c>
      <c r="D56" s="55" t="n">
        <v>139.504729921894</v>
      </c>
      <c r="E56" s="61" t="n">
        <v>0.208949554370409</v>
      </c>
    </row>
    <row r="57" customFormat="false" ht="15" hidden="false" customHeight="true" outlineLevel="0" collapsed="false">
      <c r="A57" s="10" t="s">
        <v>891</v>
      </c>
      <c r="B57" s="55" t="n">
        <v>21.0158518384294</v>
      </c>
      <c r="C57" s="55" t="n">
        <v>60.4051353671879</v>
      </c>
      <c r="D57" s="55" t="n">
        <v>84.7727084916134</v>
      </c>
      <c r="E57" s="61" t="n">
        <v>0.126972179882449</v>
      </c>
    </row>
    <row r="58" customFormat="false" ht="15" hidden="false" customHeight="true" outlineLevel="0" collapsed="false">
      <c r="A58" s="10" t="s">
        <v>1039</v>
      </c>
      <c r="B58" s="55" t="n">
        <v>-0.18572783418827</v>
      </c>
      <c r="C58" s="55" t="n">
        <v>17.9293883127888</v>
      </c>
      <c r="D58" s="55" t="n">
        <v>67.7334017651084</v>
      </c>
      <c r="E58" s="61" t="n">
        <v>0.101450783229609</v>
      </c>
    </row>
    <row r="59" customFormat="false" ht="15" hidden="false" customHeight="true" outlineLevel="0" collapsed="false">
      <c r="A59" s="10" t="s">
        <v>1040</v>
      </c>
      <c r="B59" s="55" t="n">
        <v>1.53781805435811</v>
      </c>
      <c r="C59" s="55" t="n">
        <v>5.6812845409824</v>
      </c>
      <c r="D59" s="55" t="n">
        <v>8.24457621719955</v>
      </c>
      <c r="E59" s="61" t="n">
        <v>0.0123486890195137</v>
      </c>
    </row>
    <row r="60" customFormat="false" ht="15" hidden="false" customHeight="true" outlineLevel="0" collapsed="false">
      <c r="A60" s="10" t="s">
        <v>1041</v>
      </c>
      <c r="B60" s="55" t="n">
        <v>1.33503903384115</v>
      </c>
      <c r="C60" s="55" t="n">
        <v>11.4632830309855</v>
      </c>
      <c r="D60" s="55" t="n">
        <v>24.3075842159208</v>
      </c>
      <c r="E60" s="61" t="n">
        <v>0.0364077898475664</v>
      </c>
    </row>
    <row r="61" customFormat="false" ht="15" hidden="false" customHeight="true" outlineLevel="0" collapsed="false">
      <c r="A61" s="10" t="s">
        <v>1042</v>
      </c>
      <c r="B61" s="55" t="n">
        <v>0.720117888087287</v>
      </c>
      <c r="C61" s="55" t="n">
        <v>5.01596415352081</v>
      </c>
      <c r="D61" s="55" t="n">
        <v>14.4534435777028</v>
      </c>
      <c r="E61" s="61" t="n">
        <v>0.0216483025082355</v>
      </c>
    </row>
    <row r="62" customFormat="false" ht="15" hidden="false" customHeight="true" outlineLevel="0" collapsed="false">
      <c r="A62" s="10" t="s">
        <v>1115</v>
      </c>
      <c r="B62" s="55" t="n">
        <v>47.7743502296828</v>
      </c>
      <c r="C62" s="55" t="n">
        <v>373.207703029133</v>
      </c>
      <c r="D62" s="55" t="n">
        <v>491.494923995013</v>
      </c>
    </row>
    <row r="64" customFormat="false" ht="15" hidden="false" customHeight="true" outlineLevel="0" collapsed="false">
      <c r="A64" s="9" t="s">
        <v>1116</v>
      </c>
    </row>
    <row r="65" customFormat="false" ht="15" hidden="false" customHeight="true" outlineLevel="0" collapsed="false">
      <c r="A65" s="6" t="s">
        <v>1117</v>
      </c>
    </row>
    <row r="66" customFormat="false" ht="15" hidden="false" customHeight="true" outlineLevel="0" collapsed="false">
      <c r="A66" s="6" t="s">
        <v>1118</v>
      </c>
    </row>
    <row r="67" customFormat="false" ht="15" hidden="false" customHeight="true" outlineLevel="0" collapsed="false">
      <c r="A67" s="6" t="s">
        <v>1119</v>
      </c>
    </row>
    <row r="68" customFormat="false" ht="15" hidden="false" customHeight="true" outlineLevel="0" collapsed="false">
      <c r="A68" s="6" t="s">
        <v>1120</v>
      </c>
    </row>
    <row r="69" customFormat="false" ht="15" hidden="false" customHeight="true" outlineLevel="0" collapsed="false">
      <c r="A69" s="6" t="s">
        <v>1121</v>
      </c>
    </row>
    <row r="70" customFormat="false" ht="15" hidden="false" customHeight="true" outlineLevel="0" collapsed="false">
      <c r="A70" s="6" t="s">
        <v>1122</v>
      </c>
    </row>
    <row r="71" customFormat="false" ht="15" hidden="false" customHeight="true" outlineLevel="0" collapsed="false">
      <c r="A71" s="6" t="s">
        <v>1123</v>
      </c>
    </row>
    <row r="72" customFormat="false" ht="15" hidden="false" customHeight="true" outlineLevel="0" collapsed="false">
      <c r="A72" s="6" t="s">
        <v>1124</v>
      </c>
    </row>
    <row r="73" customFormat="false" ht="15" hidden="false" customHeight="true" outlineLevel="0" collapsed="false">
      <c r="A73" s="6" t="s">
        <v>1125</v>
      </c>
    </row>
    <row r="74" customFormat="false" ht="15" hidden="false" customHeight="true" outlineLevel="0" collapsed="false">
      <c r="A74" s="6" t="s">
        <v>1126</v>
      </c>
    </row>
    <row r="75" customFormat="false" ht="15" hidden="false" customHeight="true" outlineLevel="0" collapsed="false">
      <c r="A75" s="6" t="s">
        <v>1127</v>
      </c>
    </row>
    <row r="76" customFormat="false" ht="15" hidden="false" customHeight="true" outlineLevel="0" collapsed="false">
      <c r="A76" s="6" t="s">
        <v>1128</v>
      </c>
    </row>
    <row r="77" customFormat="false" ht="15" hidden="false" customHeight="true" outlineLevel="0" collapsed="false">
      <c r="A77" s="6" t="s">
        <v>1129</v>
      </c>
    </row>
    <row r="78" customFormat="false" ht="15" hidden="false" customHeight="true" outlineLevel="0" collapsed="false">
      <c r="A78" s="6" t="s">
        <v>1130</v>
      </c>
    </row>
    <row r="79" customFormat="false" ht="15" hidden="false" customHeight="true" outlineLevel="0" collapsed="false">
      <c r="A79" s="6" t="s">
        <v>1131</v>
      </c>
    </row>
    <row r="80" customFormat="false" ht="15" hidden="false" customHeight="true" outlineLevel="0" collapsed="false">
      <c r="A80" s="6" t="s">
        <v>1132</v>
      </c>
    </row>
    <row r="81" customFormat="false" ht="15" hidden="false" customHeight="true" outlineLevel="0" collapsed="false">
      <c r="A81" s="6" t="s">
        <v>1133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3"/>
  </cols>
  <sheetData>
    <row r="1" customFormat="false" ht="17.25" hidden="false" customHeight="true" outlineLevel="0" collapsed="false">
      <c r="A1" s="5" t="s">
        <v>1134</v>
      </c>
    </row>
    <row r="3" customFormat="false" ht="39.75" hidden="false" customHeight="true" outlineLevel="0" collapsed="false">
      <c r="A3" s="21" t="s">
        <v>1135</v>
      </c>
      <c r="B3" s="21" t="s">
        <v>1136</v>
      </c>
      <c r="C3" s="21" t="s">
        <v>1137</v>
      </c>
      <c r="E3" s="21" t="s">
        <v>1138</v>
      </c>
      <c r="F3" s="21" t="s">
        <v>1136</v>
      </c>
      <c r="G3" s="21" t="s">
        <v>1137</v>
      </c>
    </row>
    <row r="4" customFormat="false" ht="15" hidden="false" customHeight="true" outlineLevel="0" collapsed="false">
      <c r="A4" s="10" t="s">
        <v>1139</v>
      </c>
      <c r="B4" s="60" t="n">
        <v>0.1293</v>
      </c>
      <c r="C4" s="60" t="n">
        <v>0.115</v>
      </c>
      <c r="E4" s="10" t="n">
        <v>0</v>
      </c>
      <c r="F4" s="60" t="n">
        <v>0.8986</v>
      </c>
      <c r="G4" s="60" t="n">
        <v>0.8749</v>
      </c>
    </row>
    <row r="5" customFormat="false" ht="15" hidden="false" customHeight="true" outlineLevel="0" collapsed="false">
      <c r="A5" s="10" t="s">
        <v>1140</v>
      </c>
      <c r="B5" s="60" t="n">
        <v>0.1428</v>
      </c>
      <c r="C5" s="60" t="n">
        <v>0.1315</v>
      </c>
      <c r="E5" s="10" t="n">
        <v>1</v>
      </c>
      <c r="F5" s="60" t="n">
        <v>0.001</v>
      </c>
      <c r="G5" s="60" t="n">
        <v>0.0051</v>
      </c>
    </row>
    <row r="6" customFormat="false" ht="15" hidden="false" customHeight="true" outlineLevel="0" collapsed="false">
      <c r="A6" s="10" t="s">
        <v>1141</v>
      </c>
      <c r="B6" s="60" t="n">
        <v>0.1344</v>
      </c>
      <c r="C6" s="60" t="n">
        <v>0.1295</v>
      </c>
      <c r="E6" s="10" t="n">
        <v>2</v>
      </c>
      <c r="F6" s="60" t="n">
        <v>0.0007</v>
      </c>
      <c r="G6" s="60" t="n">
        <v>0</v>
      </c>
    </row>
    <row r="7" customFormat="false" ht="15" hidden="false" customHeight="true" outlineLevel="0" collapsed="false">
      <c r="A7" s="10" t="s">
        <v>1142</v>
      </c>
      <c r="B7" s="60" t="n">
        <v>0.109</v>
      </c>
      <c r="C7" s="60" t="n">
        <v>0.1116</v>
      </c>
      <c r="E7" s="10" t="n">
        <v>3</v>
      </c>
      <c r="F7" s="60" t="n">
        <v>0.0005</v>
      </c>
      <c r="G7" s="60" t="n">
        <v>0.0003</v>
      </c>
    </row>
    <row r="8" customFormat="false" ht="15" hidden="false" customHeight="true" outlineLevel="0" collapsed="false">
      <c r="A8" s="10" t="s">
        <v>1143</v>
      </c>
      <c r="B8" s="60" t="n">
        <v>0.1271</v>
      </c>
      <c r="C8" s="60" t="n">
        <v>0.1495</v>
      </c>
      <c r="E8" s="10" t="n">
        <v>4</v>
      </c>
      <c r="F8" s="60" t="n">
        <v>0.0006</v>
      </c>
      <c r="G8" s="60" t="n">
        <v>0.0006</v>
      </c>
    </row>
    <row r="9" customFormat="false" ht="15" hidden="false" customHeight="true" outlineLevel="0" collapsed="false">
      <c r="A9" s="10" t="s">
        <v>1144</v>
      </c>
      <c r="B9" s="60" t="n">
        <v>0.0576</v>
      </c>
      <c r="C9" s="60" t="n">
        <v>0.0687</v>
      </c>
      <c r="E9" s="10" t="n">
        <v>5</v>
      </c>
      <c r="F9" s="60" t="n">
        <v>0.0006</v>
      </c>
      <c r="G9" s="60" t="n">
        <v>0.0005</v>
      </c>
    </row>
    <row r="10" customFormat="false" ht="15" hidden="false" customHeight="true" outlineLevel="0" collapsed="false">
      <c r="A10" s="10" t="s">
        <v>1145</v>
      </c>
      <c r="B10" s="60" t="n">
        <v>0.0288</v>
      </c>
      <c r="C10" s="60" t="n">
        <v>0.0281</v>
      </c>
      <c r="E10" s="10" t="n">
        <v>6</v>
      </c>
      <c r="F10" s="60" t="n">
        <v>0.0015</v>
      </c>
      <c r="G10" s="60" t="n">
        <v>0.0029</v>
      </c>
    </row>
    <row r="11" customFormat="false" ht="15" hidden="false" customHeight="true" outlineLevel="0" collapsed="false">
      <c r="A11" s="10" t="s">
        <v>1146</v>
      </c>
      <c r="B11" s="60" t="n">
        <v>0.0028</v>
      </c>
      <c r="C11" s="60" t="n">
        <v>0.0027</v>
      </c>
      <c r="E11" s="10" t="n">
        <v>7</v>
      </c>
      <c r="F11" s="60" t="n">
        <v>0.0036</v>
      </c>
      <c r="G11" s="60" t="n">
        <v>0.0044</v>
      </c>
    </row>
    <row r="12" customFormat="false" ht="15" hidden="false" customHeight="true" outlineLevel="0" collapsed="false">
      <c r="A12" s="10" t="s">
        <v>1147</v>
      </c>
      <c r="B12" s="60" t="n">
        <v>0.0181</v>
      </c>
      <c r="C12" s="60" t="n">
        <v>0.0102</v>
      </c>
      <c r="E12" s="10" t="n">
        <v>8</v>
      </c>
      <c r="F12" s="60" t="n">
        <v>0.0014</v>
      </c>
      <c r="G12" s="60" t="n">
        <v>0.0029</v>
      </c>
    </row>
    <row r="13" customFormat="false" ht="15" hidden="false" customHeight="true" outlineLevel="0" collapsed="false">
      <c r="A13" s="10" t="s">
        <v>1148</v>
      </c>
      <c r="B13" s="60" t="n">
        <v>0.0487</v>
      </c>
      <c r="C13" s="60" t="n">
        <v>0.0591</v>
      </c>
      <c r="E13" s="10" t="n">
        <v>9</v>
      </c>
      <c r="F13" s="60" t="n">
        <v>0.0027</v>
      </c>
      <c r="G13" s="60" t="n">
        <v>0.0051</v>
      </c>
    </row>
    <row r="14" customFormat="false" ht="15" hidden="false" customHeight="true" outlineLevel="0" collapsed="false">
      <c r="A14" s="10" t="s">
        <v>1149</v>
      </c>
      <c r="B14" s="60" t="n">
        <v>0.0189</v>
      </c>
      <c r="C14" s="60" t="n">
        <v>0.0283</v>
      </c>
      <c r="E14" s="10" t="n">
        <v>10</v>
      </c>
      <c r="F14" s="60" t="n">
        <v>0.027</v>
      </c>
      <c r="G14" s="60" t="n">
        <v>0.0341</v>
      </c>
    </row>
    <row r="15" customFormat="false" ht="15" hidden="false" customHeight="true" outlineLevel="0" collapsed="false">
      <c r="A15" s="10" t="s">
        <v>1150</v>
      </c>
      <c r="B15" s="60" t="n">
        <v>0.011</v>
      </c>
      <c r="C15" s="60" t="n">
        <v>0.0168</v>
      </c>
      <c r="E15" s="10" t="n">
        <v>11</v>
      </c>
      <c r="F15" s="60" t="n">
        <v>0.0126</v>
      </c>
      <c r="G15" s="60" t="n">
        <v>0.0102</v>
      </c>
    </row>
    <row r="16" customFormat="false" ht="15" hidden="false" customHeight="true" outlineLevel="0" collapsed="false">
      <c r="A16" s="10" t="s">
        <v>1151</v>
      </c>
      <c r="B16" s="60" t="n">
        <v>0.0002</v>
      </c>
      <c r="C16" s="60" t="n">
        <v>0.0032</v>
      </c>
      <c r="E16" s="10" t="n">
        <v>12</v>
      </c>
      <c r="F16" s="60" t="n">
        <v>0.0061</v>
      </c>
      <c r="G16" s="60" t="n">
        <v>0.0058</v>
      </c>
    </row>
    <row r="17" customFormat="false" ht="15" hidden="false" customHeight="true" outlineLevel="0" collapsed="false">
      <c r="E17" s="10" t="n">
        <v>13</v>
      </c>
      <c r="F17" s="60" t="n">
        <v>0.0155</v>
      </c>
      <c r="G17" s="60" t="n">
        <v>0.0175</v>
      </c>
    </row>
    <row r="18" customFormat="false" ht="15" hidden="false" customHeight="true" outlineLevel="0" collapsed="false">
      <c r="E18" s="10" t="n">
        <v>14</v>
      </c>
      <c r="F18" s="60" t="n">
        <v>0.0108</v>
      </c>
      <c r="G18" s="60" t="n">
        <v>0.0127</v>
      </c>
    </row>
    <row r="19" customFormat="false" ht="15" hidden="false" customHeight="true" outlineLevel="0" collapsed="false">
      <c r="E19" s="10" t="n">
        <v>15</v>
      </c>
      <c r="F19" s="60" t="n">
        <v>0.0028</v>
      </c>
      <c r="G19" s="60" t="n">
        <v>0.0033</v>
      </c>
    </row>
    <row r="20" customFormat="false" ht="15" hidden="false" customHeight="true" outlineLevel="0" collapsed="false">
      <c r="E20" s="10" t="n">
        <v>16</v>
      </c>
      <c r="F20" s="60" t="n">
        <v>0.0049</v>
      </c>
      <c r="G20" s="60" t="n">
        <v>0.0063</v>
      </c>
    </row>
    <row r="21" customFormat="false" ht="15" hidden="false" customHeight="true" outlineLevel="0" collapsed="false">
      <c r="E21" s="10" t="n">
        <v>17</v>
      </c>
      <c r="F21" s="60" t="n">
        <v>0.0064</v>
      </c>
      <c r="G21" s="60" t="n">
        <v>0.0075</v>
      </c>
    </row>
    <row r="22" customFormat="false" ht="15" hidden="false" customHeight="true" outlineLevel="0" collapsed="false">
      <c r="E22" s="10" t="n">
        <v>18</v>
      </c>
      <c r="F22" s="60" t="n">
        <v>0.0027</v>
      </c>
      <c r="G22" s="60" t="n">
        <v>0.0059</v>
      </c>
    </row>
    <row r="26" customFormat="false" ht="39.75" hidden="false" customHeight="true" outlineLevel="0" collapsed="false">
      <c r="A26" s="21" t="s">
        <v>1152</v>
      </c>
      <c r="B26" s="21" t="s">
        <v>1153</v>
      </c>
      <c r="C26" s="21" t="s">
        <v>1154</v>
      </c>
      <c r="D26" s="21" t="s">
        <v>1155</v>
      </c>
      <c r="E26" s="21" t="s">
        <v>193</v>
      </c>
      <c r="F26" s="21" t="s">
        <v>1057</v>
      </c>
      <c r="G26" s="21" t="s">
        <v>1061</v>
      </c>
      <c r="H26" s="21" t="s">
        <v>1062</v>
      </c>
      <c r="I26" s="21" t="s">
        <v>1063</v>
      </c>
      <c r="J26" s="21" t="s">
        <v>1064</v>
      </c>
      <c r="K26" s="21" t="s">
        <v>1066</v>
      </c>
      <c r="L26" s="21" t="s">
        <v>1156</v>
      </c>
      <c r="M26" s="21" t="s">
        <v>1157</v>
      </c>
    </row>
    <row r="27" customFormat="false" ht="15" hidden="false" customHeight="true" outlineLevel="0" collapsed="false">
      <c r="A27" s="62" t="n">
        <v>1</v>
      </c>
      <c r="B27" s="59" t="n">
        <v>-0.310405812804159</v>
      </c>
      <c r="C27" s="59" t="n">
        <v>-1.1824319020216</v>
      </c>
      <c r="D27" s="59" t="n">
        <v>1.82961491548232</v>
      </c>
      <c r="E27" s="60" t="n">
        <v>-0.00136516707486493</v>
      </c>
      <c r="F27" s="61" t="n">
        <v>0.230089708652061</v>
      </c>
      <c r="G27" s="55" t="n">
        <v>55.6434445588742</v>
      </c>
      <c r="H27" s="62" t="n">
        <v>0</v>
      </c>
      <c r="I27" s="62" t="n">
        <v>0</v>
      </c>
      <c r="J27" s="62" t="n">
        <v>0</v>
      </c>
      <c r="K27" s="62" t="n">
        <v>0</v>
      </c>
      <c r="L27" s="62" t="n">
        <v>0</v>
      </c>
      <c r="M27" s="61" t="n">
        <v>0.158686329234914</v>
      </c>
    </row>
    <row r="28" customFormat="false" ht="15" hidden="false" customHeight="true" outlineLevel="0" collapsed="false">
      <c r="A28" s="62" t="n">
        <v>2</v>
      </c>
      <c r="B28" s="59" t="n">
        <v>-0.323108901990682</v>
      </c>
      <c r="C28" s="59" t="n">
        <v>0.790856313638437</v>
      </c>
      <c r="D28" s="59" t="n">
        <v>1.01528356721414</v>
      </c>
      <c r="E28" s="60" t="n">
        <v>0.00433228838642339</v>
      </c>
      <c r="F28" s="61" t="n">
        <v>0.232266564683934</v>
      </c>
      <c r="G28" s="55" t="n">
        <v>72.2397552556272</v>
      </c>
      <c r="H28" s="62" t="n">
        <v>0</v>
      </c>
      <c r="I28" s="62" t="n">
        <v>0</v>
      </c>
      <c r="J28" s="62" t="n">
        <v>0</v>
      </c>
      <c r="K28" s="62" t="n">
        <v>0</v>
      </c>
      <c r="L28" s="62" t="n">
        <v>0</v>
      </c>
      <c r="M28" s="61" t="n">
        <v>0.158420910426243</v>
      </c>
    </row>
    <row r="29" customFormat="false" ht="15" hidden="false" customHeight="true" outlineLevel="0" collapsed="false">
      <c r="A29" s="62" t="n">
        <v>3</v>
      </c>
      <c r="B29" s="59" t="n">
        <v>0.464448601312505</v>
      </c>
      <c r="C29" s="59" t="n">
        <v>0.589829800924357</v>
      </c>
      <c r="D29" s="59" t="n">
        <v>0.847711611805414</v>
      </c>
      <c r="E29" s="60" t="n">
        <v>0.0011953456148589</v>
      </c>
      <c r="F29" s="61" t="n">
        <v>0.131841571746907</v>
      </c>
      <c r="G29" s="55" t="n">
        <v>24.389939451737</v>
      </c>
      <c r="H29" s="62" t="n">
        <v>0</v>
      </c>
      <c r="I29" s="62" t="n">
        <v>0</v>
      </c>
      <c r="J29" s="62" t="n">
        <v>0</v>
      </c>
      <c r="K29" s="62" t="n">
        <v>0</v>
      </c>
      <c r="L29" s="62" t="n">
        <v>0</v>
      </c>
      <c r="M29" s="61" t="n">
        <v>0.158402847561654</v>
      </c>
    </row>
    <row r="30" customFormat="false" ht="15" hidden="false" customHeight="true" outlineLevel="0" collapsed="false">
      <c r="A30" s="62" t="n">
        <v>4</v>
      </c>
      <c r="B30" s="59" t="n">
        <v>-0.324459458784154</v>
      </c>
      <c r="C30" s="59" t="n">
        <v>-0.20414289686852</v>
      </c>
      <c r="D30" s="59" t="n">
        <v>0.026337930815167</v>
      </c>
      <c r="E30" s="60" t="n">
        <v>-0.00311027250903707</v>
      </c>
      <c r="F30" s="61" t="n">
        <v>0.232498707967378</v>
      </c>
      <c r="G30" s="55" t="n">
        <v>42.6773014721728</v>
      </c>
      <c r="H30" s="62" t="n">
        <v>0</v>
      </c>
      <c r="I30" s="62" t="n">
        <v>0</v>
      </c>
      <c r="J30" s="62" t="n">
        <v>0</v>
      </c>
      <c r="K30" s="62" t="n">
        <v>0</v>
      </c>
      <c r="L30" s="62" t="n">
        <v>1</v>
      </c>
      <c r="M30" s="61" t="n">
        <v>0.361867376973006</v>
      </c>
    </row>
    <row r="31" customFormat="false" ht="15" hidden="false" customHeight="true" outlineLevel="0" collapsed="false">
      <c r="A31" s="62" t="n">
        <v>5</v>
      </c>
      <c r="B31" s="59" t="n">
        <v>-1.00149291029989</v>
      </c>
      <c r="C31" s="59" t="n">
        <v>0.145830590573685</v>
      </c>
      <c r="D31" s="59" t="n">
        <v>-0.192672129459735</v>
      </c>
      <c r="E31" s="60" t="n">
        <v>0.00247224459277104</v>
      </c>
      <c r="F31" s="61" t="n">
        <v>0.36424784785902</v>
      </c>
      <c r="G31" s="55" t="n">
        <v>116.475626624127</v>
      </c>
      <c r="H31" s="62" t="n">
        <v>0</v>
      </c>
      <c r="I31" s="62" t="n">
        <v>0</v>
      </c>
      <c r="J31" s="62" t="n">
        <v>0</v>
      </c>
      <c r="K31" s="62" t="n">
        <v>0</v>
      </c>
      <c r="L31" s="62" t="n">
        <v>0</v>
      </c>
      <c r="M31" s="61" t="n">
        <v>0.162983193973637</v>
      </c>
    </row>
    <row r="32" customFormat="false" ht="15" hidden="false" customHeight="true" outlineLevel="0" collapsed="false">
      <c r="A32" s="62" t="n">
        <v>6</v>
      </c>
      <c r="B32" s="59" t="n">
        <v>0.490162323068284</v>
      </c>
      <c r="C32" s="59" t="n">
        <v>-0.307171516467925</v>
      </c>
      <c r="D32" s="59" t="n">
        <v>0.969239630014677</v>
      </c>
      <c r="E32" s="60" t="n">
        <v>-0.00550762635571245</v>
      </c>
      <c r="F32" s="61" t="n">
        <v>0.129433191717193</v>
      </c>
      <c r="G32" s="55" t="n">
        <v>-9.75187176692531</v>
      </c>
      <c r="H32" s="62" t="n">
        <v>0</v>
      </c>
      <c r="I32" s="62" t="n">
        <v>0</v>
      </c>
      <c r="J32" s="62" t="n">
        <v>0</v>
      </c>
      <c r="K32" s="62" t="n">
        <v>0</v>
      </c>
      <c r="L32" s="62" t="n">
        <v>0</v>
      </c>
      <c r="M32" s="61" t="n">
        <v>0.158402847561654</v>
      </c>
    </row>
    <row r="33" customFormat="false" ht="15" hidden="false" customHeight="true" outlineLevel="0" collapsed="false">
      <c r="A33" s="62" t="n">
        <v>7</v>
      </c>
      <c r="B33" s="59" t="n">
        <v>-0.896601055617316</v>
      </c>
      <c r="C33" s="59" t="n">
        <v>0.378356213194981</v>
      </c>
      <c r="D33" s="59" t="n">
        <v>0.736101508739284</v>
      </c>
      <c r="E33" s="60" t="n">
        <v>0.00265921351778188</v>
      </c>
      <c r="F33" s="61" t="n">
        <v>0.342062385604016</v>
      </c>
      <c r="G33" s="55" t="n">
        <v>107.772108388653</v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1" t="n">
        <v>0.158900495299964</v>
      </c>
    </row>
    <row r="34" customFormat="false" ht="15" hidden="false" customHeight="true" outlineLevel="0" collapsed="false">
      <c r="A34" s="62" t="n">
        <v>8</v>
      </c>
      <c r="B34" s="59" t="n">
        <v>0.574315904813326</v>
      </c>
      <c r="C34" s="59" t="n">
        <v>1.86420873426066</v>
      </c>
      <c r="D34" s="59" t="n">
        <v>0.309511405708852</v>
      </c>
      <c r="E34" s="60" t="n">
        <v>0.00582361942772271</v>
      </c>
      <c r="F34" s="61" t="n">
        <v>0.121766002910564</v>
      </c>
      <c r="G34" s="55" t="n">
        <v>56.0550603411833</v>
      </c>
      <c r="H34" s="62" t="n">
        <v>0</v>
      </c>
      <c r="I34" s="62" t="n">
        <v>0</v>
      </c>
      <c r="J34" s="62" t="n">
        <v>0</v>
      </c>
      <c r="K34" s="62" t="n">
        <v>0</v>
      </c>
      <c r="L34" s="62" t="n">
        <v>0</v>
      </c>
      <c r="M34" s="61" t="n">
        <v>0.158402847561654</v>
      </c>
    </row>
    <row r="35" customFormat="false" ht="15" hidden="false" customHeight="true" outlineLevel="0" collapsed="false">
      <c r="A35" s="62" t="n">
        <v>9</v>
      </c>
      <c r="B35" s="59" t="n">
        <v>-2.0585690390546</v>
      </c>
      <c r="C35" s="59" t="n">
        <v>-0.822299940583597</v>
      </c>
      <c r="D35" s="59" t="n">
        <v>-1.01175640476566</v>
      </c>
      <c r="E35" s="60" t="n">
        <v>0.00531950522525991</v>
      </c>
      <c r="F35" s="61" t="n">
        <v>0.59972208931797</v>
      </c>
      <c r="G35" s="55" t="n">
        <v>664.463458081457</v>
      </c>
      <c r="H35" s="62" t="n">
        <v>13</v>
      </c>
      <c r="I35" s="62" t="n">
        <v>1</v>
      </c>
      <c r="J35" s="62" t="n">
        <v>1</v>
      </c>
      <c r="K35" s="62" t="n">
        <v>1</v>
      </c>
      <c r="L35" s="62" t="n">
        <v>0</v>
      </c>
      <c r="M35" s="61" t="n">
        <v>0.999999999999985</v>
      </c>
    </row>
    <row r="36" customFormat="false" ht="15" hidden="false" customHeight="true" outlineLevel="0" collapsed="false">
      <c r="A36" s="62" t="n">
        <v>10</v>
      </c>
      <c r="B36" s="59" t="n">
        <v>0.053982974646462</v>
      </c>
      <c r="C36" s="59" t="n">
        <v>0.334908414861274</v>
      </c>
      <c r="D36" s="59" t="n">
        <v>-0.50853424972335</v>
      </c>
      <c r="E36" s="60" t="n">
        <v>0.000931930889127199</v>
      </c>
      <c r="F36" s="61" t="n">
        <v>0.174513231315767</v>
      </c>
      <c r="G36" s="55" t="n">
        <v>22.8167837798048</v>
      </c>
      <c r="H36" s="62" t="n">
        <v>0</v>
      </c>
      <c r="I36" s="62" t="n">
        <v>0</v>
      </c>
      <c r="J36" s="62" t="n">
        <v>0</v>
      </c>
      <c r="K36" s="62" t="n">
        <v>0</v>
      </c>
      <c r="L36" s="62" t="n">
        <v>0</v>
      </c>
      <c r="M36" s="61" t="n">
        <v>0.158946816830319</v>
      </c>
    </row>
    <row r="37" customFormat="false" ht="15" hidden="false" customHeight="true" outlineLevel="0" collapsed="false">
      <c r="A37" s="62" t="n">
        <v>11</v>
      </c>
      <c r="B37" s="59" t="n">
        <v>-0.529201876621979</v>
      </c>
      <c r="C37" s="59" t="n">
        <v>1.02894389703975</v>
      </c>
      <c r="D37" s="59" t="n">
        <v>-1.64100062439406</v>
      </c>
      <c r="E37" s="60" t="n">
        <v>0.0162256503270119</v>
      </c>
      <c r="F37" s="61" t="n">
        <v>0.269222207639901</v>
      </c>
      <c r="G37" s="55" t="n">
        <v>180.750262592998</v>
      </c>
      <c r="H37" s="62" t="n">
        <v>0</v>
      </c>
      <c r="I37" s="62" t="n">
        <v>0</v>
      </c>
      <c r="J37" s="62" t="n">
        <v>0</v>
      </c>
      <c r="K37" s="62" t="n">
        <v>0</v>
      </c>
      <c r="L37" s="62" t="n">
        <v>0</v>
      </c>
      <c r="M37" s="61" t="n">
        <v>0.174607639348197</v>
      </c>
    </row>
    <row r="38" customFormat="false" ht="15" hidden="false" customHeight="true" outlineLevel="0" collapsed="false">
      <c r="A38" s="62" t="n">
        <v>12</v>
      </c>
      <c r="B38" s="59" t="n">
        <v>0.514585461919771</v>
      </c>
      <c r="C38" s="59" t="n">
        <v>0.897235776966006</v>
      </c>
      <c r="D38" s="59" t="n">
        <v>0.777852986780031</v>
      </c>
      <c r="E38" s="60" t="n">
        <v>0.00535295302803688</v>
      </c>
      <c r="F38" s="61" t="n">
        <v>0.12717420491006</v>
      </c>
      <c r="G38" s="55" t="n">
        <v>70.0741242916563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1</v>
      </c>
      <c r="M38" s="61" t="n">
        <v>0.36145222914658</v>
      </c>
    </row>
    <row r="39" customFormat="false" ht="15" hidden="false" customHeight="true" outlineLevel="0" collapsed="false">
      <c r="A39" s="62" t="n">
        <v>13</v>
      </c>
      <c r="B39" s="59" t="n">
        <v>-0.0085054200034993</v>
      </c>
      <c r="C39" s="59" t="n">
        <v>-0.211982909718869</v>
      </c>
      <c r="D39" s="59" t="n">
        <v>1.20627981233197</v>
      </c>
      <c r="E39" s="60" t="n">
        <v>-0.00264440531722671</v>
      </c>
      <c r="F39" s="61" t="n">
        <v>0.181974617835848</v>
      </c>
      <c r="G39" s="55" t="n">
        <v>5.82092214766053</v>
      </c>
      <c r="H39" s="62" t="n">
        <v>0</v>
      </c>
      <c r="I39" s="62" t="n">
        <v>0</v>
      </c>
      <c r="J39" s="62" t="n">
        <v>0</v>
      </c>
      <c r="K39" s="62" t="n">
        <v>0</v>
      </c>
      <c r="L39" s="62" t="n">
        <v>0</v>
      </c>
      <c r="M39" s="61" t="n">
        <v>0.158403147756907</v>
      </c>
    </row>
    <row r="40" customFormat="false" ht="15" hidden="false" customHeight="true" outlineLevel="0" collapsed="false">
      <c r="A40" s="62" t="n">
        <v>14</v>
      </c>
      <c r="B40" s="59" t="n">
        <v>-1.11255407020305</v>
      </c>
      <c r="C40" s="59" t="n">
        <v>-3.41422036331265</v>
      </c>
      <c r="D40" s="59" t="n">
        <v>0.793278101305555</v>
      </c>
      <c r="E40" s="60" t="n">
        <v>-0.0085323783444162</v>
      </c>
      <c r="F40" s="61" t="n">
        <v>0.388282983682218</v>
      </c>
      <c r="G40" s="55" t="n">
        <v>125.904003686064</v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1" t="n">
        <v>0.170396586019281</v>
      </c>
    </row>
    <row r="41" customFormat="false" ht="15" hidden="false" customHeight="true" outlineLevel="0" collapsed="false">
      <c r="A41" s="62" t="n">
        <v>15</v>
      </c>
      <c r="B41" s="59" t="n">
        <v>-0.616910724464612</v>
      </c>
      <c r="C41" s="59" t="n">
        <v>0.224868852608439</v>
      </c>
      <c r="D41" s="59" t="n">
        <v>-0.347980986916542</v>
      </c>
      <c r="E41" s="60" t="n">
        <v>-0.0011845450942106</v>
      </c>
      <c r="F41" s="61" t="n">
        <v>0.285847174252523</v>
      </c>
      <c r="G41" s="55" t="n">
        <v>59.7334615491001</v>
      </c>
      <c r="H41" s="62" t="n">
        <v>0</v>
      </c>
      <c r="I41" s="62" t="n">
        <v>0</v>
      </c>
      <c r="J41" s="62" t="n">
        <v>0</v>
      </c>
      <c r="K41" s="62" t="n">
        <v>0</v>
      </c>
      <c r="L41" s="62" t="n">
        <v>0</v>
      </c>
      <c r="M41" s="61" t="n">
        <v>0.159355407188234</v>
      </c>
    </row>
    <row r="42" customFormat="false" ht="15" hidden="false" customHeight="true" outlineLevel="0" collapsed="false">
      <c r="A42" s="62" t="n">
        <v>16</v>
      </c>
      <c r="B42" s="59" t="n">
        <v>0.0526034569095692</v>
      </c>
      <c r="C42" s="59" t="n">
        <v>2.1767228227096</v>
      </c>
      <c r="D42" s="59" t="n">
        <v>0.701754051231662</v>
      </c>
      <c r="E42" s="60" t="n">
        <v>0.0135839631419436</v>
      </c>
      <c r="F42" s="61" t="n">
        <v>0.174670154430458</v>
      </c>
      <c r="G42" s="55" t="n">
        <v>109.594139875691</v>
      </c>
      <c r="H42" s="62" t="n">
        <v>0</v>
      </c>
      <c r="I42" s="62" t="n">
        <v>0</v>
      </c>
      <c r="J42" s="62" t="n">
        <v>0</v>
      </c>
      <c r="K42" s="62" t="n">
        <v>0</v>
      </c>
      <c r="L42" s="62" t="n">
        <v>0</v>
      </c>
      <c r="M42" s="61" t="n">
        <v>0.158403037005956</v>
      </c>
    </row>
    <row r="43" customFormat="false" ht="15" hidden="false" customHeight="true" outlineLevel="0" collapsed="false">
      <c r="A43" s="62" t="n">
        <v>17</v>
      </c>
      <c r="B43" s="59" t="n">
        <v>1.47035552235794</v>
      </c>
      <c r="C43" s="59" t="n">
        <v>0.876480479446909</v>
      </c>
      <c r="D43" s="59" t="n">
        <v>-0.0764174032941861</v>
      </c>
      <c r="E43" s="60" t="n">
        <v>0.0222527436715692</v>
      </c>
      <c r="F43" s="61" t="n">
        <v>0.0591989780964397</v>
      </c>
      <c r="G43" s="55" t="n">
        <v>169.598402834039</v>
      </c>
      <c r="H43" s="62" t="n">
        <v>0</v>
      </c>
      <c r="I43" s="62" t="n">
        <v>0</v>
      </c>
      <c r="J43" s="62" t="n">
        <v>0</v>
      </c>
      <c r="K43" s="62" t="n">
        <v>0</v>
      </c>
      <c r="L43" s="62" t="n">
        <v>0</v>
      </c>
      <c r="M43" s="61" t="n">
        <v>0.158465264826047</v>
      </c>
    </row>
    <row r="44" customFormat="false" ht="15" hidden="false" customHeight="true" outlineLevel="0" collapsed="false">
      <c r="A44" s="62" t="n">
        <v>18</v>
      </c>
      <c r="B44" s="59" t="n">
        <v>-0.361264085901684</v>
      </c>
      <c r="C44" s="59" t="n">
        <v>-0.954047402676822</v>
      </c>
      <c r="D44" s="59" t="n">
        <v>-0.371644946203165</v>
      </c>
      <c r="E44" s="60" t="n">
        <v>0.00161362608029316</v>
      </c>
      <c r="F44" s="61" t="n">
        <v>0.2388769181026</v>
      </c>
      <c r="G44" s="55" t="n">
        <v>72.6952614365926</v>
      </c>
      <c r="H44" s="62" t="n">
        <v>0</v>
      </c>
      <c r="I44" s="62" t="n">
        <v>0</v>
      </c>
      <c r="J44" s="62" t="n">
        <v>0</v>
      </c>
      <c r="K44" s="62" t="n">
        <v>0</v>
      </c>
      <c r="L44" s="62" t="n">
        <v>0</v>
      </c>
      <c r="M44" s="61" t="n">
        <v>0.159229342914741</v>
      </c>
    </row>
    <row r="45" customFormat="false" ht="15" hidden="false" customHeight="true" outlineLevel="0" collapsed="false">
      <c r="A45" s="62" t="n">
        <v>19</v>
      </c>
      <c r="B45" s="59" t="n">
        <v>-0.507308896810744</v>
      </c>
      <c r="C45" s="59" t="n">
        <v>-0.267233369191404</v>
      </c>
      <c r="D45" s="59" t="n">
        <v>0.00436310647485284</v>
      </c>
      <c r="E45" s="60" t="n">
        <v>0.00895052002700161</v>
      </c>
      <c r="F45" s="61" t="n">
        <v>0.265153613513536</v>
      </c>
      <c r="G45" s="55" t="n">
        <v>121.026934458858</v>
      </c>
      <c r="H45" s="62" t="n">
        <v>0</v>
      </c>
      <c r="I45" s="62" t="n">
        <v>0</v>
      </c>
      <c r="J45" s="62" t="n">
        <v>0</v>
      </c>
      <c r="K45" s="62" t="n">
        <v>0</v>
      </c>
      <c r="L45" s="62" t="n">
        <v>0</v>
      </c>
      <c r="M45" s="61" t="n">
        <v>0.158742218219449</v>
      </c>
    </row>
    <row r="46" customFormat="false" ht="15" hidden="false" customHeight="true" outlineLevel="0" collapsed="false">
      <c r="A46" s="62" t="n">
        <v>20</v>
      </c>
      <c r="B46" s="59" t="n">
        <v>-0.670433310073729</v>
      </c>
      <c r="C46" s="59" t="n">
        <v>0.656306167977785</v>
      </c>
      <c r="D46" s="59" t="n">
        <v>0.54620609239239</v>
      </c>
      <c r="E46" s="60" t="n">
        <v>-0.00270049564481396</v>
      </c>
      <c r="F46" s="61" t="n">
        <v>0.296240111326871</v>
      </c>
      <c r="G46" s="55" t="n">
        <v>54.655344538563</v>
      </c>
      <c r="H46" s="62" t="n">
        <v>0</v>
      </c>
      <c r="I46" s="62" t="n">
        <v>0</v>
      </c>
      <c r="J46" s="62" t="n">
        <v>0</v>
      </c>
      <c r="K46" s="62" t="n">
        <v>0</v>
      </c>
      <c r="L46" s="62" t="n">
        <v>0</v>
      </c>
      <c r="M46" s="61" t="n">
        <v>0.158802284247834</v>
      </c>
    </row>
    <row r="47" customFormat="false" ht="15" hidden="false" customHeight="true" outlineLevel="0" collapsed="false">
      <c r="A47" s="62" t="n">
        <v>21</v>
      </c>
      <c r="B47" s="59" t="n">
        <v>0.358896147755276</v>
      </c>
      <c r="C47" s="59" t="n">
        <v>-0.195304467984853</v>
      </c>
      <c r="D47" s="59" t="n">
        <v>0.14779300422323</v>
      </c>
      <c r="E47" s="60" t="n">
        <v>-0.00267763976746166</v>
      </c>
      <c r="F47" s="61" t="n">
        <v>0.142052343341477</v>
      </c>
      <c r="G47" s="55" t="n">
        <v>4.7142832342167</v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1" t="n">
        <v>0.158402847561654</v>
      </c>
    </row>
    <row r="48" customFormat="false" ht="15" hidden="false" customHeight="true" outlineLevel="0" collapsed="false">
      <c r="A48" s="62" t="n">
        <v>22</v>
      </c>
      <c r="B48" s="59" t="n">
        <v>0.918238173373171</v>
      </c>
      <c r="C48" s="59" t="n">
        <v>-1.30032813969681</v>
      </c>
      <c r="D48" s="59" t="n">
        <v>2.10336278470412</v>
      </c>
      <c r="E48" s="60" t="n">
        <v>-0.00277222006604804</v>
      </c>
      <c r="F48" s="61" t="n">
        <v>0.0937674088550278</v>
      </c>
      <c r="G48" s="55" t="n">
        <v>29.9713555221345</v>
      </c>
      <c r="H48" s="62" t="n">
        <v>0</v>
      </c>
      <c r="I48" s="62" t="n">
        <v>0</v>
      </c>
      <c r="J48" s="62" t="n">
        <v>0</v>
      </c>
      <c r="K48" s="62" t="n">
        <v>0</v>
      </c>
      <c r="L48" s="62" t="n">
        <v>0</v>
      </c>
      <c r="M48" s="61" t="n">
        <v>0.158402847561654</v>
      </c>
    </row>
    <row r="49" customFormat="false" ht="15" hidden="false" customHeight="true" outlineLevel="0" collapsed="false">
      <c r="A49" s="62" t="n">
        <v>23</v>
      </c>
      <c r="B49" s="59" t="n">
        <v>0.20358300278765</v>
      </c>
      <c r="C49" s="59" t="n">
        <v>0.741766395039962</v>
      </c>
      <c r="D49" s="59" t="n">
        <v>-0.0178893609128005</v>
      </c>
      <c r="E49" s="60" t="n">
        <v>0.00599314700215324</v>
      </c>
      <c r="F49" s="61" t="n">
        <v>0.158034069508974</v>
      </c>
      <c r="G49" s="55" t="n">
        <v>57.433969351091</v>
      </c>
      <c r="H49" s="62" t="n">
        <v>0</v>
      </c>
      <c r="I49" s="62" t="n">
        <v>0</v>
      </c>
      <c r="J49" s="62" t="n">
        <v>0</v>
      </c>
      <c r="K49" s="62" t="n">
        <v>0</v>
      </c>
      <c r="L49" s="62" t="n">
        <v>0</v>
      </c>
      <c r="M49" s="61" t="n">
        <v>0.158417083255057</v>
      </c>
    </row>
    <row r="50" customFormat="false" ht="15" hidden="false" customHeight="true" outlineLevel="0" collapsed="false">
      <c r="A50" s="62" t="n">
        <v>24</v>
      </c>
      <c r="B50" s="59" t="n">
        <v>-0.577192569132782</v>
      </c>
      <c r="C50" s="59" t="n">
        <v>-0.194099443031775</v>
      </c>
      <c r="D50" s="59" t="n">
        <v>0.0978651549827063</v>
      </c>
      <c r="E50" s="60" t="n">
        <v>-0.000529199078619401</v>
      </c>
      <c r="F50" s="61" t="n">
        <v>0.278255049324799</v>
      </c>
      <c r="G50" s="55" t="n">
        <v>61.4167952074003</v>
      </c>
      <c r="H50" s="62" t="n">
        <v>0</v>
      </c>
      <c r="I50" s="62" t="n">
        <v>0</v>
      </c>
      <c r="J50" s="62" t="n">
        <v>0</v>
      </c>
      <c r="K50" s="62" t="n">
        <v>0</v>
      </c>
      <c r="L50" s="62" t="n">
        <v>0</v>
      </c>
      <c r="M50" s="61" t="n">
        <v>0.15876886577864</v>
      </c>
    </row>
    <row r="51" customFormat="false" ht="15" hidden="false" customHeight="true" outlineLevel="0" collapsed="false">
      <c r="A51" s="62" t="n">
        <v>25</v>
      </c>
      <c r="B51" s="59" t="n">
        <v>-0.280855589863329</v>
      </c>
      <c r="C51" s="59" t="n">
        <v>0.0129392940575629</v>
      </c>
      <c r="D51" s="59" t="n">
        <v>0.679326399066101</v>
      </c>
      <c r="E51" s="60" t="n">
        <v>-0.00553328181473893</v>
      </c>
      <c r="F51" s="61" t="n">
        <v>0.225072496832382</v>
      </c>
      <c r="G51" s="55" t="n">
        <v>6.46472530746402</v>
      </c>
      <c r="H51" s="62" t="n">
        <v>0</v>
      </c>
      <c r="I51" s="62" t="n">
        <v>0</v>
      </c>
      <c r="J51" s="62" t="n">
        <v>0</v>
      </c>
      <c r="K51" s="62" t="n">
        <v>0</v>
      </c>
      <c r="L51" s="62" t="n">
        <v>0</v>
      </c>
      <c r="M51" s="61" t="n">
        <v>0.158407957358276</v>
      </c>
    </row>
    <row r="52" customFormat="false" ht="15" hidden="false" customHeight="true" outlineLevel="0" collapsed="false">
      <c r="A52" s="62" t="n">
        <v>26</v>
      </c>
      <c r="B52" s="59" t="n">
        <v>0.160483025562661</v>
      </c>
      <c r="C52" s="59" t="n">
        <v>0.168311083220086</v>
      </c>
      <c r="D52" s="59" t="n">
        <v>0.569039897142824</v>
      </c>
      <c r="E52" s="60" t="n">
        <v>0.0105464822398337</v>
      </c>
      <c r="F52" s="61" t="n">
        <v>0.162672353137451</v>
      </c>
      <c r="G52" s="55" t="n">
        <v>89.1991547802818</v>
      </c>
      <c r="H52" s="62" t="n">
        <v>0</v>
      </c>
      <c r="I52" s="62" t="n">
        <v>0</v>
      </c>
      <c r="J52" s="62" t="n">
        <v>0</v>
      </c>
      <c r="K52" s="62" t="n">
        <v>0</v>
      </c>
      <c r="L52" s="62" t="n">
        <v>0</v>
      </c>
      <c r="M52" s="61" t="n">
        <v>0.158402902563934</v>
      </c>
    </row>
    <row r="53" customFormat="false" ht="15" hidden="false" customHeight="true" outlineLevel="0" collapsed="false">
      <c r="A53" s="62" t="n">
        <v>27</v>
      </c>
      <c r="B53" s="59" t="n">
        <v>-0.0103204795578783</v>
      </c>
      <c r="C53" s="59" t="n">
        <v>0.488849869041414</v>
      </c>
      <c r="D53" s="59" t="n">
        <v>0.189217796524644</v>
      </c>
      <c r="E53" s="60" t="n">
        <v>0.00312340032064121</v>
      </c>
      <c r="F53" s="61" t="n">
        <v>0.182242771936029</v>
      </c>
      <c r="G53" s="55" t="n">
        <v>38.5864457198125</v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1" t="n">
        <v>0.158403149106106</v>
      </c>
    </row>
    <row r="54" customFormat="false" ht="15" hidden="false" customHeight="true" outlineLevel="0" collapsed="false">
      <c r="A54" s="62" t="n">
        <v>28</v>
      </c>
      <c r="B54" s="59" t="n">
        <v>-0.221883956561856</v>
      </c>
      <c r="C54" s="59" t="n">
        <v>-0.183535943867945</v>
      </c>
      <c r="D54" s="59" t="n">
        <v>-0.405192138214624</v>
      </c>
      <c r="E54" s="60" t="n">
        <v>-0.00321046532808236</v>
      </c>
      <c r="F54" s="61" t="n">
        <v>0.215256697131715</v>
      </c>
      <c r="G54" s="55" t="n">
        <v>16.5477813785791</v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1" t="n">
        <v>0.159137275734913</v>
      </c>
    </row>
    <row r="55" customFormat="false" ht="15" hidden="false" customHeight="true" outlineLevel="0" collapsed="false">
      <c r="A55" s="62" t="n">
        <v>29</v>
      </c>
      <c r="B55" s="59" t="n">
        <v>0.365591226649313</v>
      </c>
      <c r="C55" s="59" t="n">
        <v>2.30864326353425</v>
      </c>
      <c r="D55" s="59" t="n">
        <v>1.69515895820564</v>
      </c>
      <c r="E55" s="60" t="n">
        <v>0.00397303617840283</v>
      </c>
      <c r="F55" s="61" t="n">
        <v>0.14138911333972</v>
      </c>
      <c r="G55" s="55" t="n">
        <v>43.2669855079356</v>
      </c>
      <c r="H55" s="62" t="n">
        <v>0</v>
      </c>
      <c r="I55" s="62" t="n">
        <v>0</v>
      </c>
      <c r="J55" s="62" t="n">
        <v>0</v>
      </c>
      <c r="K55" s="62" t="n">
        <v>0</v>
      </c>
      <c r="L55" s="62" t="n">
        <v>0</v>
      </c>
      <c r="M55" s="61" t="n">
        <v>0.158402847561654</v>
      </c>
    </row>
    <row r="56" customFormat="false" ht="15" hidden="false" customHeight="true" outlineLevel="0" collapsed="false">
      <c r="A56" s="62" t="n">
        <v>30</v>
      </c>
      <c r="B56" s="59" t="n">
        <v>1.06116852796069</v>
      </c>
      <c r="C56" s="59" t="n">
        <v>2.86118318674318</v>
      </c>
      <c r="D56" s="59" t="n">
        <v>-0.86624554145101</v>
      </c>
      <c r="E56" s="60" t="n">
        <v>-0.0157055969336158</v>
      </c>
      <c r="F56" s="61" t="n">
        <v>0.0836467447447525</v>
      </c>
      <c r="G56" s="55" t="n">
        <v>-77.0281770758284</v>
      </c>
      <c r="H56" s="62" t="n">
        <v>0</v>
      </c>
      <c r="I56" s="62" t="n">
        <v>0</v>
      </c>
      <c r="J56" s="62" t="n">
        <v>0</v>
      </c>
      <c r="K56" s="62" t="n">
        <v>0</v>
      </c>
      <c r="L56" s="62" t="n">
        <v>0</v>
      </c>
      <c r="M56" s="61" t="n">
        <v>0.159518327807349</v>
      </c>
    </row>
    <row r="57" customFormat="false" ht="15" hidden="false" customHeight="true" outlineLevel="0" collapsed="false">
      <c r="A57" s="62" t="n">
        <v>31</v>
      </c>
      <c r="B57" s="59" t="n">
        <v>-0.430020557093295</v>
      </c>
      <c r="C57" s="59" t="n">
        <v>-1.63268606941687</v>
      </c>
      <c r="D57" s="59" t="n">
        <v>-0.606701840347476</v>
      </c>
      <c r="E57" s="60" t="n">
        <v>-0.015219603497096</v>
      </c>
      <c r="F57" s="61" t="n">
        <v>0.251057796973506</v>
      </c>
      <c r="G57" s="55" t="n">
        <v>-6.59912231693062</v>
      </c>
      <c r="H57" s="62" t="n">
        <v>0</v>
      </c>
      <c r="I57" s="62" t="n">
        <v>0</v>
      </c>
      <c r="J57" s="62" t="n">
        <v>0</v>
      </c>
      <c r="K57" s="62" t="n">
        <v>0</v>
      </c>
      <c r="L57" s="62" t="n">
        <v>0</v>
      </c>
      <c r="M57" s="61" t="n">
        <v>0.159873471065206</v>
      </c>
    </row>
    <row r="58" customFormat="false" ht="15" hidden="false" customHeight="true" outlineLevel="0" collapsed="false">
      <c r="A58" s="62" t="n">
        <v>32</v>
      </c>
      <c r="B58" s="59" t="n">
        <v>1.76113923386538</v>
      </c>
      <c r="C58" s="59" t="n">
        <v>1.60902880981465</v>
      </c>
      <c r="D58" s="59" t="n">
        <v>1.84363063125374</v>
      </c>
      <c r="E58" s="60" t="n">
        <v>0.0138672637512348</v>
      </c>
      <c r="F58" s="61" t="n">
        <v>0.0455123779009776</v>
      </c>
      <c r="G58" s="55" t="n">
        <v>111.582352192517</v>
      </c>
      <c r="H58" s="62" t="n">
        <v>0</v>
      </c>
      <c r="I58" s="62" t="n">
        <v>0</v>
      </c>
      <c r="J58" s="62" t="n">
        <v>0</v>
      </c>
      <c r="K58" s="62" t="n">
        <v>0</v>
      </c>
      <c r="L58" s="62" t="n">
        <v>0</v>
      </c>
      <c r="M58" s="61" t="n">
        <v>0.158402847561654</v>
      </c>
    </row>
    <row r="59" customFormat="false" ht="15" hidden="false" customHeight="true" outlineLevel="0" collapsed="false">
      <c r="A59" s="62" t="n">
        <v>33</v>
      </c>
      <c r="B59" s="59" t="n">
        <v>-0.115809046485673</v>
      </c>
      <c r="C59" s="59" t="n">
        <v>0.0418860735213802</v>
      </c>
      <c r="D59" s="59" t="n">
        <v>-0.0750489546533452</v>
      </c>
      <c r="E59" s="60" t="n">
        <v>0.009719509131247</v>
      </c>
      <c r="F59" s="61" t="n">
        <v>0.198269943910093</v>
      </c>
      <c r="G59" s="55" t="n">
        <v>110.196184372536</v>
      </c>
      <c r="H59" s="62" t="n">
        <v>0</v>
      </c>
      <c r="I59" s="62" t="n">
        <v>0</v>
      </c>
      <c r="J59" s="62" t="n">
        <v>0</v>
      </c>
      <c r="K59" s="62" t="n">
        <v>0</v>
      </c>
      <c r="L59" s="62" t="n">
        <v>1</v>
      </c>
      <c r="M59" s="61" t="n">
        <v>0.361857670094854</v>
      </c>
    </row>
    <row r="60" customFormat="false" ht="15" hidden="false" customHeight="true" outlineLevel="0" collapsed="false">
      <c r="A60" s="62" t="n">
        <v>34</v>
      </c>
      <c r="B60" s="59" t="n">
        <v>-0.506536173646865</v>
      </c>
      <c r="C60" s="59" t="n">
        <v>0.572412879346704</v>
      </c>
      <c r="D60" s="59" t="n">
        <v>-0.268808272661453</v>
      </c>
      <c r="E60" s="60" t="n">
        <v>0.00230231572607937</v>
      </c>
      <c r="F60" s="61" t="n">
        <v>0.265010614351019</v>
      </c>
      <c r="G60" s="55" t="n">
        <v>73.3935421595218</v>
      </c>
      <c r="H60" s="62" t="n">
        <v>0</v>
      </c>
      <c r="I60" s="62" t="n">
        <v>0</v>
      </c>
      <c r="J60" s="62" t="n">
        <v>0</v>
      </c>
      <c r="K60" s="62" t="n">
        <v>0</v>
      </c>
      <c r="L60" s="62" t="n">
        <v>0</v>
      </c>
      <c r="M60" s="61" t="n">
        <v>0.159116647282362</v>
      </c>
    </row>
    <row r="61" customFormat="false" ht="15" hidden="false" customHeight="true" outlineLevel="0" collapsed="false">
      <c r="A61" s="62" t="n">
        <v>35</v>
      </c>
      <c r="B61" s="59" t="n">
        <v>-0.821919291866351</v>
      </c>
      <c r="C61" s="59" t="n">
        <v>0.133418476641418</v>
      </c>
      <c r="D61" s="59" t="n">
        <v>0.46973402683534</v>
      </c>
      <c r="E61" s="60" t="n">
        <v>0.00088293844648659</v>
      </c>
      <c r="F61" s="61" t="n">
        <v>0.326609356528899</v>
      </c>
      <c r="G61" s="55" t="n">
        <v>89.533126518112</v>
      </c>
      <c r="H61" s="62" t="n">
        <v>0</v>
      </c>
      <c r="I61" s="62" t="n">
        <v>0</v>
      </c>
      <c r="J61" s="62" t="n">
        <v>0</v>
      </c>
      <c r="K61" s="62" t="n">
        <v>0</v>
      </c>
      <c r="L61" s="62" t="n">
        <v>0</v>
      </c>
      <c r="M61" s="61" t="n">
        <v>0.158867462145663</v>
      </c>
    </row>
    <row r="62" customFormat="false" ht="15" hidden="false" customHeight="true" outlineLevel="0" collapsed="false">
      <c r="A62" s="62" t="n">
        <v>36</v>
      </c>
      <c r="B62" s="59" t="n">
        <v>-0.711295882906603</v>
      </c>
      <c r="C62" s="59" t="n">
        <v>-0.558869656614882</v>
      </c>
      <c r="D62" s="59" t="n">
        <v>0.787438699711658</v>
      </c>
      <c r="E62" s="60" t="n">
        <v>0.00553917038618053</v>
      </c>
      <c r="F62" s="61" t="n">
        <v>0.304296427695697</v>
      </c>
      <c r="G62" s="55" t="n">
        <v>115.87375550313</v>
      </c>
      <c r="H62" s="62" t="n">
        <v>0</v>
      </c>
      <c r="I62" s="62" t="n">
        <v>0</v>
      </c>
      <c r="J62" s="62" t="n">
        <v>0</v>
      </c>
      <c r="K62" s="62" t="n">
        <v>0</v>
      </c>
      <c r="L62" s="62" t="n">
        <v>0</v>
      </c>
      <c r="M62" s="61" t="n">
        <v>0.158835777430443</v>
      </c>
    </row>
    <row r="63" customFormat="false" ht="15" hidden="false" customHeight="true" outlineLevel="0" collapsed="false">
      <c r="A63" s="62" t="n">
        <v>37</v>
      </c>
      <c r="B63" s="59" t="n">
        <v>-0.0778703894645759</v>
      </c>
      <c r="C63" s="59" t="n">
        <v>-1.49730260752641</v>
      </c>
      <c r="D63" s="59" t="n">
        <v>-0.217498226916906</v>
      </c>
      <c r="E63" s="60" t="n">
        <v>0.00332539675207068</v>
      </c>
      <c r="F63" s="61" t="n">
        <v>0.192405832635473</v>
      </c>
      <c r="G63" s="55" t="n">
        <v>79.8388106236192</v>
      </c>
      <c r="H63" s="62" t="n">
        <v>0</v>
      </c>
      <c r="I63" s="62" t="n">
        <v>0</v>
      </c>
      <c r="J63" s="62" t="n">
        <v>0</v>
      </c>
      <c r="K63" s="62" t="n">
        <v>0</v>
      </c>
      <c r="L63" s="62" t="n">
        <v>0</v>
      </c>
      <c r="M63" s="61" t="n">
        <v>0.15860648322429</v>
      </c>
    </row>
    <row r="64" customFormat="false" ht="15" hidden="false" customHeight="true" outlineLevel="0" collapsed="false">
      <c r="A64" s="62" t="n">
        <v>38</v>
      </c>
      <c r="B64" s="59" t="n">
        <v>0.449430329131499</v>
      </c>
      <c r="C64" s="59" t="n">
        <v>1.05146779017714</v>
      </c>
      <c r="D64" s="59" t="n">
        <v>0.841874239762347</v>
      </c>
      <c r="E64" s="60" t="n">
        <v>0.00216692240165724</v>
      </c>
      <c r="F64" s="61" t="n">
        <v>0.133262485814728</v>
      </c>
      <c r="G64" s="55" t="n">
        <v>30.9297524327236</v>
      </c>
      <c r="H64" s="62" t="n">
        <v>0</v>
      </c>
      <c r="I64" s="62" t="n">
        <v>0</v>
      </c>
      <c r="J64" s="62" t="n">
        <v>0</v>
      </c>
      <c r="K64" s="62" t="n">
        <v>0</v>
      </c>
      <c r="L64" s="62" t="n">
        <v>0</v>
      </c>
      <c r="M64" s="61" t="n">
        <v>0.158402847561654</v>
      </c>
    </row>
    <row r="65" customFormat="false" ht="15" hidden="false" customHeight="true" outlineLevel="0" collapsed="false">
      <c r="A65" s="62" t="n">
        <v>39</v>
      </c>
      <c r="B65" s="59" t="n">
        <v>-1.00466893790656</v>
      </c>
      <c r="C65" s="59" t="n">
        <v>-1.22709014751306</v>
      </c>
      <c r="D65" s="59" t="n">
        <v>-0.319315099249359</v>
      </c>
      <c r="E65" s="60" t="n">
        <v>0.0103208598979286</v>
      </c>
      <c r="F65" s="61" t="n">
        <v>0.3649277752778</v>
      </c>
      <c r="G65" s="55" t="n">
        <v>223.668010249938</v>
      </c>
      <c r="H65" s="62" t="n">
        <v>0</v>
      </c>
      <c r="I65" s="62" t="n">
        <v>0</v>
      </c>
      <c r="J65" s="62" t="n">
        <v>0</v>
      </c>
      <c r="K65" s="62" t="n">
        <v>0</v>
      </c>
      <c r="L65" s="62" t="n">
        <v>1</v>
      </c>
      <c r="M65" s="61" t="n">
        <v>0.41392572320604</v>
      </c>
    </row>
    <row r="66" customFormat="false" ht="15" hidden="false" customHeight="true" outlineLevel="0" collapsed="false">
      <c r="A66" s="62" t="n">
        <v>40</v>
      </c>
      <c r="B66" s="59" t="n">
        <v>0.285250254605256</v>
      </c>
      <c r="C66" s="59" t="n">
        <v>0.309911234042847</v>
      </c>
      <c r="D66" s="59" t="n">
        <v>0.636980214756562</v>
      </c>
      <c r="E66" s="60" t="n">
        <v>0.00955635790449683</v>
      </c>
      <c r="F66" s="61" t="n">
        <v>0.149487794204816</v>
      </c>
      <c r="G66" s="55" t="n">
        <v>82.2553497768876</v>
      </c>
      <c r="H66" s="62" t="n">
        <v>0</v>
      </c>
      <c r="I66" s="62" t="n">
        <v>0</v>
      </c>
      <c r="J66" s="62" t="n">
        <v>0</v>
      </c>
      <c r="K66" s="62" t="n">
        <v>0</v>
      </c>
      <c r="L66" s="62" t="n">
        <v>0</v>
      </c>
      <c r="M66" s="61" t="n">
        <v>0.158402847561654</v>
      </c>
    </row>
    <row r="67" customFormat="false" ht="15" hidden="false" customHeight="true" outlineLevel="0" collapsed="false">
      <c r="A67" s="62" t="n">
        <v>41</v>
      </c>
      <c r="B67" s="59" t="n">
        <v>0.32986192081061</v>
      </c>
      <c r="C67" s="59" t="n">
        <v>0.249747577418888</v>
      </c>
      <c r="D67" s="59" t="n">
        <v>0.293471668956553</v>
      </c>
      <c r="E67" s="60" t="n">
        <v>-0.00520749818642047</v>
      </c>
      <c r="F67" s="61" t="n">
        <v>0.144953045499518</v>
      </c>
      <c r="G67" s="55" t="n">
        <v>-14.6543373175767</v>
      </c>
      <c r="H67" s="62" t="n">
        <v>0</v>
      </c>
      <c r="I67" s="62" t="n">
        <v>0</v>
      </c>
      <c r="J67" s="62" t="n">
        <v>0</v>
      </c>
      <c r="K67" s="62" t="n">
        <v>0</v>
      </c>
      <c r="L67" s="62" t="n">
        <v>0</v>
      </c>
      <c r="M67" s="61" t="n">
        <v>0.158402847561654</v>
      </c>
    </row>
    <row r="68" customFormat="false" ht="15" hidden="false" customHeight="true" outlineLevel="0" collapsed="false">
      <c r="A68" s="62" t="n">
        <v>42</v>
      </c>
      <c r="B68" s="59" t="n">
        <v>-1.68361479615182</v>
      </c>
      <c r="C68" s="59" t="n">
        <v>-0.32897502400724</v>
      </c>
      <c r="D68" s="59" t="n">
        <v>-1.08586377386188</v>
      </c>
      <c r="E68" s="60" t="n">
        <v>0.00567156462291444</v>
      </c>
      <c r="F68" s="61" t="n">
        <v>0.517277329800772</v>
      </c>
      <c r="G68" s="55" t="n">
        <v>587.54576561842</v>
      </c>
      <c r="H68" s="62" t="n">
        <v>10</v>
      </c>
      <c r="I68" s="62" t="n">
        <v>1</v>
      </c>
      <c r="J68" s="62" t="n">
        <v>1</v>
      </c>
      <c r="K68" s="62" t="n">
        <v>1</v>
      </c>
      <c r="L68" s="62" t="n">
        <v>0</v>
      </c>
      <c r="M68" s="61" t="n">
        <v>0.999999999998512</v>
      </c>
    </row>
    <row r="69" customFormat="false" ht="15" hidden="false" customHeight="true" outlineLevel="0" collapsed="false">
      <c r="A69" s="62" t="n">
        <v>43</v>
      </c>
      <c r="B69" s="59" t="n">
        <v>-0.0207118012646719</v>
      </c>
      <c r="C69" s="59" t="n">
        <v>2.77089397553425</v>
      </c>
      <c r="D69" s="59" t="n">
        <v>-0.528630876237242</v>
      </c>
      <c r="E69" s="60" t="n">
        <v>-0.0199007921910831</v>
      </c>
      <c r="F69" s="61" t="n">
        <v>0.183782938972181</v>
      </c>
      <c r="G69" s="55" t="n">
        <v>-100.867770421485</v>
      </c>
      <c r="H69" s="62" t="n">
        <v>0</v>
      </c>
      <c r="I69" s="62" t="n">
        <v>0</v>
      </c>
      <c r="J69" s="62" t="n">
        <v>0</v>
      </c>
      <c r="K69" s="62" t="n">
        <v>0</v>
      </c>
      <c r="L69" s="62" t="n">
        <v>0</v>
      </c>
      <c r="M69" s="61" t="n">
        <v>0.15898006351696</v>
      </c>
    </row>
    <row r="70" customFormat="false" ht="15" hidden="false" customHeight="true" outlineLevel="0" collapsed="false">
      <c r="A70" s="62" t="n">
        <v>44</v>
      </c>
      <c r="B70" s="59" t="n">
        <v>0.0759306758580659</v>
      </c>
      <c r="C70" s="59" t="n">
        <v>2.02575220350522</v>
      </c>
      <c r="D70" s="59" t="n">
        <v>-0.977120702534906</v>
      </c>
      <c r="E70" s="60" t="n">
        <v>-0.0110917869886563</v>
      </c>
      <c r="F70" s="61" t="n">
        <v>0.172028825298287</v>
      </c>
      <c r="G70" s="55" t="n">
        <v>-49.1406730197759</v>
      </c>
      <c r="H70" s="62" t="n">
        <v>0</v>
      </c>
      <c r="I70" s="62" t="n">
        <v>0</v>
      </c>
      <c r="J70" s="62" t="n">
        <v>0</v>
      </c>
      <c r="K70" s="62" t="n">
        <v>0</v>
      </c>
      <c r="L70" s="62" t="n">
        <v>0</v>
      </c>
      <c r="M70" s="61" t="n">
        <v>0.160061888010955</v>
      </c>
    </row>
    <row r="71" customFormat="false" ht="15" hidden="false" customHeight="true" outlineLevel="0" collapsed="false">
      <c r="A71" s="62" t="n">
        <v>45</v>
      </c>
      <c r="B71" s="59" t="n">
        <v>-1.2166288964518</v>
      </c>
      <c r="C71" s="59" t="n">
        <v>-0.760978590999875</v>
      </c>
      <c r="D71" s="59" t="n">
        <v>-0.505428627329056</v>
      </c>
      <c r="E71" s="60" t="n">
        <v>0.00728451375011857</v>
      </c>
      <c r="F71" s="61" t="n">
        <v>0.411239341529515</v>
      </c>
      <c r="G71" s="55" t="n">
        <v>185.120617117287</v>
      </c>
      <c r="H71" s="62" t="n">
        <v>0</v>
      </c>
      <c r="I71" s="62" t="n">
        <v>0</v>
      </c>
      <c r="J71" s="62" t="n">
        <v>0</v>
      </c>
      <c r="K71" s="62" t="n">
        <v>0</v>
      </c>
      <c r="L71" s="62" t="n">
        <v>0</v>
      </c>
      <c r="M71" s="61" t="n">
        <v>0.200328648592072</v>
      </c>
    </row>
    <row r="72" customFormat="false" ht="15" hidden="false" customHeight="true" outlineLevel="0" collapsed="false">
      <c r="A72" s="62" t="n">
        <v>46</v>
      </c>
      <c r="B72" s="59" t="n">
        <v>0.446711091973838</v>
      </c>
      <c r="C72" s="59" t="n">
        <v>0.320334022011657</v>
      </c>
      <c r="D72" s="59" t="n">
        <v>0.79849206082341</v>
      </c>
      <c r="E72" s="60" t="n">
        <v>-0.00731251998554301</v>
      </c>
      <c r="F72" s="61" t="n">
        <v>0.133520887358906</v>
      </c>
      <c r="G72" s="55" t="n">
        <v>-10.125506502974</v>
      </c>
      <c r="H72" s="62" t="n">
        <v>0</v>
      </c>
      <c r="I72" s="62" t="n">
        <v>0</v>
      </c>
      <c r="J72" s="62" t="n">
        <v>0</v>
      </c>
      <c r="K72" s="62" t="n">
        <v>0</v>
      </c>
      <c r="L72" s="62" t="n">
        <v>1</v>
      </c>
      <c r="M72" s="61" t="n">
        <v>0.361452895312619</v>
      </c>
    </row>
    <row r="73" customFormat="false" ht="15" hidden="false" customHeight="true" outlineLevel="0" collapsed="false">
      <c r="A73" s="62" t="n">
        <v>47</v>
      </c>
      <c r="B73" s="59" t="n">
        <v>-1.07723460718764</v>
      </c>
      <c r="C73" s="59" t="n">
        <v>-0.850055824872762</v>
      </c>
      <c r="D73" s="59" t="n">
        <v>-0.246305853868987</v>
      </c>
      <c r="E73" s="60" t="n">
        <v>-0.00966969136864855</v>
      </c>
      <c r="F73" s="61" t="n">
        <v>0.380583574087504</v>
      </c>
      <c r="G73" s="55" t="n">
        <v>54.161760324923</v>
      </c>
      <c r="H73" s="62" t="n">
        <v>0</v>
      </c>
      <c r="I73" s="62" t="n">
        <v>0</v>
      </c>
      <c r="J73" s="62" t="n">
        <v>0</v>
      </c>
      <c r="K73" s="62" t="n">
        <v>0</v>
      </c>
      <c r="L73" s="62" t="n">
        <v>0</v>
      </c>
      <c r="M73" s="61" t="n">
        <v>0.164126892827303</v>
      </c>
    </row>
    <row r="74" customFormat="false" ht="15" hidden="false" customHeight="true" outlineLevel="0" collapsed="false">
      <c r="A74" s="62" t="n">
        <v>48</v>
      </c>
      <c r="B74" s="59" t="n">
        <v>-1.62807245484209</v>
      </c>
      <c r="C74" s="59" t="n">
        <v>-2.3686690238518</v>
      </c>
      <c r="D74" s="59" t="n">
        <v>-1.07316936058522</v>
      </c>
      <c r="E74" s="60" t="n">
        <v>0.00571815958073334</v>
      </c>
      <c r="F74" s="61" t="n">
        <v>0.504551140208678</v>
      </c>
      <c r="G74" s="55" t="n">
        <v>621.328118644966</v>
      </c>
      <c r="H74" s="62" t="n">
        <v>11</v>
      </c>
      <c r="I74" s="62" t="n">
        <v>1</v>
      </c>
      <c r="J74" s="62" t="n">
        <v>1</v>
      </c>
      <c r="K74" s="62" t="n">
        <v>1</v>
      </c>
      <c r="L74" s="62" t="n">
        <v>0</v>
      </c>
      <c r="M74" s="61" t="n">
        <v>0.99999999999956</v>
      </c>
    </row>
    <row r="75" customFormat="false" ht="15" hidden="false" customHeight="true" outlineLevel="0" collapsed="false">
      <c r="A75" s="62" t="n">
        <v>49</v>
      </c>
      <c r="B75" s="59" t="n">
        <v>-2.31360279214287</v>
      </c>
      <c r="C75" s="59" t="n">
        <v>-0.924811090033322</v>
      </c>
      <c r="D75" s="59" t="n">
        <v>-1.89013410933434</v>
      </c>
      <c r="E75" s="60" t="n">
        <v>0.00111925384944911</v>
      </c>
      <c r="F75" s="61" t="n">
        <v>0.644752580123714</v>
      </c>
      <c r="G75" s="55" t="n">
        <v>865.020444457611</v>
      </c>
      <c r="H75" s="62" t="n">
        <v>13</v>
      </c>
      <c r="I75" s="62" t="n">
        <v>3</v>
      </c>
      <c r="J75" s="62" t="n">
        <v>4</v>
      </c>
      <c r="K75" s="62" t="n">
        <v>1</v>
      </c>
      <c r="L75" s="62" t="n">
        <v>0</v>
      </c>
      <c r="M75" s="61" t="n">
        <v>1</v>
      </c>
    </row>
    <row r="76" customFormat="false" ht="15" hidden="false" customHeight="true" outlineLevel="0" collapsed="false">
      <c r="A76" s="62" t="n">
        <v>50</v>
      </c>
      <c r="B76" s="59" t="n">
        <v>-0.122046265000994</v>
      </c>
      <c r="C76" s="59" t="n">
        <v>-0.391464262069468</v>
      </c>
      <c r="D76" s="59" t="n">
        <v>-1.01959623382033</v>
      </c>
      <c r="E76" s="60" t="n">
        <v>0.00834638618438921</v>
      </c>
      <c r="F76" s="61" t="n">
        <v>0.199244728864201</v>
      </c>
      <c r="G76" s="55" t="n">
        <v>91.7379605221055</v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1" t="n">
        <v>0.160484987348209</v>
      </c>
    </row>
    <row r="77" customFormat="false" ht="15" hidden="false" customHeight="true" outlineLevel="0" collapsed="false">
      <c r="A77" s="62" t="n">
        <v>51</v>
      </c>
      <c r="B77" s="59" t="n">
        <v>-0.634809467870458</v>
      </c>
      <c r="C77" s="59" t="n">
        <v>0.474036739132445</v>
      </c>
      <c r="D77" s="59" t="n">
        <v>-0.30504410660621</v>
      </c>
      <c r="E77" s="60" t="n">
        <v>-0.00529982409700766</v>
      </c>
      <c r="F77" s="61" t="n">
        <v>0.289302263593081</v>
      </c>
      <c r="G77" s="55" t="n">
        <v>36.4992554145992</v>
      </c>
      <c r="H77" s="62" t="n">
        <v>0</v>
      </c>
      <c r="I77" s="62" t="n">
        <v>0</v>
      </c>
      <c r="J77" s="62" t="n">
        <v>0</v>
      </c>
      <c r="K77" s="62" t="n">
        <v>0</v>
      </c>
      <c r="L77" s="62" t="n">
        <v>0</v>
      </c>
      <c r="M77" s="61" t="n">
        <v>0.159282618271396</v>
      </c>
    </row>
    <row r="78" customFormat="false" ht="15" hidden="false" customHeight="true" outlineLevel="0" collapsed="false">
      <c r="A78" s="62" t="n">
        <v>52</v>
      </c>
      <c r="B78" s="59" t="n">
        <v>0.128677867433015</v>
      </c>
      <c r="C78" s="59" t="n">
        <v>-0.164958866320447</v>
      </c>
      <c r="D78" s="59" t="n">
        <v>0.249896599996145</v>
      </c>
      <c r="E78" s="60" t="n">
        <v>0.00183612577102568</v>
      </c>
      <c r="F78" s="61" t="n">
        <v>0.16615189334562</v>
      </c>
      <c r="G78" s="55" t="n">
        <v>32.6881446155028</v>
      </c>
      <c r="H78" s="62" t="n">
        <v>0</v>
      </c>
      <c r="I78" s="62" t="n">
        <v>0</v>
      </c>
      <c r="J78" s="62" t="n">
        <v>0</v>
      </c>
      <c r="K78" s="62" t="n">
        <v>0</v>
      </c>
      <c r="L78" s="62" t="n">
        <v>0</v>
      </c>
      <c r="M78" s="61" t="n">
        <v>0.158402946395945</v>
      </c>
    </row>
    <row r="79" customFormat="false" ht="15" hidden="false" customHeight="true" outlineLevel="0" collapsed="false">
      <c r="A79" s="62" t="n">
        <v>53</v>
      </c>
      <c r="B79" s="59" t="n">
        <v>0.124006627350139</v>
      </c>
      <c r="C79" s="59" t="n">
        <v>0.329563151296773</v>
      </c>
      <c r="D79" s="59" t="n">
        <v>0.152197134577953</v>
      </c>
      <c r="E79" s="60" t="n">
        <v>-0.0023976151238432</v>
      </c>
      <c r="F79" s="61" t="n">
        <v>0.166666996442311</v>
      </c>
      <c r="G79" s="55" t="n">
        <v>2.0181816035799</v>
      </c>
      <c r="H79" s="62" t="n">
        <v>0</v>
      </c>
      <c r="I79" s="62" t="n">
        <v>0</v>
      </c>
      <c r="J79" s="62" t="n">
        <v>0</v>
      </c>
      <c r="K79" s="62" t="n">
        <v>0</v>
      </c>
      <c r="L79" s="62" t="n">
        <v>0</v>
      </c>
      <c r="M79" s="61" t="n">
        <v>0.158402947361969</v>
      </c>
    </row>
    <row r="80" customFormat="false" ht="15" hidden="false" customHeight="true" outlineLevel="0" collapsed="false">
      <c r="A80" s="62" t="n">
        <v>54</v>
      </c>
      <c r="B80" s="59" t="n">
        <v>-0.529177972106872</v>
      </c>
      <c r="C80" s="59" t="n">
        <v>-1.76961552123246</v>
      </c>
      <c r="D80" s="59" t="n">
        <v>1.10062798773138</v>
      </c>
      <c r="E80" s="60" t="n">
        <v>-0.0206215713103036</v>
      </c>
      <c r="F80" s="61" t="n">
        <v>0.269217747266568</v>
      </c>
      <c r="G80" s="55" t="n">
        <v>-28.6032696000139</v>
      </c>
      <c r="H80" s="62" t="n">
        <v>0</v>
      </c>
      <c r="I80" s="62" t="n">
        <v>0</v>
      </c>
      <c r="J80" s="62" t="n">
        <v>0</v>
      </c>
      <c r="K80" s="62" t="n">
        <v>0</v>
      </c>
      <c r="L80" s="62" t="n">
        <v>0</v>
      </c>
      <c r="M80" s="61" t="n">
        <v>0.158788872490179</v>
      </c>
    </row>
    <row r="81" customFormat="false" ht="15" hidden="false" customHeight="true" outlineLevel="0" collapsed="false">
      <c r="A81" s="62" t="n">
        <v>55</v>
      </c>
      <c r="B81" s="59" t="n">
        <v>0.951917157672832</v>
      </c>
      <c r="C81" s="59" t="n">
        <v>1.95755306273011</v>
      </c>
      <c r="D81" s="59" t="n">
        <v>0.837470818424295</v>
      </c>
      <c r="E81" s="60" t="n">
        <v>-0.0152564098680845</v>
      </c>
      <c r="F81" s="61" t="n">
        <v>0.0913049754856362</v>
      </c>
      <c r="G81" s="55" t="n">
        <v>-74.9807784445502</v>
      </c>
      <c r="H81" s="62" t="n">
        <v>0</v>
      </c>
      <c r="I81" s="62" t="n">
        <v>0</v>
      </c>
      <c r="J81" s="62" t="n">
        <v>0</v>
      </c>
      <c r="K81" s="62" t="n">
        <v>0</v>
      </c>
      <c r="L81" s="62" t="n">
        <v>0</v>
      </c>
      <c r="M81" s="61" t="n">
        <v>0.158402847561654</v>
      </c>
    </row>
    <row r="82" customFormat="false" ht="15" hidden="false" customHeight="true" outlineLevel="0" collapsed="false">
      <c r="A82" s="62" t="n">
        <v>56</v>
      </c>
      <c r="B82" s="59" t="n">
        <v>-0.0604181965106836</v>
      </c>
      <c r="C82" s="59" t="n">
        <v>0.320305294138337</v>
      </c>
      <c r="D82" s="59" t="n">
        <v>-0.165923498875217</v>
      </c>
      <c r="E82" s="60" t="n">
        <v>-0.00437666797842245</v>
      </c>
      <c r="F82" s="61" t="n">
        <v>0.189745936056453</v>
      </c>
      <c r="G82" s="55" t="n">
        <v>-4.82351768425996</v>
      </c>
      <c r="H82" s="62" t="n">
        <v>0</v>
      </c>
      <c r="I82" s="62" t="n">
        <v>0</v>
      </c>
      <c r="J82" s="62" t="n">
        <v>0</v>
      </c>
      <c r="K82" s="62" t="n">
        <v>0</v>
      </c>
      <c r="L82" s="62" t="n">
        <v>0</v>
      </c>
      <c r="M82" s="61" t="n">
        <v>0.15854863440464</v>
      </c>
    </row>
    <row r="83" customFormat="false" ht="15" hidden="false" customHeight="true" outlineLevel="0" collapsed="false">
      <c r="A83" s="62" t="n">
        <v>57</v>
      </c>
      <c r="B83" s="59" t="n">
        <v>0.0438409815375304</v>
      </c>
      <c r="C83" s="59" t="n">
        <v>0.220086829002557</v>
      </c>
      <c r="D83" s="59" t="n">
        <v>1.30309419055292</v>
      </c>
      <c r="E83" s="60" t="n">
        <v>-0.00227858238881171</v>
      </c>
      <c r="F83" s="61" t="n">
        <v>0.175669020578798</v>
      </c>
      <c r="G83" s="55" t="n">
        <v>2.80901702697467</v>
      </c>
      <c r="H83" s="62" t="n">
        <v>0</v>
      </c>
      <c r="I83" s="62" t="n">
        <v>0</v>
      </c>
      <c r="J83" s="62" t="n">
        <v>0</v>
      </c>
      <c r="K83" s="62" t="n">
        <v>0</v>
      </c>
      <c r="L83" s="62" t="n">
        <v>0</v>
      </c>
      <c r="M83" s="61" t="n">
        <v>0.158403048184423</v>
      </c>
    </row>
    <row r="84" customFormat="false" ht="15" hidden="false" customHeight="true" outlineLevel="0" collapsed="false">
      <c r="A84" s="62" t="n">
        <v>58</v>
      </c>
      <c r="B84" s="59" t="n">
        <v>0.566026807207544</v>
      </c>
      <c r="C84" s="59" t="n">
        <v>2.335638841103</v>
      </c>
      <c r="D84" s="59" t="n">
        <v>0.399051219771977</v>
      </c>
      <c r="E84" s="60" t="n">
        <v>0.00527189570781264</v>
      </c>
      <c r="F84" s="61" t="n">
        <v>0.12250668001308</v>
      </c>
      <c r="G84" s="55" t="n">
        <v>52.2295727155457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1" t="n">
        <v>0.158402847561654</v>
      </c>
    </row>
    <row r="85" customFormat="false" ht="15" hidden="false" customHeight="true" outlineLevel="0" collapsed="false">
      <c r="A85" s="62" t="n">
        <v>59</v>
      </c>
      <c r="B85" s="59" t="n">
        <v>-0.439352658801591</v>
      </c>
      <c r="C85" s="59" t="n">
        <v>-0.852100830320335</v>
      </c>
      <c r="D85" s="59" t="n">
        <v>-0.555878350890057</v>
      </c>
      <c r="E85" s="60" t="n">
        <v>0.00682613926108466</v>
      </c>
      <c r="F85" s="61" t="n">
        <v>0.252737355121724</v>
      </c>
      <c r="G85" s="55" t="n">
        <v>111.458306899893</v>
      </c>
      <c r="H85" s="62" t="n">
        <v>0</v>
      </c>
      <c r="I85" s="62" t="n">
        <v>0</v>
      </c>
      <c r="J85" s="62" t="n">
        <v>0</v>
      </c>
      <c r="K85" s="62" t="n">
        <v>0</v>
      </c>
      <c r="L85" s="62" t="n">
        <v>0</v>
      </c>
      <c r="M85" s="61" t="n">
        <v>0.159698669227986</v>
      </c>
    </row>
    <row r="86" customFormat="false" ht="15" hidden="false" customHeight="true" outlineLevel="0" collapsed="false">
      <c r="A86" s="62" t="n">
        <v>60</v>
      </c>
      <c r="B86" s="59" t="n">
        <v>-0.756149722307093</v>
      </c>
      <c r="C86" s="59" t="n">
        <v>-1.58724407805919</v>
      </c>
      <c r="D86" s="59" t="n">
        <v>0.405325164104547</v>
      </c>
      <c r="E86" s="60" t="n">
        <v>-0.00167159975535101</v>
      </c>
      <c r="F86" s="61" t="n">
        <v>0.313256997459938</v>
      </c>
      <c r="G86" s="55" t="n">
        <v>94.0115726816227</v>
      </c>
      <c r="H86" s="62" t="n">
        <v>0</v>
      </c>
      <c r="I86" s="62" t="n">
        <v>0</v>
      </c>
      <c r="J86" s="62" t="n">
        <v>0</v>
      </c>
      <c r="K86" s="62" t="n">
        <v>0</v>
      </c>
      <c r="L86" s="62" t="n">
        <v>0</v>
      </c>
      <c r="M86" s="61" t="n">
        <v>0.158882555489947</v>
      </c>
    </row>
    <row r="87" customFormat="false" ht="15" hidden="false" customHeight="true" outlineLevel="0" collapsed="false">
      <c r="A87" s="62" t="n">
        <v>61</v>
      </c>
      <c r="B87" s="59" t="n">
        <v>0.186447628954808</v>
      </c>
      <c r="C87" s="59" t="n">
        <v>-0.407573897802004</v>
      </c>
      <c r="D87" s="59" t="n">
        <v>0.168851543471132</v>
      </c>
      <c r="E87" s="60" t="n">
        <v>0.00278836971130997</v>
      </c>
      <c r="F87" s="61" t="n">
        <v>0.159867525670442</v>
      </c>
      <c r="G87" s="55" t="n">
        <v>44.4610648871315</v>
      </c>
      <c r="H87" s="62" t="n">
        <v>0</v>
      </c>
      <c r="I87" s="62" t="n">
        <v>0</v>
      </c>
      <c r="J87" s="62" t="n">
        <v>0</v>
      </c>
      <c r="K87" s="62" t="n">
        <v>0</v>
      </c>
      <c r="L87" s="62" t="n">
        <v>0</v>
      </c>
      <c r="M87" s="61" t="n">
        <v>0.158402882810055</v>
      </c>
    </row>
    <row r="88" customFormat="false" ht="15" hidden="false" customHeight="true" outlineLevel="0" collapsed="false">
      <c r="A88" s="62" t="n">
        <v>62</v>
      </c>
      <c r="B88" s="59" t="n">
        <v>-0.104823476585915</v>
      </c>
      <c r="C88" s="59" t="n">
        <v>0.117384851637779</v>
      </c>
      <c r="D88" s="59" t="n">
        <v>-0.433985151707447</v>
      </c>
      <c r="E88" s="60" t="n">
        <v>0.00424348750881281</v>
      </c>
      <c r="F88" s="61" t="n">
        <v>0.196560407641855</v>
      </c>
      <c r="G88" s="55" t="n">
        <v>54.3625024443389</v>
      </c>
      <c r="H88" s="62" t="n">
        <v>0</v>
      </c>
      <c r="I88" s="62" t="n">
        <v>0</v>
      </c>
      <c r="J88" s="62" t="n">
        <v>0</v>
      </c>
      <c r="K88" s="62" t="n">
        <v>0</v>
      </c>
      <c r="L88" s="62" t="n">
        <v>0</v>
      </c>
      <c r="M88" s="61" t="n">
        <v>0.158861851773741</v>
      </c>
    </row>
    <row r="89" customFormat="false" ht="15" hidden="false" customHeight="true" outlineLevel="0" collapsed="false">
      <c r="A89" s="62" t="n">
        <v>63</v>
      </c>
      <c r="B89" s="59" t="n">
        <v>-0.288789857478559</v>
      </c>
      <c r="C89" s="59" t="n">
        <v>-1.36571010952201</v>
      </c>
      <c r="D89" s="59" t="n">
        <v>-0.139503964537079</v>
      </c>
      <c r="E89" s="60" t="n">
        <v>0.000855055144595288</v>
      </c>
      <c r="F89" s="61" t="n">
        <v>0.226413196622658</v>
      </c>
      <c r="G89" s="55" t="n">
        <v>73.0636552913283</v>
      </c>
      <c r="H89" s="62" t="n">
        <v>0</v>
      </c>
      <c r="I89" s="62" t="n">
        <v>0</v>
      </c>
      <c r="J89" s="62" t="n">
        <v>0</v>
      </c>
      <c r="K89" s="62" t="n">
        <v>0</v>
      </c>
      <c r="L89" s="62" t="n">
        <v>0</v>
      </c>
      <c r="M89" s="61" t="n">
        <v>0.158840101948092</v>
      </c>
    </row>
    <row r="90" customFormat="false" ht="15" hidden="false" customHeight="true" outlineLevel="0" collapsed="false">
      <c r="A90" s="62" t="n">
        <v>64</v>
      </c>
      <c r="B90" s="59" t="n">
        <v>-1.69528399956041</v>
      </c>
      <c r="C90" s="59" t="n">
        <v>-1.88421508029534</v>
      </c>
      <c r="D90" s="59" t="n">
        <v>-0.905949064272318</v>
      </c>
      <c r="E90" s="60" t="n">
        <v>0.0069571251459768</v>
      </c>
      <c r="F90" s="61" t="n">
        <v>0.519950187929965</v>
      </c>
      <c r="G90" s="55" t="n">
        <v>599.747695353542</v>
      </c>
      <c r="H90" s="62" t="n">
        <v>10</v>
      </c>
      <c r="I90" s="62" t="n">
        <v>1</v>
      </c>
      <c r="J90" s="62" t="n">
        <v>1</v>
      </c>
      <c r="K90" s="62" t="n">
        <v>1</v>
      </c>
      <c r="L90" s="62" t="n">
        <v>0</v>
      </c>
      <c r="M90" s="61" t="n">
        <v>0.999999999998591</v>
      </c>
    </row>
    <row r="91" customFormat="false" ht="15" hidden="false" customHeight="true" outlineLevel="0" collapsed="false">
      <c r="A91" s="62" t="n">
        <v>65</v>
      </c>
      <c r="B91" s="59" t="n">
        <v>-1.17155466633322</v>
      </c>
      <c r="C91" s="59" t="n">
        <v>-0.791372901447186</v>
      </c>
      <c r="D91" s="59" t="n">
        <v>0.0763779067980303</v>
      </c>
      <c r="E91" s="60" t="n">
        <v>-0.00379307119428154</v>
      </c>
      <c r="F91" s="61" t="n">
        <v>0.401250601060249</v>
      </c>
      <c r="G91" s="55" t="n">
        <v>95.5190912171842</v>
      </c>
      <c r="H91" s="62" t="n">
        <v>0</v>
      </c>
      <c r="I91" s="62" t="n">
        <v>0</v>
      </c>
      <c r="J91" s="62" t="n">
        <v>0</v>
      </c>
      <c r="K91" s="62" t="n">
        <v>0</v>
      </c>
      <c r="L91" s="62" t="n">
        <v>0</v>
      </c>
      <c r="M91" s="61" t="n">
        <v>0.162656519976973</v>
      </c>
    </row>
    <row r="92" customFormat="false" ht="15" hidden="false" customHeight="true" outlineLevel="0" collapsed="false">
      <c r="A92" s="62" t="n">
        <v>66</v>
      </c>
      <c r="B92" s="59" t="n">
        <v>0.27463184542615</v>
      </c>
      <c r="C92" s="59" t="n">
        <v>0.930537072338554</v>
      </c>
      <c r="D92" s="59" t="n">
        <v>-0.80331205200645</v>
      </c>
      <c r="E92" s="60" t="n">
        <v>-0.00360430841676166</v>
      </c>
      <c r="F92" s="61" t="n">
        <v>0.150581055403457</v>
      </c>
      <c r="G92" s="55" t="n">
        <v>-4.98717366967984</v>
      </c>
      <c r="H92" s="62" t="n">
        <v>0</v>
      </c>
      <c r="I92" s="62" t="n">
        <v>0</v>
      </c>
      <c r="J92" s="62" t="n">
        <v>0</v>
      </c>
      <c r="K92" s="62" t="n">
        <v>0</v>
      </c>
      <c r="L92" s="62" t="n">
        <v>0</v>
      </c>
      <c r="M92" s="61" t="n">
        <v>0.159421294315871</v>
      </c>
    </row>
    <row r="93" customFormat="false" ht="15" hidden="false" customHeight="true" outlineLevel="0" collapsed="false">
      <c r="A93" s="62" t="n">
        <v>67</v>
      </c>
      <c r="B93" s="59" t="n">
        <v>-1.44929096818507</v>
      </c>
      <c r="C93" s="59" t="n">
        <v>-1.42399832278251</v>
      </c>
      <c r="D93" s="59" t="n">
        <v>-0.132773762867592</v>
      </c>
      <c r="E93" s="60" t="n">
        <v>-0.00692691029733257</v>
      </c>
      <c r="F93" s="61" t="n">
        <v>0.463674031068687</v>
      </c>
      <c r="G93" s="55" t="n">
        <v>126.761011466408</v>
      </c>
      <c r="H93" s="62" t="n">
        <v>0</v>
      </c>
      <c r="I93" s="62" t="n">
        <v>0</v>
      </c>
      <c r="J93" s="62" t="n">
        <v>0</v>
      </c>
      <c r="K93" s="62" t="n">
        <v>0</v>
      </c>
      <c r="L93" s="62" t="n">
        <v>0</v>
      </c>
      <c r="M93" s="61" t="n">
        <v>0.237020963408249</v>
      </c>
    </row>
    <row r="94" customFormat="false" ht="15" hidden="false" customHeight="true" outlineLevel="0" collapsed="false">
      <c r="A94" s="62" t="n">
        <v>68</v>
      </c>
      <c r="B94" s="59" t="n">
        <v>-0.289502248447107</v>
      </c>
      <c r="C94" s="59" t="n">
        <v>1.53336034028864</v>
      </c>
      <c r="D94" s="59" t="n">
        <v>-2.7921828517267</v>
      </c>
      <c r="E94" s="60" t="n">
        <v>0.00403740646280224</v>
      </c>
      <c r="F94" s="61" t="n">
        <v>0.226533804780734</v>
      </c>
      <c r="G94" s="55" t="n">
        <v>105.002764826232</v>
      </c>
      <c r="H94" s="62" t="n">
        <v>0</v>
      </c>
      <c r="I94" s="62" t="n">
        <v>0</v>
      </c>
      <c r="J94" s="62" t="n">
        <v>0</v>
      </c>
      <c r="K94" s="62" t="n">
        <v>0</v>
      </c>
      <c r="L94" s="62" t="n">
        <v>0</v>
      </c>
      <c r="M94" s="61" t="n">
        <v>0.192291392482773</v>
      </c>
    </row>
    <row r="95" customFormat="false" ht="15" hidden="false" customHeight="true" outlineLevel="0" collapsed="false">
      <c r="A95" s="62" t="n">
        <v>69</v>
      </c>
      <c r="B95" s="59" t="n">
        <v>-0.123865991945942</v>
      </c>
      <c r="C95" s="59" t="n">
        <v>1.47187005149123</v>
      </c>
      <c r="D95" s="59" t="n">
        <v>-0.477241603352037</v>
      </c>
      <c r="E95" s="60" t="n">
        <v>0.0144413851189257</v>
      </c>
      <c r="F95" s="61" t="n">
        <v>0.19952969402139</v>
      </c>
      <c r="G95" s="55" t="n">
        <v>125.755831680458</v>
      </c>
      <c r="H95" s="62" t="n">
        <v>0</v>
      </c>
      <c r="I95" s="62" t="n">
        <v>0</v>
      </c>
      <c r="J95" s="62" t="n">
        <v>0</v>
      </c>
      <c r="K95" s="62" t="n">
        <v>0</v>
      </c>
      <c r="L95" s="62" t="n">
        <v>0</v>
      </c>
      <c r="M95" s="61" t="n">
        <v>0.159176516008593</v>
      </c>
    </row>
    <row r="96" customFormat="false" ht="15" hidden="false" customHeight="true" outlineLevel="0" collapsed="false">
      <c r="A96" s="62" t="n">
        <v>70</v>
      </c>
      <c r="B96" s="59" t="n">
        <v>0.202114591108442</v>
      </c>
      <c r="C96" s="59" t="n">
        <v>1.18390806622779</v>
      </c>
      <c r="D96" s="59" t="n">
        <v>0.205573052380423</v>
      </c>
      <c r="E96" s="60" t="n">
        <v>0.00269784649093242</v>
      </c>
      <c r="F96" s="61" t="n">
        <v>0.158190639215066</v>
      </c>
      <c r="G96" s="55" t="n">
        <v>34.5642023053174</v>
      </c>
      <c r="H96" s="62" t="n">
        <v>0</v>
      </c>
      <c r="I96" s="62" t="n">
        <v>0</v>
      </c>
      <c r="J96" s="62" t="n">
        <v>0</v>
      </c>
      <c r="K96" s="62" t="n">
        <v>0</v>
      </c>
      <c r="L96" s="62" t="n">
        <v>0</v>
      </c>
      <c r="M96" s="61" t="n">
        <v>0.158402852260077</v>
      </c>
    </row>
    <row r="97" customFormat="false" ht="15" hidden="false" customHeight="true" outlineLevel="0" collapsed="false">
      <c r="A97" s="62" t="n">
        <v>71</v>
      </c>
      <c r="B97" s="59" t="n">
        <v>-0.967972360968223</v>
      </c>
      <c r="C97" s="59" t="n">
        <v>0.673105947379374</v>
      </c>
      <c r="D97" s="59" t="n">
        <v>-0.619364006354724</v>
      </c>
      <c r="E97" s="60" t="n">
        <v>0.000222008721698975</v>
      </c>
      <c r="F97" s="61" t="n">
        <v>0.357100155125875</v>
      </c>
      <c r="G97" s="55" t="n">
        <v>99.4985400266791</v>
      </c>
      <c r="H97" s="62" t="n">
        <v>0</v>
      </c>
      <c r="I97" s="62" t="n">
        <v>0</v>
      </c>
      <c r="J97" s="62" t="n">
        <v>0</v>
      </c>
      <c r="K97" s="62" t="n">
        <v>0</v>
      </c>
      <c r="L97" s="62" t="n">
        <v>0</v>
      </c>
      <c r="M97" s="61" t="n">
        <v>0.164470242084526</v>
      </c>
    </row>
    <row r="98" customFormat="false" ht="15" hidden="false" customHeight="true" outlineLevel="0" collapsed="false">
      <c r="A98" s="62" t="n">
        <v>72</v>
      </c>
      <c r="B98" s="59" t="n">
        <v>0.36655406806057</v>
      </c>
      <c r="C98" s="59" t="n">
        <v>0.094087681908171</v>
      </c>
      <c r="D98" s="59" t="n">
        <v>1.12970198708128</v>
      </c>
      <c r="E98" s="60" t="n">
        <v>-0.000958894970069756</v>
      </c>
      <c r="F98" s="61" t="n">
        <v>0.141293906040963</v>
      </c>
      <c r="G98" s="55" t="n">
        <v>10.7764659756674</v>
      </c>
      <c r="H98" s="62" t="n">
        <v>0</v>
      </c>
      <c r="I98" s="62" t="n">
        <v>0</v>
      </c>
      <c r="J98" s="62" t="n">
        <v>0</v>
      </c>
      <c r="K98" s="62" t="n">
        <v>0</v>
      </c>
      <c r="L98" s="62" t="n">
        <v>0</v>
      </c>
      <c r="M98" s="61" t="n">
        <v>0.158402847561654</v>
      </c>
    </row>
    <row r="99" customFormat="false" ht="15" hidden="false" customHeight="true" outlineLevel="0" collapsed="false">
      <c r="A99" s="62" t="n">
        <v>73</v>
      </c>
      <c r="B99" s="59" t="n">
        <v>-0.346835821748513</v>
      </c>
      <c r="C99" s="59" t="n">
        <v>-0.247547503838829</v>
      </c>
      <c r="D99" s="59" t="n">
        <v>0.00687087754778274</v>
      </c>
      <c r="E99" s="60" t="n">
        <v>0.0082771451750782</v>
      </c>
      <c r="F99" s="61" t="n">
        <v>0.236364593890296</v>
      </c>
      <c r="G99" s="55" t="n">
        <v>103.175515189136</v>
      </c>
      <c r="H99" s="62" t="n">
        <v>0</v>
      </c>
      <c r="I99" s="62" t="n">
        <v>0</v>
      </c>
      <c r="J99" s="62" t="n">
        <v>0</v>
      </c>
      <c r="K99" s="62" t="n">
        <v>0</v>
      </c>
      <c r="L99" s="62" t="n">
        <v>0</v>
      </c>
      <c r="M99" s="61" t="n">
        <v>0.15843425593787</v>
      </c>
    </row>
    <row r="100" customFormat="false" ht="15" hidden="false" customHeight="true" outlineLevel="0" collapsed="false">
      <c r="A100" s="62" t="n">
        <v>74</v>
      </c>
      <c r="B100" s="59" t="n">
        <v>-2.0086665628405</v>
      </c>
      <c r="C100" s="59" t="n">
        <v>-1.26907909974065</v>
      </c>
      <c r="D100" s="59" t="n">
        <v>-0.743849309702573</v>
      </c>
      <c r="E100" s="60" t="n">
        <v>-0.0137885003858952</v>
      </c>
      <c r="F100" s="61" t="n">
        <v>0.590745716501333</v>
      </c>
      <c r="G100" s="55" t="n">
        <v>487.689421066422</v>
      </c>
      <c r="H100" s="62" t="n">
        <v>10</v>
      </c>
      <c r="I100" s="62" t="n">
        <v>0</v>
      </c>
      <c r="J100" s="62" t="n">
        <v>0</v>
      </c>
      <c r="K100" s="62" t="n">
        <v>1</v>
      </c>
      <c r="L100" s="62" t="n">
        <v>0</v>
      </c>
      <c r="M100" s="61" t="n">
        <v>0.999999908305308</v>
      </c>
    </row>
    <row r="101" customFormat="false" ht="15" hidden="false" customHeight="true" outlineLevel="0" collapsed="false">
      <c r="A101" s="62" t="n">
        <v>75</v>
      </c>
      <c r="B101" s="59" t="n">
        <v>0.615076521171503</v>
      </c>
      <c r="C101" s="59" t="n">
        <v>0.560627850084995</v>
      </c>
      <c r="D101" s="59" t="n">
        <v>0.0372899711725952</v>
      </c>
      <c r="E101" s="60" t="n">
        <v>0.0043984063192897</v>
      </c>
      <c r="F101" s="61" t="n">
        <v>0.118169750317181</v>
      </c>
      <c r="G101" s="55" t="n">
        <v>46.5083854914252</v>
      </c>
      <c r="H101" s="62" t="n">
        <v>0</v>
      </c>
      <c r="I101" s="62" t="n">
        <v>0</v>
      </c>
      <c r="J101" s="62" t="n">
        <v>0</v>
      </c>
      <c r="K101" s="62" t="n">
        <v>0</v>
      </c>
      <c r="L101" s="62" t="n">
        <v>0</v>
      </c>
      <c r="M101" s="61" t="n">
        <v>0.158402847561654</v>
      </c>
    </row>
    <row r="102" customFormat="false" ht="15" hidden="false" customHeight="true" outlineLevel="0" collapsed="false">
      <c r="A102" s="62" t="n">
        <v>76</v>
      </c>
      <c r="B102" s="59" t="n">
        <v>-0.175519802517682</v>
      </c>
      <c r="C102" s="59" t="n">
        <v>0.0787152942884041</v>
      </c>
      <c r="D102" s="59" t="n">
        <v>0.218241159280653</v>
      </c>
      <c r="E102" s="60" t="n">
        <v>0.0071201637759992</v>
      </c>
      <c r="F102" s="61" t="n">
        <v>0.20772541428095</v>
      </c>
      <c r="G102" s="55" t="n">
        <v>97.0538372079898</v>
      </c>
      <c r="H102" s="62" t="n">
        <v>0</v>
      </c>
      <c r="I102" s="62" t="n">
        <v>0</v>
      </c>
      <c r="J102" s="62" t="n">
        <v>0</v>
      </c>
      <c r="K102" s="62" t="n">
        <v>0</v>
      </c>
      <c r="L102" s="62" t="n">
        <v>1</v>
      </c>
      <c r="M102" s="61" t="n">
        <v>0.36177120361786</v>
      </c>
    </row>
    <row r="103" customFormat="false" ht="15" hidden="false" customHeight="true" outlineLevel="0" collapsed="false">
      <c r="A103" s="62" t="n">
        <v>77</v>
      </c>
      <c r="B103" s="59" t="n">
        <v>-0.954307732435273</v>
      </c>
      <c r="C103" s="59" t="n">
        <v>-0.254968191355608</v>
      </c>
      <c r="D103" s="59" t="n">
        <v>-0.764411212890999</v>
      </c>
      <c r="E103" s="60" t="n">
        <v>0.010424034775991</v>
      </c>
      <c r="F103" s="61" t="n">
        <v>0.354201625347844</v>
      </c>
      <c r="G103" s="55" t="n">
        <v>171.466812500351</v>
      </c>
      <c r="H103" s="62" t="n">
        <v>0</v>
      </c>
      <c r="I103" s="62" t="n">
        <v>0</v>
      </c>
      <c r="J103" s="62" t="n">
        <v>0</v>
      </c>
      <c r="K103" s="62" t="n">
        <v>0</v>
      </c>
      <c r="L103" s="62" t="n">
        <v>0</v>
      </c>
      <c r="M103" s="61" t="n">
        <v>0.166804041524073</v>
      </c>
    </row>
    <row r="104" customFormat="false" ht="15" hidden="false" customHeight="true" outlineLevel="0" collapsed="false">
      <c r="A104" s="62" t="n">
        <v>78</v>
      </c>
      <c r="B104" s="59" t="n">
        <v>-1.78499483699966</v>
      </c>
      <c r="C104" s="59" t="n">
        <v>-0.404912888288894</v>
      </c>
      <c r="D104" s="59" t="n">
        <v>-0.113777021675701</v>
      </c>
      <c r="E104" s="60" t="n">
        <v>0.00180177190801217</v>
      </c>
      <c r="F104" s="61" t="n">
        <v>0.540470367808154</v>
      </c>
      <c r="G104" s="55" t="n">
        <v>448.621946275404</v>
      </c>
      <c r="H104" s="62" t="n">
        <v>10</v>
      </c>
      <c r="I104" s="62" t="n">
        <v>0</v>
      </c>
      <c r="J104" s="62" t="n">
        <v>0</v>
      </c>
      <c r="K104" s="62" t="n">
        <v>1</v>
      </c>
      <c r="L104" s="62" t="n">
        <v>0</v>
      </c>
      <c r="M104" s="61" t="n">
        <v>0.999999712128694</v>
      </c>
    </row>
    <row r="105" customFormat="false" ht="15" hidden="false" customHeight="true" outlineLevel="0" collapsed="false">
      <c r="A105" s="62" t="n">
        <v>79</v>
      </c>
      <c r="B105" s="59" t="n">
        <v>-0.118803078939018</v>
      </c>
      <c r="C105" s="59" t="n">
        <v>-0.0348955148956635</v>
      </c>
      <c r="D105" s="59" t="n">
        <v>0.0355489768267936</v>
      </c>
      <c r="E105" s="60" t="n">
        <v>0.00809585504928689</v>
      </c>
      <c r="F105" s="61" t="n">
        <v>0.198737490102845</v>
      </c>
      <c r="G105" s="55" t="n">
        <v>99.4161599457231</v>
      </c>
      <c r="H105" s="62" t="n">
        <v>0</v>
      </c>
      <c r="I105" s="62" t="n">
        <v>0</v>
      </c>
      <c r="J105" s="62" t="n">
        <v>0</v>
      </c>
      <c r="K105" s="62" t="n">
        <v>0</v>
      </c>
      <c r="L105" s="62" t="n">
        <v>1</v>
      </c>
      <c r="M105" s="61" t="n">
        <v>0.3617416147244</v>
      </c>
    </row>
    <row r="106" customFormat="false" ht="15" hidden="false" customHeight="true" outlineLevel="0" collapsed="false">
      <c r="A106" s="62" t="n">
        <v>80</v>
      </c>
      <c r="B106" s="59" t="n">
        <v>-0.604902747456039</v>
      </c>
      <c r="C106" s="59" t="n">
        <v>0.852174800642014</v>
      </c>
      <c r="D106" s="59" t="n">
        <v>0.106362644036369</v>
      </c>
      <c r="E106" s="60" t="n">
        <v>-0.00348707786164436</v>
      </c>
      <c r="F106" s="61" t="n">
        <v>0.283540896109044</v>
      </c>
      <c r="G106" s="55" t="n">
        <v>44.5489065329001</v>
      </c>
      <c r="H106" s="62" t="n">
        <v>0</v>
      </c>
      <c r="I106" s="62" t="n">
        <v>0</v>
      </c>
      <c r="J106" s="62" t="n">
        <v>0</v>
      </c>
      <c r="K106" s="62" t="n">
        <v>0</v>
      </c>
      <c r="L106" s="62" t="n">
        <v>0</v>
      </c>
      <c r="M106" s="61" t="n">
        <v>0.15877490932056</v>
      </c>
    </row>
    <row r="107" customFormat="false" ht="15" hidden="false" customHeight="true" outlineLevel="0" collapsed="false">
      <c r="A107" s="62" t="n">
        <v>81</v>
      </c>
      <c r="B107" s="59" t="n">
        <v>0.198147506550541</v>
      </c>
      <c r="C107" s="59" t="n">
        <v>-0.0144049748672987</v>
      </c>
      <c r="D107" s="59" t="n">
        <v>-0.316838648324216</v>
      </c>
      <c r="E107" s="60" t="n">
        <v>-0.00552041254150459</v>
      </c>
      <c r="F107" s="61" t="n">
        <v>0.158614143914926</v>
      </c>
      <c r="G107" s="55" t="n">
        <v>-15.9432057946668</v>
      </c>
      <c r="H107" s="62" t="n">
        <v>0</v>
      </c>
      <c r="I107" s="62" t="n">
        <v>0</v>
      </c>
      <c r="J107" s="62" t="n">
        <v>0</v>
      </c>
      <c r="K107" s="62" t="n">
        <v>0</v>
      </c>
      <c r="L107" s="62" t="n">
        <v>0</v>
      </c>
      <c r="M107" s="61" t="n">
        <v>0.158702699251337</v>
      </c>
    </row>
    <row r="108" customFormat="false" ht="15" hidden="false" customHeight="true" outlineLevel="0" collapsed="false">
      <c r="A108" s="62" t="n">
        <v>82</v>
      </c>
      <c r="B108" s="59" t="n">
        <v>0.246057856377868</v>
      </c>
      <c r="C108" s="59" t="n">
        <v>0.125748833384303</v>
      </c>
      <c r="D108" s="59" t="n">
        <v>1.1570510042872</v>
      </c>
      <c r="E108" s="60" t="n">
        <v>0.00727540987822351</v>
      </c>
      <c r="F108" s="61" t="n">
        <v>0.153549602942932</v>
      </c>
      <c r="G108" s="55" t="n">
        <v>66.6634296064285</v>
      </c>
      <c r="H108" s="62" t="n">
        <v>0</v>
      </c>
      <c r="I108" s="62" t="n">
        <v>0</v>
      </c>
      <c r="J108" s="62" t="n">
        <v>0</v>
      </c>
      <c r="K108" s="62" t="n">
        <v>0</v>
      </c>
      <c r="L108" s="62" t="n">
        <v>0</v>
      </c>
      <c r="M108" s="61" t="n">
        <v>0.158402847561654</v>
      </c>
    </row>
    <row r="109" customFormat="false" ht="15" hidden="false" customHeight="true" outlineLevel="0" collapsed="false">
      <c r="A109" s="62" t="n">
        <v>83</v>
      </c>
      <c r="B109" s="59" t="n">
        <v>-0.369468545381847</v>
      </c>
      <c r="C109" s="59" t="n">
        <v>-1.70161204634763</v>
      </c>
      <c r="D109" s="59" t="n">
        <v>-0.891878332023152</v>
      </c>
      <c r="E109" s="60" t="n">
        <v>0.0222154222716501</v>
      </c>
      <c r="F109" s="61" t="n">
        <v>0.240312342828024</v>
      </c>
      <c r="G109" s="55" t="n">
        <v>236.373956716703</v>
      </c>
      <c r="H109" s="62" t="n">
        <v>0</v>
      </c>
      <c r="I109" s="62" t="n">
        <v>0</v>
      </c>
      <c r="J109" s="62" t="n">
        <v>0</v>
      </c>
      <c r="K109" s="62" t="n">
        <v>0</v>
      </c>
      <c r="L109" s="62" t="n">
        <v>0</v>
      </c>
      <c r="M109" s="61" t="n">
        <v>0.160680539667931</v>
      </c>
    </row>
    <row r="110" customFormat="false" ht="15" hidden="false" customHeight="true" outlineLevel="0" collapsed="false">
      <c r="A110" s="62" t="n">
        <v>84</v>
      </c>
      <c r="B110" s="59" t="n">
        <v>0.43324138389343</v>
      </c>
      <c r="C110" s="59" t="n">
        <v>0.791868105465036</v>
      </c>
      <c r="D110" s="59" t="n">
        <v>0.623212701131796</v>
      </c>
      <c r="E110" s="60" t="n">
        <v>0.00182267360408855</v>
      </c>
      <c r="F110" s="61" t="n">
        <v>0.134805982470592</v>
      </c>
      <c r="G110" s="55" t="n">
        <v>28.6328585825145</v>
      </c>
      <c r="H110" s="62" t="n">
        <v>0</v>
      </c>
      <c r="I110" s="62" t="n">
        <v>0</v>
      </c>
      <c r="J110" s="62" t="n">
        <v>0</v>
      </c>
      <c r="K110" s="62" t="n">
        <v>0</v>
      </c>
      <c r="L110" s="62" t="n">
        <v>0</v>
      </c>
      <c r="M110" s="61" t="n">
        <v>0.158402847561654</v>
      </c>
    </row>
    <row r="111" customFormat="false" ht="15" hidden="false" customHeight="true" outlineLevel="0" collapsed="false">
      <c r="A111" s="62" t="n">
        <v>85</v>
      </c>
      <c r="B111" s="59" t="n">
        <v>0.369719178331589</v>
      </c>
      <c r="C111" s="59" t="n">
        <v>1.19339366505029</v>
      </c>
      <c r="D111" s="59" t="n">
        <v>-0.417125992123344</v>
      </c>
      <c r="E111" s="60" t="n">
        <v>-0.000560258278731272</v>
      </c>
      <c r="F111" s="61" t="n">
        <v>0.140981243102425</v>
      </c>
      <c r="G111" s="55" t="n">
        <v>12.6807154995997</v>
      </c>
      <c r="H111" s="62" t="n">
        <v>0</v>
      </c>
      <c r="I111" s="62" t="n">
        <v>0</v>
      </c>
      <c r="J111" s="62" t="n">
        <v>0</v>
      </c>
      <c r="K111" s="62" t="n">
        <v>0</v>
      </c>
      <c r="L111" s="62" t="n">
        <v>0</v>
      </c>
      <c r="M111" s="61" t="n">
        <v>0.158820194607411</v>
      </c>
    </row>
    <row r="112" customFormat="false" ht="15" hidden="false" customHeight="true" outlineLevel="0" collapsed="false">
      <c r="A112" s="62" t="n">
        <v>86</v>
      </c>
      <c r="B112" s="59" t="n">
        <v>3.39229452004454</v>
      </c>
      <c r="C112" s="59" t="n">
        <v>0.955388801994718</v>
      </c>
      <c r="D112" s="59" t="n">
        <v>0.645508302546368</v>
      </c>
      <c r="E112" s="60" t="n">
        <v>0.00394224444358558</v>
      </c>
      <c r="F112" s="61" t="n">
        <v>0.0078490241024696</v>
      </c>
      <c r="G112" s="55" t="n">
        <v>43.2065046750349</v>
      </c>
      <c r="H112" s="62" t="n">
        <v>0</v>
      </c>
      <c r="I112" s="62" t="n">
        <v>0</v>
      </c>
      <c r="J112" s="62" t="n">
        <v>0</v>
      </c>
      <c r="K112" s="62" t="n">
        <v>0</v>
      </c>
      <c r="L112" s="62" t="n">
        <v>0</v>
      </c>
      <c r="M112" s="61" t="n">
        <v>0.158402847561654</v>
      </c>
    </row>
    <row r="113" customFormat="false" ht="15" hidden="false" customHeight="true" outlineLevel="0" collapsed="false">
      <c r="A113" s="62" t="n">
        <v>87</v>
      </c>
      <c r="B113" s="59" t="n">
        <v>-0.436359317911083</v>
      </c>
      <c r="C113" s="59" t="n">
        <v>0.47065480511858</v>
      </c>
      <c r="D113" s="59" t="n">
        <v>0.657419789014509</v>
      </c>
      <c r="E113" s="60" t="n">
        <v>0.00646476308209332</v>
      </c>
      <c r="F113" s="61" t="n">
        <v>0.252197946615523</v>
      </c>
      <c r="G113" s="55" t="n">
        <v>96.3507922849392</v>
      </c>
      <c r="H113" s="62" t="n">
        <v>0</v>
      </c>
      <c r="I113" s="62" t="n">
        <v>0</v>
      </c>
      <c r="J113" s="62" t="n">
        <v>0</v>
      </c>
      <c r="K113" s="62" t="n">
        <v>0</v>
      </c>
      <c r="L113" s="62" t="n">
        <v>0</v>
      </c>
      <c r="M113" s="61" t="n">
        <v>0.158706760766419</v>
      </c>
    </row>
    <row r="114" customFormat="false" ht="15" hidden="false" customHeight="true" outlineLevel="0" collapsed="false">
      <c r="A114" s="62" t="n">
        <v>88</v>
      </c>
      <c r="B114" s="59" t="n">
        <v>-0.646362019683874</v>
      </c>
      <c r="C114" s="59" t="n">
        <v>0.939169442258759</v>
      </c>
      <c r="D114" s="59" t="n">
        <v>-0.292101990806747</v>
      </c>
      <c r="E114" s="60" t="n">
        <v>-0.00793237337493386</v>
      </c>
      <c r="F114" s="61" t="n">
        <v>0.291543289444998</v>
      </c>
      <c r="G114" s="55" t="n">
        <v>21.5650092158547</v>
      </c>
      <c r="H114" s="62" t="n">
        <v>0</v>
      </c>
      <c r="I114" s="62" t="n">
        <v>0</v>
      </c>
      <c r="J114" s="62" t="n">
        <v>0</v>
      </c>
      <c r="K114" s="62" t="n">
        <v>0</v>
      </c>
      <c r="L114" s="62" t="n">
        <v>0</v>
      </c>
      <c r="M114" s="61" t="n">
        <v>0.159266092945672</v>
      </c>
    </row>
    <row r="115" customFormat="false" ht="15" hidden="false" customHeight="true" outlineLevel="0" collapsed="false">
      <c r="A115" s="62" t="n">
        <v>89</v>
      </c>
      <c r="B115" s="59" t="n">
        <v>-1.85702420511388</v>
      </c>
      <c r="C115" s="59" t="n">
        <v>-0.267462864642064</v>
      </c>
      <c r="D115" s="59" t="n">
        <v>-1.7689677023094</v>
      </c>
      <c r="E115" s="60" t="n">
        <v>0.000711562356519244</v>
      </c>
      <c r="F115" s="61" t="n">
        <v>0.556884041788869</v>
      </c>
      <c r="G115" s="55" t="n">
        <v>735.598485404626</v>
      </c>
      <c r="H115" s="62" t="n">
        <v>13</v>
      </c>
      <c r="I115" s="62" t="n">
        <v>1</v>
      </c>
      <c r="J115" s="62" t="n">
        <v>1</v>
      </c>
      <c r="K115" s="62" t="n">
        <v>1</v>
      </c>
      <c r="L115" s="62" t="n">
        <v>0</v>
      </c>
      <c r="M115" s="61" t="n">
        <v>0.999999999999995</v>
      </c>
    </row>
    <row r="116" customFormat="false" ht="15" hidden="false" customHeight="true" outlineLevel="0" collapsed="false">
      <c r="A116" s="62" t="n">
        <v>90</v>
      </c>
      <c r="B116" s="59" t="n">
        <v>-0.0338204831121947</v>
      </c>
      <c r="C116" s="59" t="n">
        <v>0.0918721055398993</v>
      </c>
      <c r="D116" s="59" t="n">
        <v>-0.130544507009589</v>
      </c>
      <c r="E116" s="60" t="n">
        <v>-0.00388863850810032</v>
      </c>
      <c r="F116" s="61" t="n">
        <v>0.185737926838671</v>
      </c>
      <c r="G116" s="55" t="n">
        <v>-3.89966130983854</v>
      </c>
      <c r="H116" s="62" t="n">
        <v>0</v>
      </c>
      <c r="I116" s="62" t="n">
        <v>0</v>
      </c>
      <c r="J116" s="62" t="n">
        <v>0</v>
      </c>
      <c r="K116" s="62" t="n">
        <v>0</v>
      </c>
      <c r="L116" s="62" t="n">
        <v>0</v>
      </c>
      <c r="M116" s="61" t="n">
        <v>0.158514782127701</v>
      </c>
    </row>
    <row r="117" customFormat="false" ht="15" hidden="false" customHeight="true" outlineLevel="0" collapsed="false">
      <c r="A117" s="62" t="n">
        <v>91</v>
      </c>
      <c r="B117" s="59" t="n">
        <v>-0.203462863756571</v>
      </c>
      <c r="C117" s="59" t="n">
        <v>0.0386492392295516</v>
      </c>
      <c r="D117" s="59" t="n">
        <v>-0.436782704117787</v>
      </c>
      <c r="E117" s="60" t="n">
        <v>-0.00693300636886763</v>
      </c>
      <c r="F117" s="61" t="n">
        <v>0.212244707341838</v>
      </c>
      <c r="G117" s="55" t="n">
        <v>-8.06436886187009</v>
      </c>
      <c r="H117" s="62" t="n">
        <v>0</v>
      </c>
      <c r="I117" s="62" t="n">
        <v>0</v>
      </c>
      <c r="J117" s="62" t="n">
        <v>0</v>
      </c>
      <c r="K117" s="62" t="n">
        <v>0</v>
      </c>
      <c r="L117" s="62" t="n">
        <v>0</v>
      </c>
      <c r="M117" s="61" t="n">
        <v>0.159166652066727</v>
      </c>
    </row>
    <row r="118" customFormat="false" ht="15" hidden="false" customHeight="true" outlineLevel="0" collapsed="false">
      <c r="A118" s="62" t="n">
        <v>92</v>
      </c>
      <c r="B118" s="59" t="n">
        <v>0.308705126071153</v>
      </c>
      <c r="C118" s="59" t="n">
        <v>-0.812358454088545</v>
      </c>
      <c r="D118" s="59" t="n">
        <v>0.87522927669336</v>
      </c>
      <c r="E118" s="60" t="n">
        <v>-0.00222998602844845</v>
      </c>
      <c r="F118" s="61" t="n">
        <v>0.147091862170159</v>
      </c>
      <c r="G118" s="55" t="n">
        <v>21.1013625902426</v>
      </c>
      <c r="H118" s="62" t="n">
        <v>0</v>
      </c>
      <c r="I118" s="62" t="n">
        <v>0</v>
      </c>
      <c r="J118" s="62" t="n">
        <v>0</v>
      </c>
      <c r="K118" s="62" t="n">
        <v>0</v>
      </c>
      <c r="L118" s="62" t="n">
        <v>0</v>
      </c>
      <c r="M118" s="61" t="n">
        <v>0.158402847561654</v>
      </c>
    </row>
    <row r="119" customFormat="false" ht="15" hidden="false" customHeight="true" outlineLevel="0" collapsed="false">
      <c r="A119" s="62" t="n">
        <v>93</v>
      </c>
      <c r="B119" s="59" t="n">
        <v>-0.0752441890521776</v>
      </c>
      <c r="C119" s="59" t="n">
        <v>0.604207655490555</v>
      </c>
      <c r="D119" s="59" t="n">
        <v>1.35198528478879</v>
      </c>
      <c r="E119" s="60" t="n">
        <v>-0.0163400497780897</v>
      </c>
      <c r="F119" s="61" t="n">
        <v>0.192004053364853</v>
      </c>
      <c r="G119" s="55" t="n">
        <v>-75.0469326288541</v>
      </c>
      <c r="H119" s="62" t="n">
        <v>0</v>
      </c>
      <c r="I119" s="62" t="n">
        <v>0</v>
      </c>
      <c r="J119" s="62" t="n">
        <v>0</v>
      </c>
      <c r="K119" s="62" t="n">
        <v>0</v>
      </c>
      <c r="L119" s="62" t="n">
        <v>0</v>
      </c>
      <c r="M119" s="61" t="n">
        <v>0.158403431534315</v>
      </c>
    </row>
    <row r="120" customFormat="false" ht="15" hidden="false" customHeight="true" outlineLevel="0" collapsed="false">
      <c r="A120" s="62" t="n">
        <v>94</v>
      </c>
      <c r="B120" s="59" t="n">
        <v>0.0320799292102449</v>
      </c>
      <c r="C120" s="59" t="n">
        <v>-0.171354598919019</v>
      </c>
      <c r="D120" s="59" t="n">
        <v>0.422822486555032</v>
      </c>
      <c r="E120" s="60" t="n">
        <v>-0.000372267819901058</v>
      </c>
      <c r="F120" s="61" t="n">
        <v>0.177015450443004</v>
      </c>
      <c r="G120" s="55" t="n">
        <v>17.9355463774591</v>
      </c>
      <c r="H120" s="62" t="n">
        <v>0</v>
      </c>
      <c r="I120" s="62" t="n">
        <v>0</v>
      </c>
      <c r="J120" s="62" t="n">
        <v>0</v>
      </c>
      <c r="K120" s="62" t="n">
        <v>0</v>
      </c>
      <c r="L120" s="62" t="n">
        <v>0</v>
      </c>
      <c r="M120" s="61" t="n">
        <v>0.158403068401042</v>
      </c>
    </row>
    <row r="121" customFormat="false" ht="15" hidden="false" customHeight="true" outlineLevel="0" collapsed="false">
      <c r="A121" s="62" t="n">
        <v>95</v>
      </c>
      <c r="B121" s="59" t="n">
        <v>-0.938613537223266</v>
      </c>
      <c r="C121" s="59" t="n">
        <v>0.114453783390086</v>
      </c>
      <c r="D121" s="59" t="n">
        <v>-0.394169973704673</v>
      </c>
      <c r="E121" s="60" t="n">
        <v>0.000730029638288014</v>
      </c>
      <c r="F121" s="61" t="n">
        <v>0.350883748948399</v>
      </c>
      <c r="G121" s="55" t="n">
        <v>99.818737448377</v>
      </c>
      <c r="H121" s="62" t="n">
        <v>0</v>
      </c>
      <c r="I121" s="62" t="n">
        <v>0</v>
      </c>
      <c r="J121" s="62" t="n">
        <v>0</v>
      </c>
      <c r="K121" s="62" t="n">
        <v>0</v>
      </c>
      <c r="L121" s="62" t="n">
        <v>0</v>
      </c>
      <c r="M121" s="61" t="n">
        <v>0.163529096631476</v>
      </c>
    </row>
    <row r="122" customFormat="false" ht="15" hidden="false" customHeight="true" outlineLevel="0" collapsed="false">
      <c r="A122" s="62" t="n">
        <v>96</v>
      </c>
      <c r="B122" s="59" t="n">
        <v>-0.457930087388769</v>
      </c>
      <c r="C122" s="59" t="n">
        <v>-0.262321537997839</v>
      </c>
      <c r="D122" s="59" t="n">
        <v>-0.405020252899712</v>
      </c>
      <c r="E122" s="60" t="n">
        <v>-0.00242820460820966</v>
      </c>
      <c r="F122" s="61" t="n">
        <v>0.256099319808374</v>
      </c>
      <c r="G122" s="55" t="n">
        <v>40.9057942783661</v>
      </c>
      <c r="H122" s="62" t="n">
        <v>0</v>
      </c>
      <c r="I122" s="62" t="n">
        <v>0</v>
      </c>
      <c r="J122" s="62" t="n">
        <v>0</v>
      </c>
      <c r="K122" s="62" t="n">
        <v>0</v>
      </c>
      <c r="L122" s="62" t="n">
        <v>0</v>
      </c>
      <c r="M122" s="61" t="n">
        <v>0.159343532442773</v>
      </c>
    </row>
    <row r="123" customFormat="false" ht="15" hidden="false" customHeight="true" outlineLevel="0" collapsed="false">
      <c r="A123" s="62" t="n">
        <v>97</v>
      </c>
      <c r="B123" s="59" t="n">
        <v>-0.165773961714559</v>
      </c>
      <c r="C123" s="59" t="n">
        <v>0.607035410292763</v>
      </c>
      <c r="D123" s="59" t="n">
        <v>-0.0352798507124815</v>
      </c>
      <c r="E123" s="60" t="n">
        <v>0.0163810667325961</v>
      </c>
      <c r="F123" s="61" t="n">
        <v>0.206163312757376</v>
      </c>
      <c r="G123" s="55" t="n">
        <v>142.660290780645</v>
      </c>
      <c r="H123" s="62" t="n">
        <v>0</v>
      </c>
      <c r="I123" s="62" t="n">
        <v>0</v>
      </c>
      <c r="J123" s="62" t="n">
        <v>0</v>
      </c>
      <c r="K123" s="62" t="n">
        <v>0</v>
      </c>
      <c r="L123" s="62" t="n">
        <v>0</v>
      </c>
      <c r="M123" s="61" t="n">
        <v>0.158433273472328</v>
      </c>
    </row>
    <row r="124" customFormat="false" ht="15" hidden="false" customHeight="true" outlineLevel="0" collapsed="false">
      <c r="A124" s="62" t="n">
        <v>98</v>
      </c>
      <c r="B124" s="59" t="n">
        <v>0.204945358653791</v>
      </c>
      <c r="C124" s="59" t="n">
        <v>0.0120299442157761</v>
      </c>
      <c r="D124" s="59" t="n">
        <v>0.246134961371693</v>
      </c>
      <c r="E124" s="60" t="n">
        <v>-0.00900577524920892</v>
      </c>
      <c r="F124" s="61" t="n">
        <v>0.157888899853722</v>
      </c>
      <c r="G124" s="55" t="n">
        <v>-37.057097274635</v>
      </c>
      <c r="H124" s="62" t="n">
        <v>0</v>
      </c>
      <c r="I124" s="62" t="n">
        <v>0</v>
      </c>
      <c r="J124" s="62" t="n">
        <v>0</v>
      </c>
      <c r="K124" s="62" t="n">
        <v>0</v>
      </c>
      <c r="L124" s="62" t="n">
        <v>0</v>
      </c>
      <c r="M124" s="61" t="n">
        <v>0.158402848871605</v>
      </c>
    </row>
    <row r="125" customFormat="false" ht="15" hidden="false" customHeight="true" outlineLevel="0" collapsed="false">
      <c r="A125" s="62" t="n">
        <v>99</v>
      </c>
      <c r="B125" s="59" t="n">
        <v>-0.514956206402897</v>
      </c>
      <c r="C125" s="59" t="n">
        <v>0.415236805024916</v>
      </c>
      <c r="D125" s="59" t="n">
        <v>0.465658400374539</v>
      </c>
      <c r="E125" s="60" t="n">
        <v>0.00327286907213526</v>
      </c>
      <c r="F125" s="61" t="n">
        <v>0.266571039921046</v>
      </c>
      <c r="G125" s="55" t="n">
        <v>80.7657575566576</v>
      </c>
      <c r="H125" s="62" t="n">
        <v>0</v>
      </c>
      <c r="I125" s="62" t="n">
        <v>0</v>
      </c>
      <c r="J125" s="62" t="n">
        <v>0</v>
      </c>
      <c r="K125" s="62" t="n">
        <v>0</v>
      </c>
      <c r="L125" s="62" t="n">
        <v>0</v>
      </c>
      <c r="M125" s="61" t="n">
        <v>0.158738142524483</v>
      </c>
    </row>
    <row r="126" customFormat="false" ht="15" hidden="false" customHeight="true" outlineLevel="0" collapsed="false">
      <c r="A126" s="62" t="n">
        <v>100</v>
      </c>
      <c r="B126" s="59" t="n">
        <v>1.76470692689517</v>
      </c>
      <c r="C126" s="59" t="n">
        <v>1.40799688276362</v>
      </c>
      <c r="D126" s="59" t="n">
        <v>1.17948419923749</v>
      </c>
      <c r="E126" s="60" t="n">
        <v>-0.0147721390839434</v>
      </c>
      <c r="F126" s="61" t="n">
        <v>0.0453616840389111</v>
      </c>
      <c r="G126" s="55" t="n">
        <v>-72.0497311165064</v>
      </c>
      <c r="H126" s="62" t="n">
        <v>0</v>
      </c>
      <c r="I126" s="62" t="n">
        <v>0</v>
      </c>
      <c r="J126" s="62" t="n">
        <v>0</v>
      </c>
      <c r="K126" s="62" t="n">
        <v>0</v>
      </c>
      <c r="L126" s="62" t="n">
        <v>0</v>
      </c>
      <c r="M126" s="61" t="n">
        <v>0.158402847561654</v>
      </c>
    </row>
    <row r="127" customFormat="false" ht="15" hidden="false" customHeight="true" outlineLevel="0" collapsed="false">
      <c r="A127" s="62" t="n">
        <v>101</v>
      </c>
      <c r="B127" s="59" t="n">
        <v>0.0281413142598964</v>
      </c>
      <c r="C127" s="59" t="n">
        <v>0.56876691557017</v>
      </c>
      <c r="D127" s="59" t="n">
        <v>1.34972694684453</v>
      </c>
      <c r="E127" s="60" t="n">
        <v>0.0126120729085594</v>
      </c>
      <c r="F127" s="61" t="n">
        <v>0.177467822654655</v>
      </c>
      <c r="G127" s="55" t="n">
        <v>103.185459427512</v>
      </c>
      <c r="H127" s="62" t="n">
        <v>0</v>
      </c>
      <c r="I127" s="62" t="n">
        <v>0</v>
      </c>
      <c r="J127" s="62" t="n">
        <v>0</v>
      </c>
      <c r="K127" s="62" t="n">
        <v>0</v>
      </c>
      <c r="L127" s="62" t="n">
        <v>0</v>
      </c>
      <c r="M127" s="61" t="n">
        <v>0.158403068309628</v>
      </c>
    </row>
    <row r="128" customFormat="false" ht="15" hidden="false" customHeight="true" outlineLevel="0" collapsed="false">
      <c r="A128" s="62" t="n">
        <v>102</v>
      </c>
      <c r="B128" s="59" t="n">
        <v>0.807682826474776</v>
      </c>
      <c r="C128" s="59" t="n">
        <v>0.119355627377794</v>
      </c>
      <c r="D128" s="59" t="n">
        <v>-0.467925941979595</v>
      </c>
      <c r="E128" s="60" t="n">
        <v>0.000912725421985685</v>
      </c>
      <c r="F128" s="61" t="n">
        <v>0.102194789380392</v>
      </c>
      <c r="G128" s="55" t="n">
        <v>22.8452131507289</v>
      </c>
      <c r="H128" s="62" t="n">
        <v>0</v>
      </c>
      <c r="I128" s="62" t="n">
        <v>0</v>
      </c>
      <c r="J128" s="62" t="n">
        <v>0</v>
      </c>
      <c r="K128" s="62" t="n">
        <v>0</v>
      </c>
      <c r="L128" s="62" t="n">
        <v>0</v>
      </c>
      <c r="M128" s="61" t="n">
        <v>0.158883504695152</v>
      </c>
    </row>
    <row r="129" customFormat="false" ht="15" hidden="false" customHeight="true" outlineLevel="0" collapsed="false">
      <c r="A129" s="62" t="n">
        <v>103</v>
      </c>
      <c r="B129" s="59" t="n">
        <v>-0.359900900817532</v>
      </c>
      <c r="C129" s="59" t="n">
        <v>-0.447422249574258</v>
      </c>
      <c r="D129" s="59" t="n">
        <v>-0.0937170155689548</v>
      </c>
      <c r="E129" s="60" t="n">
        <v>-0.00166525028619748</v>
      </c>
      <c r="F129" s="61" t="n">
        <v>0.238638898258339</v>
      </c>
      <c r="G129" s="55" t="n">
        <v>39.7879564518068</v>
      </c>
      <c r="H129" s="62" t="n">
        <v>0</v>
      </c>
      <c r="I129" s="62" t="n">
        <v>0</v>
      </c>
      <c r="J129" s="62" t="n">
        <v>0</v>
      </c>
      <c r="K129" s="62" t="n">
        <v>0</v>
      </c>
      <c r="L129" s="62" t="n">
        <v>0</v>
      </c>
      <c r="M129" s="61" t="n">
        <v>0.158792449255743</v>
      </c>
    </row>
    <row r="130" customFormat="false" ht="15" hidden="false" customHeight="true" outlineLevel="0" collapsed="false">
      <c r="A130" s="62" t="n">
        <v>104</v>
      </c>
      <c r="B130" s="59" t="n">
        <v>-1.42380609873376</v>
      </c>
      <c r="C130" s="59" t="n">
        <v>0.0707023847938701</v>
      </c>
      <c r="D130" s="59" t="n">
        <v>-0.404003651077874</v>
      </c>
      <c r="E130" s="60" t="n">
        <v>-0.00300449894831592</v>
      </c>
      <c r="F130" s="61" t="n">
        <v>0.457875076539573</v>
      </c>
      <c r="G130" s="55" t="n">
        <v>135.921104119661</v>
      </c>
      <c r="H130" s="62" t="n">
        <v>0</v>
      </c>
      <c r="I130" s="62" t="n">
        <v>0</v>
      </c>
      <c r="J130" s="62" t="n">
        <v>0</v>
      </c>
      <c r="K130" s="62" t="n">
        <v>0</v>
      </c>
      <c r="L130" s="62" t="n">
        <v>0</v>
      </c>
      <c r="M130" s="61" t="n">
        <v>0.211568925286874</v>
      </c>
    </row>
    <row r="131" customFormat="false" ht="15" hidden="false" customHeight="true" outlineLevel="0" collapsed="false">
      <c r="A131" s="62" t="n">
        <v>105</v>
      </c>
      <c r="B131" s="59" t="n">
        <v>-0.107969379873241</v>
      </c>
      <c r="C131" s="59" t="n">
        <v>0.311693381642525</v>
      </c>
      <c r="D131" s="59" t="n">
        <v>-0.161785948356836</v>
      </c>
      <c r="E131" s="60" t="n">
        <v>-0.00554654752393591</v>
      </c>
      <c r="F131" s="61" t="n">
        <v>0.197049004102046</v>
      </c>
      <c r="G131" s="55" t="n">
        <v>-7.91485281404282</v>
      </c>
      <c r="H131" s="62" t="n">
        <v>0</v>
      </c>
      <c r="I131" s="62" t="n">
        <v>0</v>
      </c>
      <c r="J131" s="62" t="n">
        <v>0</v>
      </c>
      <c r="K131" s="62" t="n">
        <v>0</v>
      </c>
      <c r="L131" s="62" t="n">
        <v>0</v>
      </c>
      <c r="M131" s="61" t="n">
        <v>0.158546848841467</v>
      </c>
    </row>
    <row r="132" customFormat="false" ht="15" hidden="false" customHeight="true" outlineLevel="0" collapsed="false">
      <c r="A132" s="62" t="n">
        <v>106</v>
      </c>
      <c r="B132" s="59" t="n">
        <v>-0.642469974371008</v>
      </c>
      <c r="C132" s="59" t="n">
        <v>0.543045793956535</v>
      </c>
      <c r="D132" s="59" t="n">
        <v>0.0940942016461591</v>
      </c>
      <c r="E132" s="60" t="n">
        <v>0.00562470773766668</v>
      </c>
      <c r="F132" s="61" t="n">
        <v>0.290787333097459</v>
      </c>
      <c r="G132" s="55" t="n">
        <v>107.323616372961</v>
      </c>
      <c r="H132" s="62" t="n">
        <v>0</v>
      </c>
      <c r="I132" s="62" t="n">
        <v>0</v>
      </c>
      <c r="J132" s="62" t="n">
        <v>0</v>
      </c>
      <c r="K132" s="62" t="n">
        <v>0</v>
      </c>
      <c r="L132" s="62" t="n">
        <v>0</v>
      </c>
      <c r="M132" s="61" t="n">
        <v>0.158790532570279</v>
      </c>
    </row>
    <row r="133" customFormat="false" ht="15" hidden="false" customHeight="true" outlineLevel="0" collapsed="false">
      <c r="A133" s="62" t="n">
        <v>107</v>
      </c>
      <c r="B133" s="59" t="n">
        <v>1.06155925789311</v>
      </c>
      <c r="C133" s="59" t="n">
        <v>1.17478652001786</v>
      </c>
      <c r="D133" s="59" t="n">
        <v>1.04120538231352</v>
      </c>
      <c r="E133" s="60" t="n">
        <v>0.00865450208941522</v>
      </c>
      <c r="F133" s="61" t="n">
        <v>0.0836202480672452</v>
      </c>
      <c r="G133" s="55" t="n">
        <v>92.7868913449298</v>
      </c>
      <c r="H133" s="62" t="n">
        <v>0</v>
      </c>
      <c r="I133" s="62" t="n">
        <v>0</v>
      </c>
      <c r="J133" s="62" t="n">
        <v>0</v>
      </c>
      <c r="K133" s="62" t="n">
        <v>0</v>
      </c>
      <c r="L133" s="62" t="n">
        <v>1</v>
      </c>
      <c r="M133" s="61" t="n">
        <v>0.36145028900684</v>
      </c>
    </row>
    <row r="134" customFormat="false" ht="15" hidden="false" customHeight="true" outlineLevel="0" collapsed="false">
      <c r="A134" s="62" t="n">
        <v>108</v>
      </c>
      <c r="B134" s="59" t="n">
        <v>1.01406750550588</v>
      </c>
      <c r="C134" s="59" t="n">
        <v>1.3970129313705</v>
      </c>
      <c r="D134" s="59" t="n">
        <v>-0.643911265896882</v>
      </c>
      <c r="E134" s="60" t="n">
        <v>-0.0207451333301725</v>
      </c>
      <c r="F134" s="61" t="n">
        <v>0.0868871428254657</v>
      </c>
      <c r="G134" s="55" t="n">
        <v>-107.48073897192</v>
      </c>
      <c r="H134" s="62" t="n">
        <v>0</v>
      </c>
      <c r="I134" s="62" t="n">
        <v>0</v>
      </c>
      <c r="J134" s="62" t="n">
        <v>0</v>
      </c>
      <c r="K134" s="62" t="n">
        <v>0</v>
      </c>
      <c r="L134" s="62" t="n">
        <v>0</v>
      </c>
      <c r="M134" s="61" t="n">
        <v>0.159131622208318</v>
      </c>
    </row>
    <row r="135" customFormat="false" ht="15" hidden="false" customHeight="true" outlineLevel="0" collapsed="false">
      <c r="A135" s="62" t="n">
        <v>109</v>
      </c>
      <c r="B135" s="59" t="n">
        <v>-0.937189143028451</v>
      </c>
      <c r="C135" s="59" t="n">
        <v>-1.12802721624206</v>
      </c>
      <c r="D135" s="59" t="n">
        <v>-0.0758291083433073</v>
      </c>
      <c r="E135" s="60" t="n">
        <v>0.00890949601795589</v>
      </c>
      <c r="F135" s="61" t="n">
        <v>0.350583218867386</v>
      </c>
      <c r="G135" s="55" t="n">
        <v>165.881398599104</v>
      </c>
      <c r="H135" s="62" t="n">
        <v>0</v>
      </c>
      <c r="I135" s="62" t="n">
        <v>0</v>
      </c>
      <c r="J135" s="62" t="n">
        <v>0</v>
      </c>
      <c r="K135" s="62" t="n">
        <v>0</v>
      </c>
      <c r="L135" s="62" t="n">
        <v>0</v>
      </c>
      <c r="M135" s="61" t="n">
        <v>0.160190266277217</v>
      </c>
    </row>
    <row r="136" customFormat="false" ht="15" hidden="false" customHeight="true" outlineLevel="0" collapsed="false">
      <c r="A136" s="62" t="n">
        <v>110</v>
      </c>
      <c r="B136" s="59" t="n">
        <v>-1.24303412941571</v>
      </c>
      <c r="C136" s="59" t="n">
        <v>-0.0683431816424705</v>
      </c>
      <c r="D136" s="59" t="n">
        <v>-0.655974139554646</v>
      </c>
      <c r="E136" s="60" t="n">
        <v>0.00206243733388675</v>
      </c>
      <c r="F136" s="61" t="n">
        <v>0.417121086568241</v>
      </c>
      <c r="G136" s="55" t="n">
        <v>153.092789795553</v>
      </c>
      <c r="H136" s="62" t="n">
        <v>0</v>
      </c>
      <c r="I136" s="62" t="n">
        <v>0</v>
      </c>
      <c r="J136" s="62" t="n">
        <v>0</v>
      </c>
      <c r="K136" s="62" t="n">
        <v>0</v>
      </c>
      <c r="L136" s="62" t="n">
        <v>0</v>
      </c>
      <c r="M136" s="61" t="n">
        <v>0.212341297835463</v>
      </c>
    </row>
    <row r="137" customFormat="false" ht="15" hidden="false" customHeight="true" outlineLevel="0" collapsed="false">
      <c r="A137" s="62" t="n">
        <v>111</v>
      </c>
      <c r="B137" s="59" t="n">
        <v>-0.0230179057562943</v>
      </c>
      <c r="C137" s="59" t="n">
        <v>0.366036703943373</v>
      </c>
      <c r="D137" s="59" t="n">
        <v>0.65965212840912</v>
      </c>
      <c r="E137" s="60" t="n">
        <v>0.000867637860671842</v>
      </c>
      <c r="F137" s="61" t="n">
        <v>0.184125888938644</v>
      </c>
      <c r="G137" s="55" t="n">
        <v>24.1266526988477</v>
      </c>
      <c r="H137" s="62" t="n">
        <v>0</v>
      </c>
      <c r="I137" s="62" t="n">
        <v>0</v>
      </c>
      <c r="J137" s="62" t="n">
        <v>0</v>
      </c>
      <c r="K137" s="62" t="n">
        <v>0</v>
      </c>
      <c r="L137" s="62" t="n">
        <v>0</v>
      </c>
      <c r="M137" s="61" t="n">
        <v>0.158403203928293</v>
      </c>
    </row>
    <row r="138" customFormat="false" ht="15" hidden="false" customHeight="true" outlineLevel="0" collapsed="false">
      <c r="A138" s="62" t="n">
        <v>112</v>
      </c>
      <c r="B138" s="59" t="n">
        <v>-0.14818464921525</v>
      </c>
      <c r="C138" s="59" t="n">
        <v>-0.143887921766355</v>
      </c>
      <c r="D138" s="59" t="n">
        <v>0.225143487448869</v>
      </c>
      <c r="E138" s="60" t="n">
        <v>0.00123277463442324</v>
      </c>
      <c r="F138" s="61" t="n">
        <v>0.20336256381593</v>
      </c>
      <c r="G138" s="55" t="n">
        <v>37.8424833948358</v>
      </c>
      <c r="H138" s="62" t="n">
        <v>0</v>
      </c>
      <c r="I138" s="62" t="n">
        <v>0</v>
      </c>
      <c r="J138" s="62" t="n">
        <v>0</v>
      </c>
      <c r="K138" s="62" t="n">
        <v>0</v>
      </c>
      <c r="L138" s="62" t="n">
        <v>0</v>
      </c>
      <c r="M138" s="61" t="n">
        <v>0.15840376823057</v>
      </c>
    </row>
    <row r="139" customFormat="false" ht="15" hidden="false" customHeight="true" outlineLevel="0" collapsed="false">
      <c r="A139" s="62" t="n">
        <v>113</v>
      </c>
      <c r="B139" s="59" t="n">
        <v>0.0229405430892945</v>
      </c>
      <c r="C139" s="59" t="n">
        <v>0.135925466479337</v>
      </c>
      <c r="D139" s="59" t="n">
        <v>-0.447909442342832</v>
      </c>
      <c r="E139" s="60" t="n">
        <v>0.00284803269400065</v>
      </c>
      <c r="F139" s="61" t="n">
        <v>0.17806629135255</v>
      </c>
      <c r="G139" s="55" t="n">
        <v>36.1811381740367</v>
      </c>
      <c r="H139" s="62" t="n">
        <v>0</v>
      </c>
      <c r="I139" s="62" t="n">
        <v>0</v>
      </c>
      <c r="J139" s="62" t="n">
        <v>0</v>
      </c>
      <c r="K139" s="62" t="n">
        <v>0</v>
      </c>
      <c r="L139" s="62" t="n">
        <v>0</v>
      </c>
      <c r="M139" s="61" t="n">
        <v>0.158865009300384</v>
      </c>
    </row>
    <row r="140" customFormat="false" ht="15" hidden="false" customHeight="true" outlineLevel="0" collapsed="false">
      <c r="A140" s="62" t="n">
        <v>114</v>
      </c>
      <c r="B140" s="59" t="n">
        <v>0.171987701148801</v>
      </c>
      <c r="C140" s="59" t="n">
        <v>0.87232484646244</v>
      </c>
      <c r="D140" s="59" t="n">
        <v>-0.150883224154261</v>
      </c>
      <c r="E140" s="60" t="n">
        <v>0.000203989681377634</v>
      </c>
      <c r="F140" s="61" t="n">
        <v>0.161425596278666</v>
      </c>
      <c r="G140" s="55" t="n">
        <v>17.4558342467169</v>
      </c>
      <c r="H140" s="62" t="n">
        <v>0</v>
      </c>
      <c r="I140" s="62" t="n">
        <v>0</v>
      </c>
      <c r="J140" s="62" t="n">
        <v>0</v>
      </c>
      <c r="K140" s="62" t="n">
        <v>0</v>
      </c>
      <c r="L140" s="62" t="n">
        <v>0</v>
      </c>
      <c r="M140" s="61" t="n">
        <v>0.15853269026</v>
      </c>
    </row>
    <row r="141" customFormat="false" ht="15" hidden="false" customHeight="true" outlineLevel="0" collapsed="false">
      <c r="A141" s="62" t="n">
        <v>115</v>
      </c>
      <c r="B141" s="59" t="n">
        <v>-0.998363344747234</v>
      </c>
      <c r="C141" s="59" t="n">
        <v>-0.674346631054039</v>
      </c>
      <c r="D141" s="59" t="n">
        <v>-0.519748352803904</v>
      </c>
      <c r="E141" s="60" t="n">
        <v>-0.00597209340007713</v>
      </c>
      <c r="F141" s="61" t="n">
        <v>0.363578317021818</v>
      </c>
      <c r="G141" s="55" t="n">
        <v>69.277910416902</v>
      </c>
      <c r="H141" s="62" t="n">
        <v>0</v>
      </c>
      <c r="I141" s="62" t="n">
        <v>0</v>
      </c>
      <c r="J141" s="62" t="n">
        <v>0</v>
      </c>
      <c r="K141" s="62" t="n">
        <v>0</v>
      </c>
      <c r="L141" s="62" t="n">
        <v>0</v>
      </c>
      <c r="M141" s="61" t="n">
        <v>0.165058684175686</v>
      </c>
    </row>
    <row r="142" customFormat="false" ht="15" hidden="false" customHeight="true" outlineLevel="0" collapsed="false">
      <c r="A142" s="62" t="n">
        <v>116</v>
      </c>
      <c r="B142" s="59" t="n">
        <v>-0.654492669291655</v>
      </c>
      <c r="C142" s="59" t="n">
        <v>-0.500759253647554</v>
      </c>
      <c r="D142" s="59" t="n">
        <v>-0.707215285202793</v>
      </c>
      <c r="E142" s="60" t="n">
        <v>-0.00254041608734497</v>
      </c>
      <c r="F142" s="61" t="n">
        <v>0.293125637511998</v>
      </c>
      <c r="G142" s="55" t="n">
        <v>80.1552259777238</v>
      </c>
      <c r="H142" s="62" t="n">
        <v>0</v>
      </c>
      <c r="I142" s="62" t="n">
        <v>0</v>
      </c>
      <c r="J142" s="62" t="n">
        <v>0</v>
      </c>
      <c r="K142" s="62" t="n">
        <v>0</v>
      </c>
      <c r="L142" s="62" t="n">
        <v>1</v>
      </c>
      <c r="M142" s="61" t="n">
        <v>0.370153716703089</v>
      </c>
    </row>
    <row r="143" customFormat="false" ht="15" hidden="false" customHeight="true" outlineLevel="0" collapsed="false">
      <c r="A143" s="62" t="n">
        <v>117</v>
      </c>
      <c r="B143" s="59" t="n">
        <v>0.599513453987511</v>
      </c>
      <c r="C143" s="59" t="n">
        <v>-0.662924008584052</v>
      </c>
      <c r="D143" s="59" t="n">
        <v>-0.365367639003914</v>
      </c>
      <c r="E143" s="60" t="n">
        <v>-0.00886284504134099</v>
      </c>
      <c r="F143" s="61" t="n">
        <v>0.119533863895447</v>
      </c>
      <c r="G143" s="55" t="n">
        <v>-21.7942526665086</v>
      </c>
      <c r="H143" s="62" t="n">
        <v>0</v>
      </c>
      <c r="I143" s="62" t="n">
        <v>0</v>
      </c>
      <c r="J143" s="62" t="n">
        <v>0</v>
      </c>
      <c r="K143" s="62" t="n">
        <v>0</v>
      </c>
      <c r="L143" s="62" t="n">
        <v>0</v>
      </c>
      <c r="M143" s="61" t="n">
        <v>0.158757411076332</v>
      </c>
    </row>
    <row r="144" customFormat="false" ht="15" hidden="false" customHeight="true" outlineLevel="0" collapsed="false">
      <c r="A144" s="62" t="n">
        <v>118</v>
      </c>
      <c r="B144" s="59" t="n">
        <v>0.411594390066172</v>
      </c>
      <c r="C144" s="59" t="n">
        <v>0.172375109153033</v>
      </c>
      <c r="D144" s="59" t="n">
        <v>0.747726763269751</v>
      </c>
      <c r="E144" s="60" t="n">
        <v>0.00246776000735088</v>
      </c>
      <c r="F144" s="61" t="n">
        <v>0.136889067037565</v>
      </c>
      <c r="G144" s="55" t="n">
        <v>33.4457096138242</v>
      </c>
      <c r="H144" s="62" t="n">
        <v>0</v>
      </c>
      <c r="I144" s="62" t="n">
        <v>0</v>
      </c>
      <c r="J144" s="62" t="n">
        <v>0</v>
      </c>
      <c r="K144" s="62" t="n">
        <v>0</v>
      </c>
      <c r="L144" s="62" t="n">
        <v>0</v>
      </c>
      <c r="M144" s="61" t="n">
        <v>0.158402847561654</v>
      </c>
    </row>
    <row r="145" customFormat="false" ht="15" hidden="false" customHeight="true" outlineLevel="0" collapsed="false">
      <c r="A145" s="62" t="n">
        <v>119</v>
      </c>
      <c r="B145" s="59" t="n">
        <v>-0.361977919180193</v>
      </c>
      <c r="C145" s="59" t="n">
        <v>0.0453885776537821</v>
      </c>
      <c r="D145" s="59" t="n">
        <v>-1.23173574052465</v>
      </c>
      <c r="E145" s="60" t="n">
        <v>0.00243934884788385</v>
      </c>
      <c r="F145" s="61" t="n">
        <v>0.239001611874861</v>
      </c>
      <c r="G145" s="55" t="n">
        <v>66.1347467089446</v>
      </c>
      <c r="H145" s="62" t="n">
        <v>0</v>
      </c>
      <c r="I145" s="62" t="n">
        <v>0</v>
      </c>
      <c r="J145" s="62" t="n">
        <v>0</v>
      </c>
      <c r="K145" s="62" t="n">
        <v>0</v>
      </c>
      <c r="L145" s="62" t="n">
        <v>0</v>
      </c>
      <c r="M145" s="61" t="n">
        <v>0.165221847150609</v>
      </c>
    </row>
    <row r="146" customFormat="false" ht="15" hidden="false" customHeight="true" outlineLevel="0" collapsed="false">
      <c r="A146" s="62" t="n">
        <v>120</v>
      </c>
      <c r="B146" s="59" t="n">
        <v>-1.57310620867903</v>
      </c>
      <c r="C146" s="59" t="n">
        <v>-0.337200455205426</v>
      </c>
      <c r="D146" s="59" t="n">
        <v>-0.416034493196077</v>
      </c>
      <c r="E146" s="60" t="n">
        <v>-0.00802772443824158</v>
      </c>
      <c r="F146" s="61" t="n">
        <v>0.491959838518826</v>
      </c>
      <c r="G146" s="55" t="n">
        <v>151.448517815169</v>
      </c>
      <c r="H146" s="62" t="n">
        <v>0</v>
      </c>
      <c r="I146" s="62" t="n">
        <v>0</v>
      </c>
      <c r="J146" s="62" t="n">
        <v>0</v>
      </c>
      <c r="K146" s="62" t="n">
        <v>0</v>
      </c>
      <c r="L146" s="62" t="n">
        <v>0</v>
      </c>
      <c r="M146" s="61" t="n">
        <v>0.319801729130568</v>
      </c>
    </row>
    <row r="147" customFormat="false" ht="15" hidden="false" customHeight="true" outlineLevel="0" collapsed="false">
      <c r="A147" s="62" t="n">
        <v>121</v>
      </c>
      <c r="B147" s="59" t="n">
        <v>0.148612383278608</v>
      </c>
      <c r="C147" s="59" t="n">
        <v>0.460517373737265</v>
      </c>
      <c r="D147" s="59" t="n">
        <v>0.200128035248689</v>
      </c>
      <c r="E147" s="60" t="n">
        <v>0.00625616618769699</v>
      </c>
      <c r="F147" s="61" t="n">
        <v>0.163965382292433</v>
      </c>
      <c r="G147" s="55" t="n">
        <v>59.3834007743827</v>
      </c>
      <c r="H147" s="62" t="n">
        <v>0</v>
      </c>
      <c r="I147" s="62" t="n">
        <v>0</v>
      </c>
      <c r="J147" s="62" t="n">
        <v>0</v>
      </c>
      <c r="K147" s="62" t="n">
        <v>0</v>
      </c>
      <c r="L147" s="62" t="n">
        <v>0</v>
      </c>
      <c r="M147" s="61" t="n">
        <v>0.158402917068617</v>
      </c>
    </row>
    <row r="148" customFormat="false" ht="15" hidden="false" customHeight="true" outlineLevel="0" collapsed="false">
      <c r="A148" s="62" t="n">
        <v>122</v>
      </c>
      <c r="B148" s="59" t="n">
        <v>1.15939019931003</v>
      </c>
      <c r="C148" s="59" t="n">
        <v>0.047783956715483</v>
      </c>
      <c r="D148" s="59" t="n">
        <v>1.17792753014298</v>
      </c>
      <c r="E148" s="60" t="n">
        <v>0.00589002235425304</v>
      </c>
      <c r="F148" s="61" t="n">
        <v>0.0771821348974612</v>
      </c>
      <c r="G148" s="55" t="n">
        <v>57.1768766524171</v>
      </c>
      <c r="H148" s="62" t="n">
        <v>0</v>
      </c>
      <c r="I148" s="62" t="n">
        <v>0</v>
      </c>
      <c r="J148" s="62" t="n">
        <v>0</v>
      </c>
      <c r="K148" s="62" t="n">
        <v>0</v>
      </c>
      <c r="L148" s="62" t="n">
        <v>0</v>
      </c>
      <c r="M148" s="61" t="n">
        <v>0.158402847561654</v>
      </c>
    </row>
    <row r="149" customFormat="false" ht="15" hidden="false" customHeight="true" outlineLevel="0" collapsed="false">
      <c r="A149" s="62" t="n">
        <v>123</v>
      </c>
      <c r="B149" s="59" t="n">
        <v>-0.301031455968839</v>
      </c>
      <c r="C149" s="59" t="n">
        <v>0.0939964548220295</v>
      </c>
      <c r="D149" s="59" t="n">
        <v>0.195149807403194</v>
      </c>
      <c r="E149" s="60" t="n">
        <v>0.00492681023884797</v>
      </c>
      <c r="F149" s="61" t="n">
        <v>0.22849099498101</v>
      </c>
      <c r="G149" s="55" t="n">
        <v>74.9748471325852</v>
      </c>
      <c r="H149" s="62" t="n">
        <v>0</v>
      </c>
      <c r="I149" s="62" t="n">
        <v>0</v>
      </c>
      <c r="J149" s="62" t="n">
        <v>0</v>
      </c>
      <c r="K149" s="62" t="n">
        <v>0</v>
      </c>
      <c r="L149" s="62" t="n">
        <v>0</v>
      </c>
      <c r="M149" s="61" t="n">
        <v>0.158413686050978</v>
      </c>
    </row>
    <row r="150" customFormat="false" ht="15" hidden="false" customHeight="true" outlineLevel="0" collapsed="false">
      <c r="A150" s="62" t="n">
        <v>124</v>
      </c>
      <c r="B150" s="59" t="n">
        <v>-0.581294696415186</v>
      </c>
      <c r="C150" s="59" t="n">
        <v>-0.433603728515731</v>
      </c>
      <c r="D150" s="59" t="n">
        <v>0.376136757048103</v>
      </c>
      <c r="E150" s="60" t="n">
        <v>-0.00574368345897028</v>
      </c>
      <c r="F150" s="61" t="n">
        <v>0.279034339152383</v>
      </c>
      <c r="G150" s="55" t="n">
        <v>32.0543921313287</v>
      </c>
      <c r="H150" s="62" t="n">
        <v>0</v>
      </c>
      <c r="I150" s="62" t="n">
        <v>0</v>
      </c>
      <c r="J150" s="62" t="n">
        <v>0</v>
      </c>
      <c r="K150" s="62" t="n">
        <v>0</v>
      </c>
      <c r="L150" s="62" t="n">
        <v>0</v>
      </c>
      <c r="M150" s="61" t="n">
        <v>0.15877710665964</v>
      </c>
    </row>
    <row r="151" customFormat="false" ht="15" hidden="false" customHeight="true" outlineLevel="0" collapsed="false">
      <c r="A151" s="62" t="n">
        <v>125</v>
      </c>
      <c r="B151" s="59" t="n">
        <v>-0.758161897247165</v>
      </c>
      <c r="C151" s="59" t="n">
        <v>-0.118157115240338</v>
      </c>
      <c r="D151" s="59" t="n">
        <v>-0.685192480378577</v>
      </c>
      <c r="E151" s="60" t="n">
        <v>-0.0111686453645869</v>
      </c>
      <c r="F151" s="61" t="n">
        <v>0.313661789445762</v>
      </c>
      <c r="G151" s="55" t="n">
        <v>14.3798738292439</v>
      </c>
      <c r="H151" s="62" t="n">
        <v>0</v>
      </c>
      <c r="I151" s="62" t="n">
        <v>0</v>
      </c>
      <c r="J151" s="62" t="n">
        <v>0</v>
      </c>
      <c r="K151" s="62" t="n">
        <v>0</v>
      </c>
      <c r="L151" s="62" t="n">
        <v>0</v>
      </c>
      <c r="M151" s="61" t="n">
        <v>0.164376543835177</v>
      </c>
    </row>
    <row r="152" customFormat="false" ht="15" hidden="false" customHeight="true" outlineLevel="0" collapsed="false">
      <c r="A152" s="62" t="n">
        <v>126</v>
      </c>
      <c r="B152" s="59" t="n">
        <v>-0.00801827396405752</v>
      </c>
      <c r="C152" s="59" t="n">
        <v>1.2510437433355</v>
      </c>
      <c r="D152" s="59" t="n">
        <v>-0.188253041174324</v>
      </c>
      <c r="E152" s="60" t="n">
        <v>-0.000277804026512705</v>
      </c>
      <c r="F152" s="61" t="n">
        <v>0.181902691577783</v>
      </c>
      <c r="G152" s="55" t="n">
        <v>14.9586599106744</v>
      </c>
      <c r="H152" s="62" t="n">
        <v>0</v>
      </c>
      <c r="I152" s="62" t="n">
        <v>0</v>
      </c>
      <c r="J152" s="62" t="n">
        <v>0</v>
      </c>
      <c r="K152" s="62" t="n">
        <v>0</v>
      </c>
      <c r="L152" s="62" t="n">
        <v>0</v>
      </c>
      <c r="M152" s="61" t="n">
        <v>0.158568916864654</v>
      </c>
    </row>
    <row r="153" customFormat="false" ht="15" hidden="false" customHeight="true" outlineLevel="0" collapsed="false">
      <c r="A153" s="62" t="n">
        <v>127</v>
      </c>
      <c r="B153" s="59" t="n">
        <v>-1.25268421812302</v>
      </c>
      <c r="C153" s="59" t="n">
        <v>-0.0487489778072543</v>
      </c>
      <c r="D153" s="59" t="n">
        <v>1.88235769165063</v>
      </c>
      <c r="E153" s="60" t="n">
        <v>-0.014008101371415</v>
      </c>
      <c r="F153" s="61" t="n">
        <v>0.419275871616618</v>
      </c>
      <c r="G153" s="55" t="n">
        <v>36.2757477069313</v>
      </c>
      <c r="H153" s="62" t="n">
        <v>0</v>
      </c>
      <c r="I153" s="62" t="n">
        <v>0</v>
      </c>
      <c r="J153" s="62" t="n">
        <v>0</v>
      </c>
      <c r="K153" s="62" t="n">
        <v>0</v>
      </c>
      <c r="L153" s="62" t="n">
        <v>0</v>
      </c>
      <c r="M153" s="61" t="n">
        <v>0.162674368742012</v>
      </c>
    </row>
    <row r="154" customFormat="false" ht="15" hidden="false" customHeight="true" outlineLevel="0" collapsed="false">
      <c r="A154" s="62" t="n">
        <v>128</v>
      </c>
      <c r="B154" s="59" t="n">
        <v>-0.165298733933912</v>
      </c>
      <c r="C154" s="59" t="n">
        <v>-0.0818481731001772</v>
      </c>
      <c r="D154" s="59" t="n">
        <v>0.0479884331905288</v>
      </c>
      <c r="E154" s="60" t="n">
        <v>0.00731238080641514</v>
      </c>
      <c r="F154" s="61" t="n">
        <v>0.206087328460873</v>
      </c>
      <c r="G154" s="55" t="n">
        <v>98.0246802997145</v>
      </c>
      <c r="H154" s="62" t="n">
        <v>0</v>
      </c>
      <c r="I154" s="62" t="n">
        <v>0</v>
      </c>
      <c r="J154" s="62" t="n">
        <v>0</v>
      </c>
      <c r="K154" s="62" t="n">
        <v>0</v>
      </c>
      <c r="L154" s="62" t="n">
        <v>1</v>
      </c>
      <c r="M154" s="61" t="n">
        <v>0.361768414077011</v>
      </c>
    </row>
    <row r="155" customFormat="false" ht="15" hidden="false" customHeight="true" outlineLevel="0" collapsed="false">
      <c r="A155" s="62" t="n">
        <v>129</v>
      </c>
      <c r="B155" s="59" t="n">
        <v>-3.17036778649709</v>
      </c>
      <c r="C155" s="59" t="n">
        <v>-4.09151901638567</v>
      </c>
      <c r="D155" s="59" t="n">
        <v>-4.15910001653931</v>
      </c>
      <c r="E155" s="60" t="n">
        <v>0.0073666829666014</v>
      </c>
      <c r="F155" s="61" t="n">
        <v>0.779852552856343</v>
      </c>
      <c r="G155" s="55" t="n">
        <v>1243.82223969726</v>
      </c>
      <c r="H155" s="62" t="n">
        <v>18</v>
      </c>
      <c r="I155" s="62" t="n">
        <v>7</v>
      </c>
      <c r="J155" s="62" t="n">
        <v>9</v>
      </c>
      <c r="K155" s="62" t="n">
        <v>1</v>
      </c>
      <c r="L155" s="62" t="n">
        <v>0</v>
      </c>
      <c r="M155" s="61" t="n">
        <v>1</v>
      </c>
    </row>
    <row r="156" customFormat="false" ht="15" hidden="false" customHeight="true" outlineLevel="0" collapsed="false">
      <c r="A156" s="62" t="n">
        <v>130</v>
      </c>
      <c r="B156" s="59" t="n">
        <v>-0.663099678180614</v>
      </c>
      <c r="C156" s="59" t="n">
        <v>1.89754189975661</v>
      </c>
      <c r="D156" s="59" t="n">
        <v>-0.868684659186883</v>
      </c>
      <c r="E156" s="60" t="n">
        <v>-0.00272008247354058</v>
      </c>
      <c r="F156" s="61" t="n">
        <v>0.294805273709376</v>
      </c>
      <c r="G156" s="55" t="n">
        <v>56.0754687233221</v>
      </c>
      <c r="H156" s="62" t="n">
        <v>0</v>
      </c>
      <c r="I156" s="62" t="n">
        <v>0</v>
      </c>
      <c r="J156" s="62" t="n">
        <v>0</v>
      </c>
      <c r="K156" s="62" t="n">
        <v>0</v>
      </c>
      <c r="L156" s="62" t="n">
        <v>0</v>
      </c>
      <c r="M156" s="61" t="n">
        <v>0.165004374625632</v>
      </c>
    </row>
    <row r="157" customFormat="false" ht="15" hidden="false" customHeight="true" outlineLevel="0" collapsed="false">
      <c r="A157" s="62" t="n">
        <v>131</v>
      </c>
      <c r="B157" s="59" t="n">
        <v>0.618467851459338</v>
      </c>
      <c r="C157" s="59" t="n">
        <v>-0.0898394018720148</v>
      </c>
      <c r="D157" s="59" t="n">
        <v>0.426971052898271</v>
      </c>
      <c r="E157" s="60" t="n">
        <v>0.000686336258486552</v>
      </c>
      <c r="F157" s="61" t="n">
        <v>0.117873968690973</v>
      </c>
      <c r="G157" s="55" t="n">
        <v>23.180050769076</v>
      </c>
      <c r="H157" s="62" t="n">
        <v>0</v>
      </c>
      <c r="I157" s="62" t="n">
        <v>0</v>
      </c>
      <c r="J157" s="62" t="n">
        <v>0</v>
      </c>
      <c r="K157" s="62" t="n">
        <v>0</v>
      </c>
      <c r="L157" s="62" t="n">
        <v>0</v>
      </c>
      <c r="M157" s="61" t="n">
        <v>0.158402847561654</v>
      </c>
    </row>
    <row r="158" customFormat="false" ht="15" hidden="false" customHeight="true" outlineLevel="0" collapsed="false">
      <c r="A158" s="62" t="n">
        <v>132</v>
      </c>
      <c r="B158" s="59" t="n">
        <v>-0.641219012904283</v>
      </c>
      <c r="C158" s="59" t="n">
        <v>-4.16587412896254</v>
      </c>
      <c r="D158" s="59" t="n">
        <v>0.258869782925675</v>
      </c>
      <c r="E158" s="60" t="n">
        <v>0.00995009389940271</v>
      </c>
      <c r="F158" s="61" t="n">
        <v>0.290544563570107</v>
      </c>
      <c r="G158" s="55" t="n">
        <v>221.234755048515</v>
      </c>
      <c r="H158" s="62" t="n">
        <v>0</v>
      </c>
      <c r="I158" s="62" t="n">
        <v>0</v>
      </c>
      <c r="J158" s="62" t="n">
        <v>0</v>
      </c>
      <c r="K158" s="62" t="n">
        <v>0</v>
      </c>
      <c r="L158" s="62" t="n">
        <v>0</v>
      </c>
      <c r="M158" s="61" t="n">
        <v>0.158852928033496</v>
      </c>
    </row>
    <row r="159" customFormat="false" ht="15" hidden="false" customHeight="true" outlineLevel="0" collapsed="false">
      <c r="A159" s="62" t="n">
        <v>133</v>
      </c>
      <c r="B159" s="59" t="n">
        <v>0.482833435696704</v>
      </c>
      <c r="C159" s="59" t="n">
        <v>-0.37918796377022</v>
      </c>
      <c r="D159" s="59" t="n">
        <v>1.75748696970098</v>
      </c>
      <c r="E159" s="60" t="n">
        <v>0.00671389465823457</v>
      </c>
      <c r="F159" s="61" t="n">
        <v>0.130116482738627</v>
      </c>
      <c r="G159" s="55" t="n">
        <v>70.9317116237207</v>
      </c>
      <c r="H159" s="62" t="n">
        <v>0</v>
      </c>
      <c r="I159" s="62" t="n">
        <v>0</v>
      </c>
      <c r="J159" s="62" t="n">
        <v>0</v>
      </c>
      <c r="K159" s="62" t="n">
        <v>0</v>
      </c>
      <c r="L159" s="62" t="n">
        <v>0</v>
      </c>
      <c r="M159" s="61" t="n">
        <v>0.158402847561654</v>
      </c>
    </row>
    <row r="160" customFormat="false" ht="15" hidden="false" customHeight="true" outlineLevel="0" collapsed="false">
      <c r="A160" s="62" t="n">
        <v>134</v>
      </c>
      <c r="B160" s="59" t="n">
        <v>-1.46904380971761</v>
      </c>
      <c r="C160" s="59" t="n">
        <v>-0.195231844281407</v>
      </c>
      <c r="D160" s="59" t="n">
        <v>-0.736934523234713</v>
      </c>
      <c r="E160" s="60" t="n">
        <v>0.00887405769687513</v>
      </c>
      <c r="F160" s="61" t="n">
        <v>0.468175292667512</v>
      </c>
      <c r="G160" s="55" t="n">
        <v>497.478258299393</v>
      </c>
      <c r="H160" s="62" t="n">
        <v>10</v>
      </c>
      <c r="I160" s="62" t="n">
        <v>0</v>
      </c>
      <c r="J160" s="62" t="n">
        <v>0</v>
      </c>
      <c r="K160" s="62" t="n">
        <v>1</v>
      </c>
      <c r="L160" s="62" t="n">
        <v>0</v>
      </c>
      <c r="M160" s="61" t="n">
        <v>0.999999717905029</v>
      </c>
    </row>
    <row r="161" customFormat="false" ht="15" hidden="false" customHeight="true" outlineLevel="0" collapsed="false">
      <c r="A161" s="62" t="n">
        <v>135</v>
      </c>
      <c r="B161" s="59" t="n">
        <v>0.526333969996999</v>
      </c>
      <c r="C161" s="59" t="n">
        <v>-0.921124377542829</v>
      </c>
      <c r="D161" s="59" t="n">
        <v>2.8339816083802</v>
      </c>
      <c r="E161" s="60" t="n">
        <v>-0.00114095569488427</v>
      </c>
      <c r="F161" s="61" t="n">
        <v>0.126097411848778</v>
      </c>
      <c r="G161" s="55" t="n">
        <v>30.1714272719107</v>
      </c>
      <c r="H161" s="62" t="n">
        <v>0</v>
      </c>
      <c r="I161" s="62" t="n">
        <v>0</v>
      </c>
      <c r="J161" s="62" t="n">
        <v>0</v>
      </c>
      <c r="K161" s="62" t="n">
        <v>0</v>
      </c>
      <c r="L161" s="62" t="n">
        <v>0</v>
      </c>
      <c r="M161" s="61" t="n">
        <v>0.158402847561654</v>
      </c>
    </row>
    <row r="162" customFormat="false" ht="15" hidden="false" customHeight="true" outlineLevel="0" collapsed="false">
      <c r="A162" s="62" t="n">
        <v>136</v>
      </c>
      <c r="B162" s="59" t="n">
        <v>-0.718397059503037</v>
      </c>
      <c r="C162" s="59" t="n">
        <v>-0.649357893327655</v>
      </c>
      <c r="D162" s="59" t="n">
        <v>0.042695918892344</v>
      </c>
      <c r="E162" s="60" t="n">
        <v>0.00948840720286748</v>
      </c>
      <c r="F162" s="61" t="n">
        <v>0.305706963792631</v>
      </c>
      <c r="G162" s="55" t="n">
        <v>144.312839538147</v>
      </c>
      <c r="H162" s="62" t="n">
        <v>0</v>
      </c>
      <c r="I162" s="62" t="n">
        <v>0</v>
      </c>
      <c r="J162" s="62" t="n">
        <v>0</v>
      </c>
      <c r="K162" s="62" t="n">
        <v>0</v>
      </c>
      <c r="L162" s="62" t="n">
        <v>0</v>
      </c>
      <c r="M162" s="61" t="n">
        <v>0.158841375056053</v>
      </c>
    </row>
    <row r="163" customFormat="false" ht="15" hidden="false" customHeight="true" outlineLevel="0" collapsed="false">
      <c r="A163" s="62" t="n">
        <v>137</v>
      </c>
      <c r="B163" s="59" t="n">
        <v>-0.171796748949822</v>
      </c>
      <c r="C163" s="59" t="n">
        <v>0.137282548217951</v>
      </c>
      <c r="D163" s="59" t="n">
        <v>-0.302312235588733</v>
      </c>
      <c r="E163" s="60" t="n">
        <v>0.00521072082781046</v>
      </c>
      <c r="F163" s="61" t="n">
        <v>0.207127805400055</v>
      </c>
      <c r="G163" s="55" t="n">
        <v>66.4406714498219</v>
      </c>
      <c r="H163" s="62" t="n">
        <v>0</v>
      </c>
      <c r="I163" s="62" t="n">
        <v>0</v>
      </c>
      <c r="J163" s="62" t="n">
        <v>0</v>
      </c>
      <c r="K163" s="62" t="n">
        <v>0</v>
      </c>
      <c r="L163" s="62" t="n">
        <v>0</v>
      </c>
      <c r="M163" s="61" t="n">
        <v>0.158704468611902</v>
      </c>
    </row>
    <row r="164" customFormat="false" ht="15" hidden="false" customHeight="true" outlineLevel="0" collapsed="false">
      <c r="A164" s="62" t="n">
        <v>138</v>
      </c>
      <c r="B164" s="59" t="n">
        <v>-0.886149026768988</v>
      </c>
      <c r="C164" s="59" t="n">
        <v>-0.0188050143045101</v>
      </c>
      <c r="D164" s="59" t="n">
        <v>-0.0153104962722823</v>
      </c>
      <c r="E164" s="60" t="n">
        <v>0.00371691422798605</v>
      </c>
      <c r="F164" s="61" t="n">
        <v>0.339881789167212</v>
      </c>
      <c r="G164" s="55" t="n">
        <v>114.745778411131</v>
      </c>
      <c r="H164" s="62" t="n">
        <v>0</v>
      </c>
      <c r="I164" s="62" t="n">
        <v>0</v>
      </c>
      <c r="J164" s="62" t="n">
        <v>0</v>
      </c>
      <c r="K164" s="62" t="n">
        <v>0</v>
      </c>
      <c r="L164" s="62" t="n">
        <v>0</v>
      </c>
      <c r="M164" s="61" t="n">
        <v>0.1589204923197</v>
      </c>
    </row>
    <row r="165" customFormat="false" ht="15" hidden="false" customHeight="true" outlineLevel="0" collapsed="false">
      <c r="A165" s="62" t="n">
        <v>139</v>
      </c>
      <c r="B165" s="59" t="n">
        <v>2.97850808603948</v>
      </c>
      <c r="C165" s="59" t="n">
        <v>3.74107554852309</v>
      </c>
      <c r="D165" s="59" t="n">
        <v>2.99178291390704</v>
      </c>
      <c r="E165" s="60" t="n">
        <v>-0.0184714851153272</v>
      </c>
      <c r="F165" s="61" t="n">
        <v>0.0128513578573291</v>
      </c>
      <c r="G165" s="55" t="n">
        <v>-77.0326601898608</v>
      </c>
      <c r="H165" s="62" t="n">
        <v>0</v>
      </c>
      <c r="I165" s="62" t="n">
        <v>0</v>
      </c>
      <c r="J165" s="62" t="n">
        <v>0</v>
      </c>
      <c r="K165" s="62" t="n">
        <v>0</v>
      </c>
      <c r="L165" s="62" t="n">
        <v>1</v>
      </c>
      <c r="M165" s="61" t="n">
        <v>0.361448762181254</v>
      </c>
    </row>
    <row r="166" customFormat="false" ht="15" hidden="false" customHeight="true" outlineLevel="0" collapsed="false">
      <c r="A166" s="62" t="n">
        <v>140</v>
      </c>
      <c r="B166" s="59" t="n">
        <v>0.746453427686329</v>
      </c>
      <c r="C166" s="59" t="n">
        <v>0.890922144247655</v>
      </c>
      <c r="D166" s="59" t="n">
        <v>0.732997811201394</v>
      </c>
      <c r="E166" s="60" t="n">
        <v>0.0112680697000106</v>
      </c>
      <c r="F166" s="61" t="n">
        <v>0.107092906703258</v>
      </c>
      <c r="G166" s="55" t="n">
        <v>110.895238280231</v>
      </c>
      <c r="H166" s="62" t="n">
        <v>0</v>
      </c>
      <c r="I166" s="62" t="n">
        <v>0</v>
      </c>
      <c r="J166" s="62" t="n">
        <v>0</v>
      </c>
      <c r="K166" s="62" t="n">
        <v>0</v>
      </c>
      <c r="L166" s="62" t="n">
        <v>1</v>
      </c>
      <c r="M166" s="61" t="n">
        <v>0.36145077235686</v>
      </c>
    </row>
    <row r="167" customFormat="false" ht="15" hidden="false" customHeight="true" outlineLevel="0" collapsed="false">
      <c r="A167" s="62" t="n">
        <v>141</v>
      </c>
      <c r="B167" s="59" t="n">
        <v>-0.056042132429611</v>
      </c>
      <c r="C167" s="59" t="n">
        <v>-0.0897897825536481</v>
      </c>
      <c r="D167" s="59" t="n">
        <v>0.47651160395466</v>
      </c>
      <c r="E167" s="60" t="n">
        <v>0.00223758014781872</v>
      </c>
      <c r="F167" s="61" t="n">
        <v>0.189082706632489</v>
      </c>
      <c r="G167" s="55" t="n">
        <v>54.6889194781653</v>
      </c>
      <c r="H167" s="62" t="n">
        <v>0</v>
      </c>
      <c r="I167" s="62" t="n">
        <v>0</v>
      </c>
      <c r="J167" s="62" t="n">
        <v>0</v>
      </c>
      <c r="K167" s="62" t="n">
        <v>0</v>
      </c>
      <c r="L167" s="62" t="n">
        <v>1</v>
      </c>
      <c r="M167" s="61" t="n">
        <v>0.361720464654495</v>
      </c>
    </row>
    <row r="168" customFormat="false" ht="15" hidden="false" customHeight="true" outlineLevel="0" collapsed="false">
      <c r="A168" s="62" t="n">
        <v>142</v>
      </c>
      <c r="B168" s="59" t="n">
        <v>-0.260645140338422</v>
      </c>
      <c r="C168" s="59" t="n">
        <v>0.670781078439963</v>
      </c>
      <c r="D168" s="59" t="n">
        <v>-0.717895009808021</v>
      </c>
      <c r="E168" s="60" t="n">
        <v>0.00510554021715796</v>
      </c>
      <c r="F168" s="61" t="n">
        <v>0.221678828665733</v>
      </c>
      <c r="G168" s="55" t="n">
        <v>72.9063255261524</v>
      </c>
      <c r="H168" s="62" t="n">
        <v>0</v>
      </c>
      <c r="I168" s="62" t="n">
        <v>0</v>
      </c>
      <c r="J168" s="62" t="n">
        <v>0</v>
      </c>
      <c r="K168" s="62" t="n">
        <v>0</v>
      </c>
      <c r="L168" s="62" t="n">
        <v>0</v>
      </c>
      <c r="M168" s="61" t="n">
        <v>0.159805856658918</v>
      </c>
    </row>
    <row r="169" customFormat="false" ht="15" hidden="false" customHeight="true" outlineLevel="0" collapsed="false">
      <c r="A169" s="62" t="n">
        <v>143</v>
      </c>
      <c r="B169" s="59" t="n">
        <v>0.206463746568792</v>
      </c>
      <c r="C169" s="59" t="n">
        <v>0.118023389041729</v>
      </c>
      <c r="D169" s="59" t="n">
        <v>0.330068162104604</v>
      </c>
      <c r="E169" s="60" t="n">
        <v>0.00959733619922327</v>
      </c>
      <c r="F169" s="61" t="n">
        <v>0.157727207912378</v>
      </c>
      <c r="G169" s="55" t="n">
        <v>82.6936763770217</v>
      </c>
      <c r="H169" s="62" t="n">
        <v>0</v>
      </c>
      <c r="I169" s="62" t="n">
        <v>0</v>
      </c>
      <c r="J169" s="62" t="n">
        <v>0</v>
      </c>
      <c r="K169" s="62" t="n">
        <v>0</v>
      </c>
      <c r="L169" s="62" t="n">
        <v>0</v>
      </c>
      <c r="M169" s="61" t="n">
        <v>0.158402847561654</v>
      </c>
    </row>
    <row r="170" customFormat="false" ht="15" hidden="false" customHeight="true" outlineLevel="0" collapsed="false">
      <c r="A170" s="62" t="n">
        <v>144</v>
      </c>
      <c r="B170" s="59" t="n">
        <v>-0.205006518524917</v>
      </c>
      <c r="C170" s="59" t="n">
        <v>-0.689070105659638</v>
      </c>
      <c r="D170" s="59" t="n">
        <v>0.211630362330984</v>
      </c>
      <c r="E170" s="60" t="n">
        <v>-0.0109426797130146</v>
      </c>
      <c r="F170" s="61" t="n">
        <v>0.212496110970323</v>
      </c>
      <c r="G170" s="55" t="n">
        <v>-20.2258760035923</v>
      </c>
      <c r="H170" s="62" t="n">
        <v>0</v>
      </c>
      <c r="I170" s="62" t="n">
        <v>0</v>
      </c>
      <c r="J170" s="62" t="n">
        <v>0</v>
      </c>
      <c r="K170" s="62" t="n">
        <v>0</v>
      </c>
      <c r="L170" s="62" t="n">
        <v>0</v>
      </c>
      <c r="M170" s="61" t="n">
        <v>0.158406398302159</v>
      </c>
    </row>
    <row r="171" customFormat="false" ht="15" hidden="false" customHeight="true" outlineLevel="0" collapsed="false">
      <c r="A171" s="62" t="n">
        <v>145</v>
      </c>
      <c r="B171" s="59" t="n">
        <v>-0.727053637407265</v>
      </c>
      <c r="C171" s="59" t="n">
        <v>0.00207467202939653</v>
      </c>
      <c r="D171" s="59" t="n">
        <v>-0.937866620468834</v>
      </c>
      <c r="E171" s="60" t="n">
        <v>-0.00104181229301293</v>
      </c>
      <c r="F171" s="61" t="n">
        <v>0.307430600111346</v>
      </c>
      <c r="G171" s="55" t="n">
        <v>72.8635691289804</v>
      </c>
      <c r="H171" s="62" t="n">
        <v>0</v>
      </c>
      <c r="I171" s="62" t="n">
        <v>0</v>
      </c>
      <c r="J171" s="62" t="n">
        <v>0</v>
      </c>
      <c r="K171" s="62" t="n">
        <v>0</v>
      </c>
      <c r="L171" s="62" t="n">
        <v>0</v>
      </c>
      <c r="M171" s="61" t="n">
        <v>0.165547778404997</v>
      </c>
    </row>
    <row r="172" customFormat="false" ht="15" hidden="false" customHeight="true" outlineLevel="0" collapsed="false">
      <c r="A172" s="62" t="n">
        <v>146</v>
      </c>
      <c r="B172" s="59" t="n">
        <v>-1.38806334625227</v>
      </c>
      <c r="C172" s="59" t="n">
        <v>-1.39311433621525</v>
      </c>
      <c r="D172" s="59" t="n">
        <v>-1.6651239645102</v>
      </c>
      <c r="E172" s="60" t="n">
        <v>-0.00244944995319087</v>
      </c>
      <c r="F172" s="61" t="n">
        <v>0.449760375696226</v>
      </c>
      <c r="G172" s="55" t="n">
        <v>593.178579175075</v>
      </c>
      <c r="H172" s="62" t="n">
        <v>10</v>
      </c>
      <c r="I172" s="62" t="n">
        <v>1</v>
      </c>
      <c r="J172" s="62" t="n">
        <v>1</v>
      </c>
      <c r="K172" s="62" t="n">
        <v>1</v>
      </c>
      <c r="L172" s="62" t="n">
        <v>1</v>
      </c>
      <c r="M172" s="61" t="n">
        <v>0.999999999999345</v>
      </c>
    </row>
    <row r="173" customFormat="false" ht="15" hidden="false" customHeight="true" outlineLevel="0" collapsed="false">
      <c r="A173" s="62" t="n">
        <v>147</v>
      </c>
      <c r="B173" s="59" t="n">
        <v>0.298784019977742</v>
      </c>
      <c r="C173" s="59" t="n">
        <v>0.344856155775815</v>
      </c>
      <c r="D173" s="59" t="n">
        <v>0.165649934432067</v>
      </c>
      <c r="E173" s="60" t="n">
        <v>0.00473543365782424</v>
      </c>
      <c r="F173" s="61" t="n">
        <v>0.14810212655408</v>
      </c>
      <c r="G173" s="55" t="n">
        <v>48.9624587428303</v>
      </c>
      <c r="H173" s="62" t="n">
        <v>0</v>
      </c>
      <c r="I173" s="62" t="n">
        <v>0</v>
      </c>
      <c r="J173" s="62" t="n">
        <v>0</v>
      </c>
      <c r="K173" s="62" t="n">
        <v>0</v>
      </c>
      <c r="L173" s="62" t="n">
        <v>0</v>
      </c>
      <c r="M173" s="61" t="n">
        <v>0.158402847561654</v>
      </c>
    </row>
    <row r="174" customFormat="false" ht="15" hidden="false" customHeight="true" outlineLevel="0" collapsed="false">
      <c r="A174" s="62" t="n">
        <v>148</v>
      </c>
      <c r="B174" s="59" t="n">
        <v>1.07189217608672</v>
      </c>
      <c r="C174" s="59" t="n">
        <v>0.985924684430907</v>
      </c>
      <c r="D174" s="59" t="n">
        <v>0.726125452589585</v>
      </c>
      <c r="E174" s="60" t="n">
        <v>0.00438034712164145</v>
      </c>
      <c r="F174" s="61" t="n">
        <v>0.0829218206864747</v>
      </c>
      <c r="G174" s="55" t="n">
        <v>46.2212440392576</v>
      </c>
      <c r="H174" s="62" t="n">
        <v>0</v>
      </c>
      <c r="I174" s="62" t="n">
        <v>0</v>
      </c>
      <c r="J174" s="62" t="n">
        <v>0</v>
      </c>
      <c r="K174" s="62" t="n">
        <v>0</v>
      </c>
      <c r="L174" s="62" t="n">
        <v>0</v>
      </c>
      <c r="M174" s="61" t="n">
        <v>0.158402847561654</v>
      </c>
    </row>
    <row r="175" customFormat="false" ht="15" hidden="false" customHeight="true" outlineLevel="0" collapsed="false">
      <c r="A175" s="62" t="n">
        <v>149</v>
      </c>
      <c r="B175" s="59" t="n">
        <v>0.221885035803823</v>
      </c>
      <c r="C175" s="59" t="n">
        <v>-0.0385153281215262</v>
      </c>
      <c r="D175" s="59" t="n">
        <v>0.343469000875845</v>
      </c>
      <c r="E175" s="60" t="n">
        <v>0.00375737113433364</v>
      </c>
      <c r="F175" s="61" t="n">
        <v>0.156091225691657</v>
      </c>
      <c r="G175" s="55" t="n">
        <v>43.305608617659</v>
      </c>
      <c r="H175" s="62" t="n">
        <v>0</v>
      </c>
      <c r="I175" s="62" t="n">
        <v>0</v>
      </c>
      <c r="J175" s="62" t="n">
        <v>0</v>
      </c>
      <c r="K175" s="62" t="n">
        <v>0</v>
      </c>
      <c r="L175" s="62" t="n">
        <v>0</v>
      </c>
      <c r="M175" s="61" t="n">
        <v>0.158402847561654</v>
      </c>
    </row>
    <row r="176" customFormat="false" ht="15" hidden="false" customHeight="true" outlineLevel="0" collapsed="false">
      <c r="A176" s="62" t="n">
        <v>150</v>
      </c>
      <c r="B176" s="59" t="n">
        <v>0.882702989695112</v>
      </c>
      <c r="C176" s="59" t="n">
        <v>0.378822634084791</v>
      </c>
      <c r="D176" s="59" t="n">
        <v>0.877252704209042</v>
      </c>
      <c r="E176" s="60" t="n">
        <v>0.0175311185782402</v>
      </c>
      <c r="F176" s="61" t="n">
        <v>0.0964183102928016</v>
      </c>
      <c r="G176" s="55" t="n">
        <v>137.240700254205</v>
      </c>
      <c r="H176" s="62" t="n">
        <v>0</v>
      </c>
      <c r="I176" s="62" t="n">
        <v>0</v>
      </c>
      <c r="J176" s="62" t="n">
        <v>0</v>
      </c>
      <c r="K176" s="62" t="n">
        <v>0</v>
      </c>
      <c r="L176" s="62" t="n">
        <v>0</v>
      </c>
      <c r="M176" s="61" t="n">
        <v>0.158402847561654</v>
      </c>
    </row>
    <row r="177" customFormat="false" ht="15" hidden="false" customHeight="true" outlineLevel="0" collapsed="false">
      <c r="A177" s="62" t="n">
        <v>151</v>
      </c>
      <c r="B177" s="59" t="n">
        <v>1.05491549234034</v>
      </c>
      <c r="C177" s="59" t="n">
        <v>1.46333809169352</v>
      </c>
      <c r="D177" s="59" t="n">
        <v>1.54113986181494</v>
      </c>
      <c r="E177" s="60" t="n">
        <v>0.00541195270182549</v>
      </c>
      <c r="F177" s="61" t="n">
        <v>0.0840716404723225</v>
      </c>
      <c r="G177" s="55" t="n">
        <v>53.2494763679847</v>
      </c>
      <c r="H177" s="62" t="n">
        <v>0</v>
      </c>
      <c r="I177" s="62" t="n">
        <v>0</v>
      </c>
      <c r="J177" s="62" t="n">
        <v>0</v>
      </c>
      <c r="K177" s="62" t="n">
        <v>0</v>
      </c>
      <c r="L177" s="62" t="n">
        <v>0</v>
      </c>
      <c r="M177" s="61" t="n">
        <v>0.158402847561654</v>
      </c>
    </row>
    <row r="178" customFormat="false" ht="15" hidden="false" customHeight="true" outlineLevel="0" collapsed="false">
      <c r="A178" s="62" t="n">
        <v>152</v>
      </c>
      <c r="B178" s="59" t="n">
        <v>0.750360159991263</v>
      </c>
      <c r="C178" s="59" t="n">
        <v>2.47464682138587</v>
      </c>
      <c r="D178" s="59" t="n">
        <v>-0.157359360023042</v>
      </c>
      <c r="E178" s="60" t="n">
        <v>0.00218195989995733</v>
      </c>
      <c r="F178" s="61" t="n">
        <v>0.106775408724542</v>
      </c>
      <c r="G178" s="55" t="n">
        <v>30.9256915523709</v>
      </c>
      <c r="H178" s="62" t="n">
        <v>0</v>
      </c>
      <c r="I178" s="62" t="n">
        <v>0</v>
      </c>
      <c r="J178" s="62" t="n">
        <v>0</v>
      </c>
      <c r="K178" s="62" t="n">
        <v>0</v>
      </c>
      <c r="L178" s="62" t="n">
        <v>0</v>
      </c>
      <c r="M178" s="61" t="n">
        <v>0.158537913059447</v>
      </c>
    </row>
    <row r="179" customFormat="false" ht="15" hidden="false" customHeight="true" outlineLevel="0" collapsed="false">
      <c r="A179" s="62" t="n">
        <v>153</v>
      </c>
      <c r="B179" s="59" t="n">
        <v>-0.221795123737704</v>
      </c>
      <c r="C179" s="59" t="n">
        <v>0.347903517330362</v>
      </c>
      <c r="D179" s="59" t="n">
        <v>0.0427073384582373</v>
      </c>
      <c r="E179" s="60" t="n">
        <v>0.00177248083511068</v>
      </c>
      <c r="F179" s="61" t="n">
        <v>0.215242110113503</v>
      </c>
      <c r="G179" s="55" t="n">
        <v>63.7004525829201</v>
      </c>
      <c r="H179" s="62" t="n">
        <v>0</v>
      </c>
      <c r="I179" s="62" t="n">
        <v>0</v>
      </c>
      <c r="J179" s="62" t="n">
        <v>0</v>
      </c>
      <c r="K179" s="62" t="n">
        <v>0</v>
      </c>
      <c r="L179" s="62" t="n">
        <v>1</v>
      </c>
      <c r="M179" s="61" t="n">
        <v>0.361797092137047</v>
      </c>
    </row>
    <row r="180" customFormat="false" ht="15" hidden="false" customHeight="true" outlineLevel="0" collapsed="false">
      <c r="A180" s="62" t="n">
        <v>154</v>
      </c>
      <c r="B180" s="59" t="n">
        <v>0.23820036551904</v>
      </c>
      <c r="C180" s="59" t="n">
        <v>0.663078060883213</v>
      </c>
      <c r="D180" s="59" t="n">
        <v>-0.166567342417659</v>
      </c>
      <c r="E180" s="60" t="n">
        <v>-0.00313934495496846</v>
      </c>
      <c r="F180" s="61" t="n">
        <v>0.154372720303801</v>
      </c>
      <c r="G180" s="55" t="n">
        <v>-2.56254190711617</v>
      </c>
      <c r="H180" s="62" t="n">
        <v>0</v>
      </c>
      <c r="I180" s="62" t="n">
        <v>0</v>
      </c>
      <c r="J180" s="62" t="n">
        <v>0</v>
      </c>
      <c r="K180" s="62" t="n">
        <v>0</v>
      </c>
      <c r="L180" s="62" t="n">
        <v>0</v>
      </c>
      <c r="M180" s="61" t="n">
        <v>0.158547382264434</v>
      </c>
    </row>
    <row r="181" customFormat="false" ht="15" hidden="false" customHeight="true" outlineLevel="0" collapsed="false">
      <c r="A181" s="62" t="n">
        <v>155</v>
      </c>
      <c r="B181" s="59" t="n">
        <v>-3.26820906691508</v>
      </c>
      <c r="C181" s="59" t="n">
        <v>-1.89059952302467</v>
      </c>
      <c r="D181" s="59" t="n">
        <v>-2.46322961074724</v>
      </c>
      <c r="E181" s="60" t="n">
        <v>0.0119143574124025</v>
      </c>
      <c r="F181" s="61" t="n">
        <v>0.79321997792629</v>
      </c>
      <c r="G181" s="55" t="n">
        <v>1192.56486452197</v>
      </c>
      <c r="H181" s="62" t="n">
        <v>17</v>
      </c>
      <c r="I181" s="62" t="n">
        <v>6</v>
      </c>
      <c r="J181" s="62" t="n">
        <v>8</v>
      </c>
      <c r="K181" s="62" t="n">
        <v>1</v>
      </c>
      <c r="L181" s="62" t="n">
        <v>0</v>
      </c>
      <c r="M181" s="61" t="n">
        <v>1</v>
      </c>
    </row>
    <row r="182" customFormat="false" ht="15" hidden="false" customHeight="true" outlineLevel="0" collapsed="false">
      <c r="A182" s="62" t="n">
        <v>156</v>
      </c>
      <c r="B182" s="59" t="n">
        <v>-0.326635612622275</v>
      </c>
      <c r="C182" s="59" t="n">
        <v>-0.076094184261442</v>
      </c>
      <c r="D182" s="59" t="n">
        <v>-0.361429266221676</v>
      </c>
      <c r="E182" s="60" t="n">
        <v>-0.00360505022283507</v>
      </c>
      <c r="F182" s="61" t="n">
        <v>0.232873045764484</v>
      </c>
      <c r="G182" s="55" t="n">
        <v>22.1869982251057</v>
      </c>
      <c r="H182" s="62" t="n">
        <v>0</v>
      </c>
      <c r="I182" s="62" t="n">
        <v>0</v>
      </c>
      <c r="J182" s="62" t="n">
        <v>0</v>
      </c>
      <c r="K182" s="62" t="n">
        <v>0</v>
      </c>
      <c r="L182" s="62" t="n">
        <v>0</v>
      </c>
      <c r="M182" s="61" t="n">
        <v>0.159139494733634</v>
      </c>
    </row>
    <row r="183" customFormat="false" ht="15" hidden="false" customHeight="true" outlineLevel="0" collapsed="false">
      <c r="A183" s="62" t="n">
        <v>157</v>
      </c>
      <c r="B183" s="59" t="n">
        <v>-1.60197965449258</v>
      </c>
      <c r="C183" s="59" t="n">
        <v>0.0734527854156086</v>
      </c>
      <c r="D183" s="59" t="n">
        <v>-1.54405537502902</v>
      </c>
      <c r="E183" s="60" t="n">
        <v>-0.00491129002768119</v>
      </c>
      <c r="F183" s="61" t="n">
        <v>0.498572826737388</v>
      </c>
      <c r="G183" s="55" t="n">
        <v>578.393011194312</v>
      </c>
      <c r="H183" s="62" t="n">
        <v>11</v>
      </c>
      <c r="I183" s="62" t="n">
        <v>1</v>
      </c>
      <c r="J183" s="62" t="n">
        <v>1</v>
      </c>
      <c r="K183" s="62" t="n">
        <v>1</v>
      </c>
      <c r="L183" s="62" t="n">
        <v>0</v>
      </c>
      <c r="M183" s="61" t="n">
        <v>0.999999999999675</v>
      </c>
    </row>
    <row r="184" customFormat="false" ht="15" hidden="false" customHeight="true" outlineLevel="0" collapsed="false">
      <c r="A184" s="62" t="n">
        <v>158</v>
      </c>
      <c r="B184" s="59" t="n">
        <v>-0.23301666768445</v>
      </c>
      <c r="C184" s="59" t="n">
        <v>0.979330274237361</v>
      </c>
      <c r="D184" s="59" t="n">
        <v>-0.806936683335373</v>
      </c>
      <c r="E184" s="60" t="n">
        <v>-0.0227470206439108</v>
      </c>
      <c r="F184" s="61" t="n">
        <v>0.217089531486944</v>
      </c>
      <c r="G184" s="55" t="n">
        <v>-99.8989638339447</v>
      </c>
      <c r="H184" s="62" t="n">
        <v>0</v>
      </c>
      <c r="I184" s="62" t="n">
        <v>0</v>
      </c>
      <c r="J184" s="62" t="n">
        <v>0</v>
      </c>
      <c r="K184" s="62" t="n">
        <v>0</v>
      </c>
      <c r="L184" s="62" t="n">
        <v>0</v>
      </c>
      <c r="M184" s="61" t="n">
        <v>0.160000418334255</v>
      </c>
    </row>
    <row r="185" customFormat="false" ht="15" hidden="false" customHeight="true" outlineLevel="0" collapsed="false">
      <c r="A185" s="62" t="n">
        <v>159</v>
      </c>
      <c r="B185" s="59" t="n">
        <v>-0.969888997707436</v>
      </c>
      <c r="C185" s="59" t="n">
        <v>-0.789530730536328</v>
      </c>
      <c r="D185" s="59" t="n">
        <v>-0.428493486271612</v>
      </c>
      <c r="E185" s="60" t="n">
        <v>0.00485684690558137</v>
      </c>
      <c r="F185" s="61" t="n">
        <v>0.357507424934046</v>
      </c>
      <c r="G185" s="55" t="n">
        <v>136.253260757726</v>
      </c>
      <c r="H185" s="62" t="n">
        <v>0</v>
      </c>
      <c r="I185" s="62" t="n">
        <v>0</v>
      </c>
      <c r="J185" s="62" t="n">
        <v>0</v>
      </c>
      <c r="K185" s="62" t="n">
        <v>0</v>
      </c>
      <c r="L185" s="62" t="n">
        <v>0</v>
      </c>
      <c r="M185" s="61" t="n">
        <v>0.16375870005767</v>
      </c>
    </row>
    <row r="186" customFormat="false" ht="15" hidden="false" customHeight="true" outlineLevel="0" collapsed="false">
      <c r="A186" s="62" t="n">
        <v>160</v>
      </c>
      <c r="B186" s="59" t="n">
        <v>-0.504588183580153</v>
      </c>
      <c r="C186" s="59" t="n">
        <v>-0.240305062820943</v>
      </c>
      <c r="D186" s="59" t="n">
        <v>0.263458905217195</v>
      </c>
      <c r="E186" s="60" t="n">
        <v>-0.0118049806817714</v>
      </c>
      <c r="F186" s="61" t="n">
        <v>0.264650305244304</v>
      </c>
      <c r="G186" s="55" t="n">
        <v>-11.3990204030378</v>
      </c>
      <c r="H186" s="62" t="n">
        <v>0</v>
      </c>
      <c r="I186" s="62" t="n">
        <v>0</v>
      </c>
      <c r="J186" s="62" t="n">
        <v>0</v>
      </c>
      <c r="K186" s="62" t="n">
        <v>0</v>
      </c>
      <c r="L186" s="62" t="n">
        <v>0</v>
      </c>
      <c r="M186" s="61" t="n">
        <v>0.158740399706999</v>
      </c>
    </row>
    <row r="187" customFormat="false" ht="15" hidden="false" customHeight="true" outlineLevel="0" collapsed="false">
      <c r="A187" s="62" t="n">
        <v>161</v>
      </c>
      <c r="B187" s="59" t="n">
        <v>0.336916700438165</v>
      </c>
      <c r="C187" s="59" t="n">
        <v>0.278170303317686</v>
      </c>
      <c r="D187" s="59" t="n">
        <v>0.239288620362085</v>
      </c>
      <c r="E187" s="60" t="n">
        <v>-0.00303555359661901</v>
      </c>
      <c r="F187" s="61" t="n">
        <v>0.144244563048517</v>
      </c>
      <c r="G187" s="55" t="n">
        <v>-1.74327830747881</v>
      </c>
      <c r="H187" s="62" t="n">
        <v>0</v>
      </c>
      <c r="I187" s="62" t="n">
        <v>0</v>
      </c>
      <c r="J187" s="62" t="n">
        <v>0</v>
      </c>
      <c r="K187" s="62" t="n">
        <v>0</v>
      </c>
      <c r="L187" s="62" t="n">
        <v>0</v>
      </c>
      <c r="M187" s="61" t="n">
        <v>0.158402847561654</v>
      </c>
    </row>
    <row r="188" customFormat="false" ht="15" hidden="false" customHeight="true" outlineLevel="0" collapsed="false">
      <c r="A188" s="62" t="n">
        <v>162</v>
      </c>
      <c r="B188" s="59" t="n">
        <v>0.459239022587325</v>
      </c>
      <c r="C188" s="59" t="n">
        <v>0.441248945251884</v>
      </c>
      <c r="D188" s="59" t="n">
        <v>0.597009367182518</v>
      </c>
      <c r="E188" s="60" t="n">
        <v>0.00365117207949077</v>
      </c>
      <c r="F188" s="61" t="n">
        <v>0.132333267651446</v>
      </c>
      <c r="G188" s="55" t="n">
        <v>58.533386885289</v>
      </c>
      <c r="H188" s="62" t="n">
        <v>0</v>
      </c>
      <c r="I188" s="62" t="n">
        <v>0</v>
      </c>
      <c r="J188" s="62" t="n">
        <v>0</v>
      </c>
      <c r="K188" s="62" t="n">
        <v>0</v>
      </c>
      <c r="L188" s="62" t="n">
        <v>1</v>
      </c>
      <c r="M188" s="61" t="n">
        <v>0.361452770828596</v>
      </c>
    </row>
    <row r="189" customFormat="false" ht="15" hidden="false" customHeight="true" outlineLevel="0" collapsed="false">
      <c r="A189" s="62" t="n">
        <v>163</v>
      </c>
      <c r="B189" s="59" t="n">
        <v>-1.56531285004525</v>
      </c>
      <c r="C189" s="59" t="n">
        <v>0.056145986350453</v>
      </c>
      <c r="D189" s="59" t="n">
        <v>-1.29361314160457</v>
      </c>
      <c r="E189" s="60" t="n">
        <v>0.00695982681562903</v>
      </c>
      <c r="F189" s="61" t="n">
        <v>0.490175563446149</v>
      </c>
      <c r="G189" s="55" t="n">
        <v>600.796638351385</v>
      </c>
      <c r="H189" s="62" t="n">
        <v>10</v>
      </c>
      <c r="I189" s="62" t="n">
        <v>1</v>
      </c>
      <c r="J189" s="62" t="n">
        <v>1</v>
      </c>
      <c r="K189" s="62" t="n">
        <v>1</v>
      </c>
      <c r="L189" s="62" t="n">
        <v>0</v>
      </c>
      <c r="M189" s="61" t="n">
        <v>0.99999999999872</v>
      </c>
    </row>
    <row r="190" customFormat="false" ht="15" hidden="false" customHeight="true" outlineLevel="0" collapsed="false">
      <c r="A190" s="62" t="n">
        <v>164</v>
      </c>
      <c r="B190" s="59" t="n">
        <v>1.00420424254714</v>
      </c>
      <c r="C190" s="59" t="n">
        <v>0.712102472166366</v>
      </c>
      <c r="D190" s="59" t="n">
        <v>0.55581421662007</v>
      </c>
      <c r="E190" s="60" t="n">
        <v>-0.000233772179255087</v>
      </c>
      <c r="F190" s="61" t="n">
        <v>0.0875774032073119</v>
      </c>
      <c r="G190" s="55" t="n">
        <v>14.6939537518304</v>
      </c>
      <c r="H190" s="62" t="n">
        <v>0</v>
      </c>
      <c r="I190" s="62" t="n">
        <v>0</v>
      </c>
      <c r="J190" s="62" t="n">
        <v>0</v>
      </c>
      <c r="K190" s="62" t="n">
        <v>0</v>
      </c>
      <c r="L190" s="62" t="n">
        <v>0</v>
      </c>
      <c r="M190" s="61" t="n">
        <v>0.158402847561654</v>
      </c>
    </row>
    <row r="191" customFormat="false" ht="15" hidden="false" customHeight="true" outlineLevel="0" collapsed="false">
      <c r="A191" s="62" t="n">
        <v>165</v>
      </c>
      <c r="B191" s="59" t="n">
        <v>-0.00413255242606042</v>
      </c>
      <c r="C191" s="59" t="n">
        <v>0.584184576535412</v>
      </c>
      <c r="D191" s="59" t="n">
        <v>0.168201574823413</v>
      </c>
      <c r="E191" s="60" t="n">
        <v>-0.00482014503385366</v>
      </c>
      <c r="F191" s="61" t="n">
        <v>0.181329637504387</v>
      </c>
      <c r="G191" s="55" t="n">
        <v>-12.2217420624002</v>
      </c>
      <c r="H191" s="62" t="n">
        <v>0</v>
      </c>
      <c r="I191" s="62" t="n">
        <v>0</v>
      </c>
      <c r="J191" s="62" t="n">
        <v>0</v>
      </c>
      <c r="K191" s="62" t="n">
        <v>0</v>
      </c>
      <c r="L191" s="62" t="n">
        <v>0</v>
      </c>
      <c r="M191" s="61" t="n">
        <v>0.158403122461848</v>
      </c>
    </row>
    <row r="192" customFormat="false" ht="15" hidden="false" customHeight="true" outlineLevel="0" collapsed="false">
      <c r="A192" s="62" t="n">
        <v>166</v>
      </c>
      <c r="B192" s="59" t="n">
        <v>0.351945572797856</v>
      </c>
      <c r="C192" s="59" t="n">
        <v>0.85420472070228</v>
      </c>
      <c r="D192" s="59" t="n">
        <v>0.570094629628494</v>
      </c>
      <c r="E192" s="60" t="n">
        <v>-0.00328809132653992</v>
      </c>
      <c r="F192" s="61" t="n">
        <v>0.142743122459316</v>
      </c>
      <c r="G192" s="55" t="n">
        <v>-3.5456003351493</v>
      </c>
      <c r="H192" s="62" t="n">
        <v>0</v>
      </c>
      <c r="I192" s="62" t="n">
        <v>0</v>
      </c>
      <c r="J192" s="62" t="n">
        <v>0</v>
      </c>
      <c r="K192" s="62" t="n">
        <v>0</v>
      </c>
      <c r="L192" s="62" t="n">
        <v>0</v>
      </c>
      <c r="M192" s="61" t="n">
        <v>0.158402847561654</v>
      </c>
    </row>
    <row r="193" customFormat="false" ht="15" hidden="false" customHeight="true" outlineLevel="0" collapsed="false">
      <c r="A193" s="62" t="n">
        <v>167</v>
      </c>
      <c r="B193" s="59" t="n">
        <v>0.231128163340291</v>
      </c>
      <c r="C193" s="59" t="n">
        <v>0.271071122258037</v>
      </c>
      <c r="D193" s="59" t="n">
        <v>0.852344424108569</v>
      </c>
      <c r="E193" s="60" t="n">
        <v>-0.00609222864642869</v>
      </c>
      <c r="F193" s="61" t="n">
        <v>0.155116085285699</v>
      </c>
      <c r="G193" s="55" t="n">
        <v>-2.82318890827969</v>
      </c>
      <c r="H193" s="62" t="n">
        <v>0</v>
      </c>
      <c r="I193" s="62" t="n">
        <v>0</v>
      </c>
      <c r="J193" s="62" t="n">
        <v>0</v>
      </c>
      <c r="K193" s="62" t="n">
        <v>0</v>
      </c>
      <c r="L193" s="62" t="n">
        <v>1</v>
      </c>
      <c r="M193" s="61" t="n">
        <v>0.361455599645818</v>
      </c>
    </row>
    <row r="194" customFormat="false" ht="15" hidden="false" customHeight="true" outlineLevel="0" collapsed="false">
      <c r="A194" s="62" t="n">
        <v>168</v>
      </c>
      <c r="B194" s="59" t="n">
        <v>-1.02309386484798</v>
      </c>
      <c r="C194" s="59" t="n">
        <v>-1.42913645678883</v>
      </c>
      <c r="D194" s="59" t="n">
        <v>1.18777870316217</v>
      </c>
      <c r="E194" s="60" t="n">
        <v>-0.0107555840375584</v>
      </c>
      <c r="F194" s="61" t="n">
        <v>0.368881177815529</v>
      </c>
      <c r="G194" s="55" t="n">
        <v>53.6008956646859</v>
      </c>
      <c r="H194" s="62" t="n">
        <v>0</v>
      </c>
      <c r="I194" s="62" t="n">
        <v>0</v>
      </c>
      <c r="J194" s="62" t="n">
        <v>0</v>
      </c>
      <c r="K194" s="62" t="n">
        <v>0</v>
      </c>
      <c r="L194" s="62" t="n">
        <v>0</v>
      </c>
      <c r="M194" s="61" t="n">
        <v>0.162593316085597</v>
      </c>
    </row>
    <row r="195" customFormat="false" ht="15" hidden="false" customHeight="true" outlineLevel="0" collapsed="false">
      <c r="A195" s="62" t="n">
        <v>169</v>
      </c>
      <c r="B195" s="59" t="n">
        <v>-0.252352770482671</v>
      </c>
      <c r="C195" s="59" t="n">
        <v>-0.0541709609776753</v>
      </c>
      <c r="D195" s="59" t="n">
        <v>-0.284019894493646</v>
      </c>
      <c r="E195" s="60" t="n">
        <v>-0.00812340463476047</v>
      </c>
      <c r="F195" s="61" t="n">
        <v>0.220295326577499</v>
      </c>
      <c r="G195" s="55" t="n">
        <v>-10.9139060886687</v>
      </c>
      <c r="H195" s="62" t="n">
        <v>0</v>
      </c>
      <c r="I195" s="62" t="n">
        <v>0</v>
      </c>
      <c r="J195" s="62" t="n">
        <v>0</v>
      </c>
      <c r="K195" s="62" t="n">
        <v>0</v>
      </c>
      <c r="L195" s="62" t="n">
        <v>0</v>
      </c>
      <c r="M195" s="61" t="n">
        <v>0.158969233363246</v>
      </c>
    </row>
    <row r="196" customFormat="false" ht="15" hidden="false" customHeight="true" outlineLevel="0" collapsed="false">
      <c r="A196" s="62" t="n">
        <v>170</v>
      </c>
      <c r="B196" s="59" t="n">
        <v>0.389470348714731</v>
      </c>
      <c r="C196" s="59" t="n">
        <v>-0.281372616806523</v>
      </c>
      <c r="D196" s="59" t="n">
        <v>-0.25392917419317</v>
      </c>
      <c r="E196" s="60" t="n">
        <v>-0.00425506962027373</v>
      </c>
      <c r="F196" s="61" t="n">
        <v>0.139040809693244</v>
      </c>
      <c r="G196" s="55" t="n">
        <v>-2.80909199493173</v>
      </c>
      <c r="H196" s="62" t="n">
        <v>0</v>
      </c>
      <c r="I196" s="62" t="n">
        <v>0</v>
      </c>
      <c r="J196" s="62" t="n">
        <v>0</v>
      </c>
      <c r="K196" s="62" t="n">
        <v>0</v>
      </c>
      <c r="L196" s="62" t="n">
        <v>0</v>
      </c>
      <c r="M196" s="61" t="n">
        <v>0.158634325440466</v>
      </c>
    </row>
    <row r="197" customFormat="false" ht="15" hidden="false" customHeight="true" outlineLevel="0" collapsed="false">
      <c r="A197" s="62" t="n">
        <v>171</v>
      </c>
      <c r="B197" s="59" t="n">
        <v>1.09557735227026</v>
      </c>
      <c r="C197" s="59" t="n">
        <v>1.0103926774504</v>
      </c>
      <c r="D197" s="59" t="n">
        <v>1.32006095904074</v>
      </c>
      <c r="E197" s="60" t="n">
        <v>-0.0169362857601335</v>
      </c>
      <c r="F197" s="61" t="n">
        <v>0.0813374154820362</v>
      </c>
      <c r="G197" s="55" t="n">
        <v>-67.7440423421313</v>
      </c>
      <c r="H197" s="62" t="n">
        <v>0</v>
      </c>
      <c r="I197" s="62" t="n">
        <v>0</v>
      </c>
      <c r="J197" s="62" t="n">
        <v>0</v>
      </c>
      <c r="K197" s="62" t="n">
        <v>0</v>
      </c>
      <c r="L197" s="62" t="n">
        <v>1</v>
      </c>
      <c r="M197" s="61" t="n">
        <v>0.361450241567716</v>
      </c>
    </row>
    <row r="198" customFormat="false" ht="15" hidden="false" customHeight="true" outlineLevel="0" collapsed="false">
      <c r="A198" s="62" t="n">
        <v>172</v>
      </c>
      <c r="B198" s="59" t="n">
        <v>1.04924879877737</v>
      </c>
      <c r="C198" s="59" t="n">
        <v>1.63724551819244</v>
      </c>
      <c r="D198" s="59" t="n">
        <v>0.115788881005932</v>
      </c>
      <c r="E198" s="60" t="n">
        <v>-0.0179442899665649</v>
      </c>
      <c r="F198" s="61" t="n">
        <v>0.0844580889632237</v>
      </c>
      <c r="G198" s="55" t="n">
        <v>-90.9636975173622</v>
      </c>
      <c r="H198" s="62" t="n">
        <v>0</v>
      </c>
      <c r="I198" s="62" t="n">
        <v>0</v>
      </c>
      <c r="J198" s="62" t="n">
        <v>0</v>
      </c>
      <c r="K198" s="62" t="n">
        <v>0</v>
      </c>
      <c r="L198" s="62" t="n">
        <v>0</v>
      </c>
      <c r="M198" s="61" t="n">
        <v>0.158402847561654</v>
      </c>
    </row>
    <row r="199" customFormat="false" ht="15" hidden="false" customHeight="true" outlineLevel="0" collapsed="false">
      <c r="A199" s="62" t="n">
        <v>173</v>
      </c>
      <c r="B199" s="59" t="n">
        <v>0.120712819639116</v>
      </c>
      <c r="C199" s="59" t="n">
        <v>-2.40103605285751E-005</v>
      </c>
      <c r="D199" s="59" t="n">
        <v>0.330775917211144</v>
      </c>
      <c r="E199" s="60" t="n">
        <v>0.00919211255317407</v>
      </c>
      <c r="F199" s="61" t="n">
        <v>0.167030833791757</v>
      </c>
      <c r="G199" s="55" t="n">
        <v>80.01331088914</v>
      </c>
      <c r="H199" s="62" t="n">
        <v>0</v>
      </c>
      <c r="I199" s="62" t="n">
        <v>0</v>
      </c>
      <c r="J199" s="62" t="n">
        <v>0</v>
      </c>
      <c r="K199" s="62" t="n">
        <v>0</v>
      </c>
      <c r="L199" s="62" t="n">
        <v>0</v>
      </c>
      <c r="M199" s="61" t="n">
        <v>0.158402951441136</v>
      </c>
    </row>
    <row r="200" customFormat="false" ht="15" hidden="false" customHeight="true" outlineLevel="0" collapsed="false">
      <c r="A200" s="62" t="n">
        <v>174</v>
      </c>
      <c r="B200" s="59" t="n">
        <v>2.33423036335719</v>
      </c>
      <c r="C200" s="59" t="n">
        <v>-0.791184865698349</v>
      </c>
      <c r="D200" s="59" t="n">
        <v>5.20691834740681</v>
      </c>
      <c r="E200" s="60" t="n">
        <v>-0.000827238604833795</v>
      </c>
      <c r="F200" s="61" t="n">
        <v>0.025955445993802</v>
      </c>
      <c r="G200" s="55" t="n">
        <v>28.957260008719</v>
      </c>
      <c r="H200" s="62" t="n">
        <v>0</v>
      </c>
      <c r="I200" s="62" t="n">
        <v>0</v>
      </c>
      <c r="J200" s="62" t="n">
        <v>0</v>
      </c>
      <c r="K200" s="62" t="n">
        <v>0</v>
      </c>
      <c r="L200" s="62" t="n">
        <v>0</v>
      </c>
      <c r="M200" s="61" t="n">
        <v>0.158402847561654</v>
      </c>
    </row>
    <row r="201" customFormat="false" ht="15" hidden="false" customHeight="true" outlineLevel="0" collapsed="false">
      <c r="A201" s="62" t="n">
        <v>175</v>
      </c>
      <c r="B201" s="59" t="n">
        <v>0.631768488613054</v>
      </c>
      <c r="C201" s="59" t="n">
        <v>0.419223559146967</v>
      </c>
      <c r="D201" s="59" t="n">
        <v>-0.54603210200313</v>
      </c>
      <c r="E201" s="60" t="n">
        <v>0.00295662508201974</v>
      </c>
      <c r="F201" s="61" t="n">
        <v>0.11671899799438</v>
      </c>
      <c r="G201" s="55" t="n">
        <v>36.7430480364619</v>
      </c>
      <c r="H201" s="62" t="n">
        <v>0</v>
      </c>
      <c r="I201" s="62" t="n">
        <v>0</v>
      </c>
      <c r="J201" s="62" t="n">
        <v>0</v>
      </c>
      <c r="K201" s="62" t="n">
        <v>0</v>
      </c>
      <c r="L201" s="62" t="n">
        <v>0</v>
      </c>
      <c r="M201" s="61" t="n">
        <v>0.158989624272788</v>
      </c>
    </row>
    <row r="202" customFormat="false" ht="15" hidden="false" customHeight="true" outlineLevel="0" collapsed="false">
      <c r="A202" s="62" t="n">
        <v>176</v>
      </c>
      <c r="B202" s="59" t="n">
        <v>-0.54660268498002</v>
      </c>
      <c r="C202" s="59" t="n">
        <v>-0.288457106784469</v>
      </c>
      <c r="D202" s="59" t="n">
        <v>-1.21933314379566</v>
      </c>
      <c r="E202" s="60" t="n">
        <v>-0.00225679238747088</v>
      </c>
      <c r="F202" s="61" t="n">
        <v>0.272479391217249</v>
      </c>
      <c r="G202" s="55" t="n">
        <v>53.8281105536367</v>
      </c>
      <c r="H202" s="62" t="n">
        <v>0</v>
      </c>
      <c r="I202" s="62" t="n">
        <v>0</v>
      </c>
      <c r="J202" s="62" t="n">
        <v>0</v>
      </c>
      <c r="K202" s="62" t="n">
        <v>0</v>
      </c>
      <c r="L202" s="62" t="n">
        <v>0</v>
      </c>
      <c r="M202" s="61" t="n">
        <v>0.166779111556796</v>
      </c>
    </row>
    <row r="203" customFormat="false" ht="15" hidden="false" customHeight="true" outlineLevel="0" collapsed="false">
      <c r="A203" s="62" t="n">
        <v>177</v>
      </c>
      <c r="B203" s="59" t="n">
        <v>0.269582166423143</v>
      </c>
      <c r="C203" s="59" t="n">
        <v>-0.673951418067192</v>
      </c>
      <c r="D203" s="59" t="n">
        <v>-0.806223397744883</v>
      </c>
      <c r="E203" s="60" t="n">
        <v>-0.00505707265827588</v>
      </c>
      <c r="F203" s="61" t="n">
        <v>0.151102843809949</v>
      </c>
      <c r="G203" s="55" t="n">
        <v>1.54982953196817</v>
      </c>
      <c r="H203" s="62" t="n">
        <v>0</v>
      </c>
      <c r="I203" s="62" t="n">
        <v>0</v>
      </c>
      <c r="J203" s="62" t="n">
        <v>0</v>
      </c>
      <c r="K203" s="62" t="n">
        <v>0</v>
      </c>
      <c r="L203" s="62" t="n">
        <v>0</v>
      </c>
      <c r="M203" s="61" t="n">
        <v>0.159692438966391</v>
      </c>
    </row>
    <row r="204" customFormat="false" ht="15" hidden="false" customHeight="true" outlineLevel="0" collapsed="false">
      <c r="A204" s="62" t="n">
        <v>178</v>
      </c>
      <c r="B204" s="59" t="n">
        <v>-1.46905885077481</v>
      </c>
      <c r="C204" s="59" t="n">
        <v>-0.951245535463551</v>
      </c>
      <c r="D204" s="59" t="n">
        <v>-0.515161261432877</v>
      </c>
      <c r="E204" s="60" t="n">
        <v>-0.0146070406302659</v>
      </c>
      <c r="F204" s="61" t="n">
        <v>0.468178722238973</v>
      </c>
      <c r="G204" s="55" t="n">
        <v>111.088599488098</v>
      </c>
      <c r="H204" s="62" t="n">
        <v>0</v>
      </c>
      <c r="I204" s="62" t="n">
        <v>0</v>
      </c>
      <c r="J204" s="62" t="n">
        <v>0</v>
      </c>
      <c r="K204" s="62" t="n">
        <v>0</v>
      </c>
      <c r="L204" s="62" t="n">
        <v>0</v>
      </c>
      <c r="M204" s="61" t="n">
        <v>0.32447853325182</v>
      </c>
    </row>
    <row r="205" customFormat="false" ht="15" hidden="false" customHeight="true" outlineLevel="0" collapsed="false">
      <c r="A205" s="62" t="n">
        <v>179</v>
      </c>
      <c r="B205" s="59" t="n">
        <v>-1.0334467050569</v>
      </c>
      <c r="C205" s="59" t="n">
        <v>0.412076959804173</v>
      </c>
      <c r="D205" s="59" t="n">
        <v>-0.127700203304284</v>
      </c>
      <c r="E205" s="60" t="n">
        <v>0.0013839162497813</v>
      </c>
      <c r="F205" s="61" t="n">
        <v>0.371109188105144</v>
      </c>
      <c r="G205" s="55" t="n">
        <v>111.259697156274</v>
      </c>
      <c r="H205" s="62" t="n">
        <v>0</v>
      </c>
      <c r="I205" s="62" t="n">
        <v>0</v>
      </c>
      <c r="J205" s="62" t="n">
        <v>0</v>
      </c>
      <c r="K205" s="62" t="n">
        <v>0</v>
      </c>
      <c r="L205" s="62" t="n">
        <v>0</v>
      </c>
      <c r="M205" s="61" t="n">
        <v>0.162839826860856</v>
      </c>
    </row>
    <row r="206" customFormat="false" ht="15" hidden="false" customHeight="true" outlineLevel="0" collapsed="false">
      <c r="A206" s="62" t="n">
        <v>180</v>
      </c>
      <c r="B206" s="59" t="n">
        <v>-0.580709203669003</v>
      </c>
      <c r="C206" s="59" t="n">
        <v>0.433119660411819</v>
      </c>
      <c r="D206" s="59" t="n">
        <v>0.136728776248501</v>
      </c>
      <c r="E206" s="60" t="n">
        <v>0.00188152809265465</v>
      </c>
      <c r="F206" s="61" t="n">
        <v>0.278923043283077</v>
      </c>
      <c r="G206" s="55" t="n">
        <v>76.5161683840254</v>
      </c>
      <c r="H206" s="62" t="n">
        <v>0</v>
      </c>
      <c r="I206" s="62" t="n">
        <v>0</v>
      </c>
      <c r="J206" s="62" t="n">
        <v>0</v>
      </c>
      <c r="K206" s="62" t="n">
        <v>0</v>
      </c>
      <c r="L206" s="62" t="n">
        <v>0</v>
      </c>
      <c r="M206" s="61" t="n">
        <v>0.158764930882834</v>
      </c>
    </row>
    <row r="207" customFormat="false" ht="15" hidden="false" customHeight="true" outlineLevel="0" collapsed="false">
      <c r="A207" s="62" t="n">
        <v>181</v>
      </c>
      <c r="B207" s="59" t="n">
        <v>-0.449385220732109</v>
      </c>
      <c r="C207" s="59" t="n">
        <v>-0.474779300274415</v>
      </c>
      <c r="D207" s="59" t="n">
        <v>-0.090114543693429</v>
      </c>
      <c r="E207" s="60" t="n">
        <v>0.000683006143524943</v>
      </c>
      <c r="F207" s="61" t="n">
        <v>0.25454990691689</v>
      </c>
      <c r="G207" s="55" t="n">
        <v>60.8942980084983</v>
      </c>
      <c r="H207" s="62" t="n">
        <v>0</v>
      </c>
      <c r="I207" s="62" t="n">
        <v>0</v>
      </c>
      <c r="J207" s="62" t="n">
        <v>0</v>
      </c>
      <c r="K207" s="62" t="n">
        <v>0</v>
      </c>
      <c r="L207" s="62" t="n">
        <v>0</v>
      </c>
      <c r="M207" s="61" t="n">
        <v>0.158832805797302</v>
      </c>
    </row>
    <row r="208" customFormat="false" ht="15" hidden="false" customHeight="true" outlineLevel="0" collapsed="false">
      <c r="A208" s="62" t="n">
        <v>182</v>
      </c>
      <c r="B208" s="59" t="n">
        <v>-2.00826781597373</v>
      </c>
      <c r="C208" s="59" t="n">
        <v>-3.05614254743687</v>
      </c>
      <c r="D208" s="59" t="n">
        <v>0.551820065186924</v>
      </c>
      <c r="E208" s="60" t="n">
        <v>0.00488814359879022</v>
      </c>
      <c r="F208" s="61" t="n">
        <v>0.590673809835197</v>
      </c>
      <c r="G208" s="55" t="n">
        <v>540.170481550783</v>
      </c>
      <c r="H208" s="62" t="n">
        <v>10</v>
      </c>
      <c r="I208" s="62" t="n">
        <v>0</v>
      </c>
      <c r="J208" s="62" t="n">
        <v>0</v>
      </c>
      <c r="K208" s="62" t="n">
        <v>1</v>
      </c>
      <c r="L208" s="62" t="n">
        <v>0</v>
      </c>
      <c r="M208" s="61" t="n">
        <v>0.999999924812339</v>
      </c>
    </row>
    <row r="209" customFormat="false" ht="15" hidden="false" customHeight="true" outlineLevel="0" collapsed="false">
      <c r="A209" s="62" t="n">
        <v>183</v>
      </c>
      <c r="B209" s="59" t="n">
        <v>-0.345574971622149</v>
      </c>
      <c r="C209" s="59" t="n">
        <v>-0.51259120867955</v>
      </c>
      <c r="D209" s="59" t="n">
        <v>0.168885081851508</v>
      </c>
      <c r="E209" s="60" t="n">
        <v>-0.00236475108700798</v>
      </c>
      <c r="F209" s="61" t="n">
        <v>0.236145776749849</v>
      </c>
      <c r="G209" s="55" t="n">
        <v>36.0981277748294</v>
      </c>
      <c r="H209" s="62" t="n">
        <v>0</v>
      </c>
      <c r="I209" s="62" t="n">
        <v>0</v>
      </c>
      <c r="J209" s="62" t="n">
        <v>0</v>
      </c>
      <c r="K209" s="62" t="n">
        <v>0</v>
      </c>
      <c r="L209" s="62" t="n">
        <v>0</v>
      </c>
      <c r="M209" s="61" t="n">
        <v>0.15868417930055</v>
      </c>
    </row>
    <row r="210" customFormat="false" ht="15" hidden="false" customHeight="true" outlineLevel="0" collapsed="false">
      <c r="A210" s="62" t="n">
        <v>184</v>
      </c>
      <c r="B210" s="59" t="n">
        <v>-0.536198438260157</v>
      </c>
      <c r="C210" s="59" t="n">
        <v>-0.879492615766795</v>
      </c>
      <c r="D210" s="59" t="n">
        <v>-0.118957369264748</v>
      </c>
      <c r="E210" s="60" t="n">
        <v>0.00856498517822065</v>
      </c>
      <c r="F210" s="61" t="n">
        <v>0.270529383703966</v>
      </c>
      <c r="G210" s="55" t="n">
        <v>130.274859158723</v>
      </c>
      <c r="H210" s="62" t="n">
        <v>0</v>
      </c>
      <c r="I210" s="62" t="n">
        <v>0</v>
      </c>
      <c r="J210" s="62" t="n">
        <v>0</v>
      </c>
      <c r="K210" s="62" t="n">
        <v>0</v>
      </c>
      <c r="L210" s="62" t="n">
        <v>0</v>
      </c>
      <c r="M210" s="61" t="n">
        <v>0.158931248271083</v>
      </c>
    </row>
    <row r="211" customFormat="false" ht="15" hidden="false" customHeight="true" outlineLevel="0" collapsed="false">
      <c r="A211" s="62" t="n">
        <v>185</v>
      </c>
      <c r="B211" s="59" t="n">
        <v>4.44676151642215</v>
      </c>
      <c r="C211" s="59" t="n">
        <v>5.64065098013511</v>
      </c>
      <c r="D211" s="59" t="n">
        <v>4.90254282382078</v>
      </c>
      <c r="E211" s="60" t="n">
        <v>-0.00932860188267184</v>
      </c>
      <c r="F211" s="61" t="n">
        <v>0.00191484363213504</v>
      </c>
      <c r="G211" s="55" t="n">
        <v>-22.5924803998414</v>
      </c>
      <c r="H211" s="62" t="n">
        <v>0</v>
      </c>
      <c r="I211" s="62" t="n">
        <v>0</v>
      </c>
      <c r="J211" s="62" t="n">
        <v>0</v>
      </c>
      <c r="K211" s="62" t="n">
        <v>0</v>
      </c>
      <c r="L211" s="62" t="n">
        <v>1</v>
      </c>
      <c r="M211" s="61" t="n">
        <v>0.361448502878588</v>
      </c>
    </row>
    <row r="212" customFormat="false" ht="15" hidden="false" customHeight="true" outlineLevel="0" collapsed="false">
      <c r="A212" s="62" t="n">
        <v>186</v>
      </c>
      <c r="B212" s="59" t="n">
        <v>-0.388397677015426</v>
      </c>
      <c r="C212" s="59" t="n">
        <v>-0.00210585956689974</v>
      </c>
      <c r="D212" s="59" t="n">
        <v>-0.170931102104157</v>
      </c>
      <c r="E212" s="60" t="n">
        <v>-0.00160758445507784</v>
      </c>
      <c r="F212" s="61" t="n">
        <v>0.243642900493625</v>
      </c>
      <c r="G212" s="55" t="n">
        <v>38.6926698835475</v>
      </c>
      <c r="H212" s="62" t="n">
        <v>0</v>
      </c>
      <c r="I212" s="62" t="n">
        <v>0</v>
      </c>
      <c r="J212" s="62" t="n">
        <v>0</v>
      </c>
      <c r="K212" s="62" t="n">
        <v>0</v>
      </c>
      <c r="L212" s="62" t="n">
        <v>0</v>
      </c>
      <c r="M212" s="61" t="n">
        <v>0.158890740867221</v>
      </c>
    </row>
    <row r="213" customFormat="false" ht="15" hidden="false" customHeight="true" outlineLevel="0" collapsed="false">
      <c r="A213" s="62" t="n">
        <v>187</v>
      </c>
      <c r="B213" s="59" t="n">
        <v>-0.0655695176823177</v>
      </c>
      <c r="C213" s="59" t="n">
        <v>0.510445186884538</v>
      </c>
      <c r="D213" s="59" t="n">
        <v>-0.594708581114198</v>
      </c>
      <c r="E213" s="60" t="n">
        <v>0.00453274693944517</v>
      </c>
      <c r="F213" s="61" t="n">
        <v>0.190528578607252</v>
      </c>
      <c r="G213" s="55" t="n">
        <v>52.9431326749806</v>
      </c>
      <c r="H213" s="62" t="n">
        <v>0</v>
      </c>
      <c r="I213" s="62" t="n">
        <v>0</v>
      </c>
      <c r="J213" s="62" t="n">
        <v>0</v>
      </c>
      <c r="K213" s="62" t="n">
        <v>0</v>
      </c>
      <c r="L213" s="62" t="n">
        <v>0</v>
      </c>
      <c r="M213" s="61" t="n">
        <v>0.159343348607937</v>
      </c>
    </row>
    <row r="214" customFormat="false" ht="15" hidden="false" customHeight="true" outlineLevel="0" collapsed="false">
      <c r="A214" s="62" t="n">
        <v>188</v>
      </c>
      <c r="B214" s="59" t="n">
        <v>-0.587048306450448</v>
      </c>
      <c r="C214" s="59" t="n">
        <v>0.127683826280823</v>
      </c>
      <c r="D214" s="59" t="n">
        <v>-0.201830308233625</v>
      </c>
      <c r="E214" s="60" t="n">
        <v>-0.00557327349446814</v>
      </c>
      <c r="F214" s="61" t="n">
        <v>0.280129250866909</v>
      </c>
      <c r="G214" s="55" t="n">
        <v>31.1711330702215</v>
      </c>
      <c r="H214" s="62" t="n">
        <v>0</v>
      </c>
      <c r="I214" s="62" t="n">
        <v>0</v>
      </c>
      <c r="J214" s="62" t="n">
        <v>0</v>
      </c>
      <c r="K214" s="62" t="n">
        <v>0</v>
      </c>
      <c r="L214" s="62" t="n">
        <v>0</v>
      </c>
      <c r="M214" s="61" t="n">
        <v>0.159058785371237</v>
      </c>
    </row>
    <row r="215" customFormat="false" ht="15" hidden="false" customHeight="true" outlineLevel="0" collapsed="false">
      <c r="A215" s="62" t="n">
        <v>189</v>
      </c>
      <c r="B215" s="59" t="n">
        <v>0.528586409712232</v>
      </c>
      <c r="C215" s="59" t="n">
        <v>-0.497990451114892</v>
      </c>
      <c r="D215" s="59" t="n">
        <v>0.268424903365811</v>
      </c>
      <c r="E215" s="60" t="n">
        <v>0.00234972636613528</v>
      </c>
      <c r="F215" s="61" t="n">
        <v>0.125891698837514</v>
      </c>
      <c r="G215" s="55" t="n">
        <v>43.4237875020342</v>
      </c>
      <c r="H215" s="62" t="n">
        <v>0</v>
      </c>
      <c r="I215" s="62" t="n">
        <v>0</v>
      </c>
      <c r="J215" s="62" t="n">
        <v>0</v>
      </c>
      <c r="K215" s="62" t="n">
        <v>0</v>
      </c>
      <c r="L215" s="62" t="n">
        <v>0</v>
      </c>
      <c r="M215" s="61" t="n">
        <v>0.158402847561654</v>
      </c>
    </row>
    <row r="216" customFormat="false" ht="15" hidden="false" customHeight="true" outlineLevel="0" collapsed="false">
      <c r="A216" s="62" t="n">
        <v>190</v>
      </c>
      <c r="B216" s="59" t="n">
        <v>-0.877821037856639</v>
      </c>
      <c r="C216" s="59" t="n">
        <v>-0.50784423839538</v>
      </c>
      <c r="D216" s="59" t="n">
        <v>-1.14726945787202</v>
      </c>
      <c r="E216" s="60" t="n">
        <v>0.000486873030349126</v>
      </c>
      <c r="F216" s="61" t="n">
        <v>0.3381484153174</v>
      </c>
      <c r="G216" s="55" t="n">
        <v>103.098894077551</v>
      </c>
      <c r="H216" s="62" t="n">
        <v>0</v>
      </c>
      <c r="I216" s="62" t="n">
        <v>0</v>
      </c>
      <c r="J216" s="62" t="n">
        <v>0</v>
      </c>
      <c r="K216" s="62" t="n">
        <v>0</v>
      </c>
      <c r="L216" s="62" t="n">
        <v>0</v>
      </c>
      <c r="M216" s="61" t="n">
        <v>0.169434327416226</v>
      </c>
    </row>
    <row r="217" customFormat="false" ht="15" hidden="false" customHeight="true" outlineLevel="0" collapsed="false">
      <c r="A217" s="62" t="n">
        <v>191</v>
      </c>
      <c r="B217" s="59" t="n">
        <v>0.836493726214431</v>
      </c>
      <c r="C217" s="59" t="n">
        <v>0.124237649692506</v>
      </c>
      <c r="D217" s="59" t="n">
        <v>1.49892427307825</v>
      </c>
      <c r="E217" s="60" t="n">
        <v>0.010464124810676</v>
      </c>
      <c r="F217" s="61" t="n">
        <v>0.0999472917899005</v>
      </c>
      <c r="G217" s="55" t="n">
        <v>88.669606181536</v>
      </c>
      <c r="H217" s="62" t="n">
        <v>0</v>
      </c>
      <c r="I217" s="62" t="n">
        <v>0</v>
      </c>
      <c r="J217" s="62" t="n">
        <v>0</v>
      </c>
      <c r="K217" s="62" t="n">
        <v>0</v>
      </c>
      <c r="L217" s="62" t="n">
        <v>0</v>
      </c>
      <c r="M217" s="61" t="n">
        <v>0.158402847561654</v>
      </c>
    </row>
    <row r="218" customFormat="false" ht="15" hidden="false" customHeight="true" outlineLevel="0" collapsed="false">
      <c r="A218" s="62" t="n">
        <v>192</v>
      </c>
      <c r="B218" s="59" t="n">
        <v>0.037908432084838</v>
      </c>
      <c r="C218" s="59" t="n">
        <v>-0.136191792222208</v>
      </c>
      <c r="D218" s="59" t="n">
        <v>0.620494570038863</v>
      </c>
      <c r="E218" s="60" t="n">
        <v>0.0063387384836783</v>
      </c>
      <c r="F218" s="61" t="n">
        <v>0.176347368382903</v>
      </c>
      <c r="G218" s="55" t="n">
        <v>80.2711542011527</v>
      </c>
      <c r="H218" s="62" t="n">
        <v>0</v>
      </c>
      <c r="I218" s="62" t="n">
        <v>0</v>
      </c>
      <c r="J218" s="62" t="n">
        <v>0</v>
      </c>
      <c r="K218" s="62" t="n">
        <v>0</v>
      </c>
      <c r="L218" s="62" t="n">
        <v>1</v>
      </c>
      <c r="M218" s="61" t="n">
        <v>0.361459176648701</v>
      </c>
    </row>
    <row r="219" customFormat="false" ht="15" hidden="false" customHeight="true" outlineLevel="0" collapsed="false">
      <c r="A219" s="62" t="n">
        <v>193</v>
      </c>
      <c r="B219" s="59" t="n">
        <v>-1.06742475411711</v>
      </c>
      <c r="C219" s="59" t="n">
        <v>-0.929348174219465</v>
      </c>
      <c r="D219" s="59" t="n">
        <v>-0.137282092553213</v>
      </c>
      <c r="E219" s="60" t="n">
        <v>0.000735688720049721</v>
      </c>
      <c r="F219" s="61" t="n">
        <v>0.378454016014564</v>
      </c>
      <c r="G219" s="55" t="n">
        <v>116.109987796754</v>
      </c>
      <c r="H219" s="62" t="n">
        <v>0</v>
      </c>
      <c r="I219" s="62" t="n">
        <v>0</v>
      </c>
      <c r="J219" s="62" t="n">
        <v>0</v>
      </c>
      <c r="K219" s="62" t="n">
        <v>0</v>
      </c>
      <c r="L219" s="62" t="n">
        <v>0</v>
      </c>
      <c r="M219" s="61" t="n">
        <v>0.162937353389998</v>
      </c>
    </row>
    <row r="220" customFormat="false" ht="15" hidden="false" customHeight="true" outlineLevel="0" collapsed="false">
      <c r="A220" s="62" t="n">
        <v>194</v>
      </c>
      <c r="B220" s="59" t="n">
        <v>0.507318848453492</v>
      </c>
      <c r="C220" s="59" t="n">
        <v>0.630450724892782</v>
      </c>
      <c r="D220" s="59" t="n">
        <v>0.102044466975188</v>
      </c>
      <c r="E220" s="60" t="n">
        <v>0.00409345782822424</v>
      </c>
      <c r="F220" s="61" t="n">
        <v>0.127843422996738</v>
      </c>
      <c r="G220" s="55" t="n">
        <v>44.3699611196016</v>
      </c>
      <c r="H220" s="62" t="n">
        <v>0</v>
      </c>
      <c r="I220" s="62" t="n">
        <v>0</v>
      </c>
      <c r="J220" s="62" t="n">
        <v>0</v>
      </c>
      <c r="K220" s="62" t="n">
        <v>0</v>
      </c>
      <c r="L220" s="62" t="n">
        <v>0</v>
      </c>
      <c r="M220" s="61" t="n">
        <v>0.158402847561654</v>
      </c>
    </row>
    <row r="221" customFormat="false" ht="15" hidden="false" customHeight="true" outlineLevel="0" collapsed="false">
      <c r="A221" s="62" t="n">
        <v>195</v>
      </c>
      <c r="B221" s="59" t="n">
        <v>0.292151849539277</v>
      </c>
      <c r="C221" s="59" t="n">
        <v>0.448271927352043</v>
      </c>
      <c r="D221" s="59" t="n">
        <v>0.272467857480241</v>
      </c>
      <c r="E221" s="60" t="n">
        <v>-0.00365775991576498</v>
      </c>
      <c r="F221" s="61" t="n">
        <v>0.148780082031048</v>
      </c>
      <c r="G221" s="55" t="n">
        <v>-5.56196272431056</v>
      </c>
      <c r="H221" s="62" t="n">
        <v>0</v>
      </c>
      <c r="I221" s="62" t="n">
        <v>0</v>
      </c>
      <c r="J221" s="62" t="n">
        <v>0</v>
      </c>
      <c r="K221" s="62" t="n">
        <v>0</v>
      </c>
      <c r="L221" s="62" t="n">
        <v>0</v>
      </c>
      <c r="M221" s="61" t="n">
        <v>0.158402847561654</v>
      </c>
    </row>
    <row r="222" customFormat="false" ht="15" hidden="false" customHeight="true" outlineLevel="0" collapsed="false">
      <c r="A222" s="62" t="n">
        <v>196</v>
      </c>
      <c r="B222" s="59" t="n">
        <v>-0.767640212411991</v>
      </c>
      <c r="C222" s="59" t="n">
        <v>-1.10600103308646</v>
      </c>
      <c r="D222" s="59" t="n">
        <v>-1.01939483339635</v>
      </c>
      <c r="E222" s="60" t="n">
        <v>-0.00319063450111502</v>
      </c>
      <c r="F222" s="61" t="n">
        <v>0.315571756772762</v>
      </c>
      <c r="G222" s="55" t="n">
        <v>77.7074404494948</v>
      </c>
      <c r="H222" s="62" t="n">
        <v>0</v>
      </c>
      <c r="I222" s="62" t="n">
        <v>0</v>
      </c>
      <c r="J222" s="62" t="n">
        <v>0</v>
      </c>
      <c r="K222" s="62" t="n">
        <v>0</v>
      </c>
      <c r="L222" s="62" t="n">
        <v>0</v>
      </c>
      <c r="M222" s="61" t="n">
        <v>0.168072740050242</v>
      </c>
    </row>
    <row r="223" customFormat="false" ht="15" hidden="false" customHeight="true" outlineLevel="0" collapsed="false">
      <c r="A223" s="62" t="n">
        <v>197</v>
      </c>
      <c r="B223" s="59" t="n">
        <v>0.160318741832966</v>
      </c>
      <c r="C223" s="59" t="n">
        <v>0.351679733902278</v>
      </c>
      <c r="D223" s="59" t="n">
        <v>0.363593065157345</v>
      </c>
      <c r="E223" s="60" t="n">
        <v>-0.00672122955266792</v>
      </c>
      <c r="F223" s="61" t="n">
        <v>0.162690202178721</v>
      </c>
      <c r="G223" s="55" t="n">
        <v>-6.62604625701803</v>
      </c>
      <c r="H223" s="62" t="n">
        <v>0</v>
      </c>
      <c r="I223" s="62" t="n">
        <v>0</v>
      </c>
      <c r="J223" s="62" t="n">
        <v>0</v>
      </c>
      <c r="K223" s="62" t="n">
        <v>0</v>
      </c>
      <c r="L223" s="62" t="n">
        <v>1</v>
      </c>
      <c r="M223" s="61" t="n">
        <v>0.361456633434481</v>
      </c>
    </row>
    <row r="224" customFormat="false" ht="15" hidden="false" customHeight="true" outlineLevel="0" collapsed="false">
      <c r="A224" s="62" t="n">
        <v>198</v>
      </c>
      <c r="B224" s="59" t="n">
        <v>-0.432395955348639</v>
      </c>
      <c r="C224" s="59" t="n">
        <v>-0.0147443292920996</v>
      </c>
      <c r="D224" s="59" t="n">
        <v>0.558559809972646</v>
      </c>
      <c r="E224" s="60" t="n">
        <v>-0.00898525004556101</v>
      </c>
      <c r="F224" s="61" t="n">
        <v>0.251484722023812</v>
      </c>
      <c r="G224" s="55" t="n">
        <v>-1.64105647931759</v>
      </c>
      <c r="H224" s="62" t="n">
        <v>0</v>
      </c>
      <c r="I224" s="62" t="n">
        <v>0</v>
      </c>
      <c r="J224" s="62" t="n">
        <v>0</v>
      </c>
      <c r="K224" s="62" t="n">
        <v>0</v>
      </c>
      <c r="L224" s="62" t="n">
        <v>0</v>
      </c>
      <c r="M224" s="61" t="n">
        <v>0.158705581312736</v>
      </c>
    </row>
    <row r="225" customFormat="false" ht="15" hidden="false" customHeight="true" outlineLevel="0" collapsed="false">
      <c r="A225" s="62" t="n">
        <v>199</v>
      </c>
      <c r="B225" s="59" t="n">
        <v>0.654059831550635</v>
      </c>
      <c r="C225" s="59" t="n">
        <v>0.580499086290683</v>
      </c>
      <c r="D225" s="59" t="n">
        <v>0.0314923125271381</v>
      </c>
      <c r="E225" s="60" t="n">
        <v>0.00550342955079204</v>
      </c>
      <c r="F225" s="61" t="n">
        <v>0.114801393992851</v>
      </c>
      <c r="G225" s="55" t="n">
        <v>54.1239493452582</v>
      </c>
      <c r="H225" s="62" t="n">
        <v>0</v>
      </c>
      <c r="I225" s="62" t="n">
        <v>0</v>
      </c>
      <c r="J225" s="62" t="n">
        <v>0</v>
      </c>
      <c r="K225" s="62" t="n">
        <v>0</v>
      </c>
      <c r="L225" s="62" t="n">
        <v>0</v>
      </c>
      <c r="M225" s="61" t="n">
        <v>0.158402847561654</v>
      </c>
    </row>
    <row r="226" customFormat="false" ht="15" hidden="false" customHeight="true" outlineLevel="0" collapsed="false">
      <c r="A226" s="62" t="n">
        <v>200</v>
      </c>
      <c r="B226" s="59" t="n">
        <v>-1.3720238628258</v>
      </c>
      <c r="C226" s="59" t="n">
        <v>-0.614791882964744</v>
      </c>
      <c r="D226" s="59" t="n">
        <v>-0.530855353880725</v>
      </c>
      <c r="E226" s="60" t="n">
        <v>-0.00292247137236575</v>
      </c>
      <c r="F226" s="61" t="n">
        <v>0.446126695723952</v>
      </c>
      <c r="G226" s="55" t="n">
        <v>141.810633303126</v>
      </c>
      <c r="H226" s="62" t="n">
        <v>0</v>
      </c>
      <c r="I226" s="62" t="n">
        <v>0</v>
      </c>
      <c r="J226" s="62" t="n">
        <v>0</v>
      </c>
      <c r="K226" s="62" t="n">
        <v>0</v>
      </c>
      <c r="L226" s="62" t="n">
        <v>0</v>
      </c>
      <c r="M226" s="61" t="n">
        <v>0.215925293575905</v>
      </c>
    </row>
    <row r="227" customFormat="false" ht="15" hidden="false" customHeight="true" outlineLevel="0" collapsed="false">
      <c r="A227" s="62" t="n">
        <v>201</v>
      </c>
      <c r="B227" s="59" t="n">
        <v>0.375213226086207</v>
      </c>
      <c r="C227" s="59" t="n">
        <v>-0.556163993459138</v>
      </c>
      <c r="D227" s="59" t="n">
        <v>-0.627993972919734</v>
      </c>
      <c r="E227" s="60" t="n">
        <v>-0.024856404883758</v>
      </c>
      <c r="F227" s="61" t="n">
        <v>0.140439639908448</v>
      </c>
      <c r="G227" s="55" t="n">
        <v>-119.371376197085</v>
      </c>
      <c r="H227" s="62" t="n">
        <v>0</v>
      </c>
      <c r="I227" s="62" t="n">
        <v>0</v>
      </c>
      <c r="J227" s="62" t="n">
        <v>0</v>
      </c>
      <c r="K227" s="62" t="n">
        <v>0</v>
      </c>
      <c r="L227" s="62" t="n">
        <v>0</v>
      </c>
      <c r="M227" s="61" t="n">
        <v>0.159119915171382</v>
      </c>
    </row>
    <row r="228" customFormat="false" ht="15" hidden="false" customHeight="true" outlineLevel="0" collapsed="false">
      <c r="A228" s="62" t="n">
        <v>202</v>
      </c>
      <c r="B228" s="59" t="n">
        <v>-0.888484911506806</v>
      </c>
      <c r="C228" s="59" t="n">
        <v>-0.951588090935806</v>
      </c>
      <c r="D228" s="59" t="n">
        <v>-1.3956773770477</v>
      </c>
      <c r="E228" s="60" t="n">
        <v>-0.00896640553185326</v>
      </c>
      <c r="F228" s="61" t="n">
        <v>0.34036862902569</v>
      </c>
      <c r="G228" s="55" t="n">
        <v>82.8487788647119</v>
      </c>
      <c r="H228" s="62" t="n">
        <v>0</v>
      </c>
      <c r="I228" s="62" t="n">
        <v>0</v>
      </c>
      <c r="J228" s="62" t="n">
        <v>0</v>
      </c>
      <c r="K228" s="62" t="n">
        <v>0</v>
      </c>
      <c r="L228" s="62" t="n">
        <v>0</v>
      </c>
      <c r="M228" s="61" t="n">
        <v>0.220595377956436</v>
      </c>
    </row>
    <row r="229" customFormat="false" ht="15" hidden="false" customHeight="true" outlineLevel="0" collapsed="false">
      <c r="A229" s="62" t="n">
        <v>203</v>
      </c>
      <c r="B229" s="59" t="n">
        <v>-0.846968648173816</v>
      </c>
      <c r="C229" s="59" t="n">
        <v>-0.150308072412018</v>
      </c>
      <c r="D229" s="59" t="n">
        <v>0.22414540107646</v>
      </c>
      <c r="E229" s="60" t="n">
        <v>-0.00253440504388786</v>
      </c>
      <c r="F229" s="61" t="n">
        <v>0.331758978877982</v>
      </c>
      <c r="G229" s="55" t="n">
        <v>71.3359770624521</v>
      </c>
      <c r="H229" s="62" t="n">
        <v>0</v>
      </c>
      <c r="I229" s="62" t="n">
        <v>0</v>
      </c>
      <c r="J229" s="62" t="n">
        <v>0</v>
      </c>
      <c r="K229" s="62" t="n">
        <v>0</v>
      </c>
      <c r="L229" s="62" t="n">
        <v>0</v>
      </c>
      <c r="M229" s="61" t="n">
        <v>0.158883156010538</v>
      </c>
    </row>
    <row r="230" customFormat="false" ht="15" hidden="false" customHeight="true" outlineLevel="0" collapsed="false">
      <c r="A230" s="62" t="n">
        <v>204</v>
      </c>
      <c r="B230" s="59" t="n">
        <v>0.0586610694900429</v>
      </c>
      <c r="C230" s="59" t="n">
        <v>0.554276369552772</v>
      </c>
      <c r="D230" s="59" t="n">
        <v>0.754345641727403</v>
      </c>
      <c r="E230" s="60" t="n">
        <v>-0.00501413625018681</v>
      </c>
      <c r="F230" s="61" t="n">
        <v>0.173981762689788</v>
      </c>
      <c r="G230" s="55" t="n">
        <v>-13.6972605803306</v>
      </c>
      <c r="H230" s="62" t="n">
        <v>0</v>
      </c>
      <c r="I230" s="62" t="n">
        <v>0</v>
      </c>
      <c r="J230" s="62" t="n">
        <v>0</v>
      </c>
      <c r="K230" s="62" t="n">
        <v>0</v>
      </c>
      <c r="L230" s="62" t="n">
        <v>0</v>
      </c>
      <c r="M230" s="61" t="n">
        <v>0.158403029300788</v>
      </c>
    </row>
    <row r="231" customFormat="false" ht="15" hidden="false" customHeight="true" outlineLevel="0" collapsed="false">
      <c r="A231" s="62" t="n">
        <v>205</v>
      </c>
      <c r="B231" s="59" t="n">
        <v>-0.162360954113081</v>
      </c>
      <c r="C231" s="59" t="n">
        <v>0.36093911890054</v>
      </c>
      <c r="D231" s="59" t="n">
        <v>0.324818678031871</v>
      </c>
      <c r="E231" s="60" t="n">
        <v>0.00145433479176006</v>
      </c>
      <c r="F231" s="61" t="n">
        <v>0.20561799250773</v>
      </c>
      <c r="G231" s="55" t="n">
        <v>39.5095460635209</v>
      </c>
      <c r="H231" s="62" t="n">
        <v>0</v>
      </c>
      <c r="I231" s="62" t="n">
        <v>0</v>
      </c>
      <c r="J231" s="62" t="n">
        <v>0</v>
      </c>
      <c r="K231" s="62" t="n">
        <v>0</v>
      </c>
      <c r="L231" s="62" t="n">
        <v>0</v>
      </c>
      <c r="M231" s="61" t="n">
        <v>0.158403827746964</v>
      </c>
    </row>
    <row r="232" customFormat="false" ht="15" hidden="false" customHeight="true" outlineLevel="0" collapsed="false">
      <c r="A232" s="62" t="n">
        <v>206</v>
      </c>
      <c r="B232" s="59" t="n">
        <v>0.388189158771456</v>
      </c>
      <c r="C232" s="59" t="n">
        <v>0.168565142822635</v>
      </c>
      <c r="D232" s="59" t="n">
        <v>0.0257893498186882</v>
      </c>
      <c r="E232" s="60" t="n">
        <v>-0.0122495061196266</v>
      </c>
      <c r="F232" s="61" t="n">
        <v>0.139166121376067</v>
      </c>
      <c r="G232" s="55" t="n">
        <v>-56.5192346589926</v>
      </c>
      <c r="H232" s="62" t="n">
        <v>0</v>
      </c>
      <c r="I232" s="62" t="n">
        <v>0</v>
      </c>
      <c r="J232" s="62" t="n">
        <v>0</v>
      </c>
      <c r="K232" s="62" t="n">
        <v>0</v>
      </c>
      <c r="L232" s="62" t="n">
        <v>0</v>
      </c>
      <c r="M232" s="61" t="n">
        <v>0.158402847561654</v>
      </c>
    </row>
    <row r="233" customFormat="false" ht="15" hidden="false" customHeight="true" outlineLevel="0" collapsed="false">
      <c r="A233" s="62" t="n">
        <v>207</v>
      </c>
      <c r="B233" s="59" t="n">
        <v>0.81472567027961</v>
      </c>
      <c r="C233" s="59" t="n">
        <v>1.0380829738648</v>
      </c>
      <c r="D233" s="59" t="n">
        <v>0.738798623777528</v>
      </c>
      <c r="E233" s="60" t="n">
        <v>0.00196382982563293</v>
      </c>
      <c r="F233" s="61" t="n">
        <v>0.101642019980695</v>
      </c>
      <c r="G233" s="55" t="n">
        <v>29.5315736736766</v>
      </c>
      <c r="H233" s="62" t="n">
        <v>0</v>
      </c>
      <c r="I233" s="62" t="n">
        <v>0</v>
      </c>
      <c r="J233" s="62" t="n">
        <v>0</v>
      </c>
      <c r="K233" s="62" t="n">
        <v>0</v>
      </c>
      <c r="L233" s="62" t="n">
        <v>0</v>
      </c>
      <c r="M233" s="61" t="n">
        <v>0.158402847561654</v>
      </c>
    </row>
    <row r="234" customFormat="false" ht="15" hidden="false" customHeight="true" outlineLevel="0" collapsed="false">
      <c r="A234" s="62" t="n">
        <v>208</v>
      </c>
      <c r="B234" s="59" t="n">
        <v>-0.432974791149152</v>
      </c>
      <c r="C234" s="59" t="n">
        <v>0.318277073734281</v>
      </c>
      <c r="D234" s="59" t="n">
        <v>0.0333553242865351</v>
      </c>
      <c r="E234" s="60" t="n">
        <v>-0.00358630857040019</v>
      </c>
      <c r="F234" s="61" t="n">
        <v>0.251588816064171</v>
      </c>
      <c r="G234" s="55" t="n">
        <v>30.2060466336627</v>
      </c>
      <c r="H234" s="62" t="n">
        <v>0</v>
      </c>
      <c r="I234" s="62" t="n">
        <v>0</v>
      </c>
      <c r="J234" s="62" t="n">
        <v>0</v>
      </c>
      <c r="K234" s="62" t="n">
        <v>0</v>
      </c>
      <c r="L234" s="62" t="n">
        <v>0</v>
      </c>
      <c r="M234" s="61" t="n">
        <v>0.158705425117498</v>
      </c>
    </row>
    <row r="235" customFormat="false" ht="15" hidden="false" customHeight="true" outlineLevel="0" collapsed="false">
      <c r="A235" s="62" t="n">
        <v>209</v>
      </c>
      <c r="B235" s="59" t="n">
        <v>-0.731265457116392</v>
      </c>
      <c r="C235" s="59" t="n">
        <v>-0.0842124268888566</v>
      </c>
      <c r="D235" s="59" t="n">
        <v>-0.228064089147133</v>
      </c>
      <c r="E235" s="60" t="n">
        <v>-0.00778114352937725</v>
      </c>
      <c r="F235" s="61" t="n">
        <v>0.308270866121145</v>
      </c>
      <c r="G235" s="55" t="n">
        <v>30.42359380704</v>
      </c>
      <c r="H235" s="62" t="n">
        <v>0</v>
      </c>
      <c r="I235" s="62" t="n">
        <v>0</v>
      </c>
      <c r="J235" s="62" t="n">
        <v>0</v>
      </c>
      <c r="K235" s="62" t="n">
        <v>0</v>
      </c>
      <c r="L235" s="62" t="n">
        <v>0</v>
      </c>
      <c r="M235" s="61" t="n">
        <v>0.159208537485768</v>
      </c>
    </row>
    <row r="236" customFormat="false" ht="15" hidden="false" customHeight="true" outlineLevel="0" collapsed="false">
      <c r="A236" s="62" t="n">
        <v>210</v>
      </c>
      <c r="B236" s="59" t="n">
        <v>-0.279372567905908</v>
      </c>
      <c r="C236" s="59" t="n">
        <v>-0.179179201663124</v>
      </c>
      <c r="D236" s="59" t="n">
        <v>-0.214165573715587</v>
      </c>
      <c r="E236" s="60" t="n">
        <v>0.0161212772211353</v>
      </c>
      <c r="F236" s="61" t="n">
        <v>0.224822426734867</v>
      </c>
      <c r="G236" s="55" t="n">
        <v>168.862520091514</v>
      </c>
      <c r="H236" s="62" t="n">
        <v>0</v>
      </c>
      <c r="I236" s="62" t="n">
        <v>0</v>
      </c>
      <c r="J236" s="62" t="n">
        <v>0</v>
      </c>
      <c r="K236" s="62" t="n">
        <v>0</v>
      </c>
      <c r="L236" s="62" t="n">
        <v>1</v>
      </c>
      <c r="M236" s="61" t="n">
        <v>0.362266804390549</v>
      </c>
    </row>
    <row r="237" customFormat="false" ht="15" hidden="false" customHeight="true" outlineLevel="0" collapsed="false">
      <c r="A237" s="62" t="n">
        <v>211</v>
      </c>
      <c r="B237" s="59" t="n">
        <v>0.190964073575011</v>
      </c>
      <c r="C237" s="59" t="n">
        <v>-1.10845153775088</v>
      </c>
      <c r="D237" s="59" t="n">
        <v>-2.39049689048399</v>
      </c>
      <c r="E237" s="60" t="n">
        <v>-0.0363031443411812</v>
      </c>
      <c r="F237" s="61" t="n">
        <v>0.1593829163038</v>
      </c>
      <c r="G237" s="55" t="n">
        <v>-159.169236117141</v>
      </c>
      <c r="H237" s="62" t="n">
        <v>0</v>
      </c>
      <c r="I237" s="62" t="n">
        <v>0</v>
      </c>
      <c r="J237" s="62" t="n">
        <v>0</v>
      </c>
      <c r="K237" s="62" t="n">
        <v>0</v>
      </c>
      <c r="L237" s="62" t="n">
        <v>0</v>
      </c>
      <c r="M237" s="61" t="n">
        <v>0.175499936926551</v>
      </c>
    </row>
    <row r="238" customFormat="false" ht="15" hidden="false" customHeight="true" outlineLevel="0" collapsed="false">
      <c r="A238" s="62" t="n">
        <v>212</v>
      </c>
      <c r="B238" s="59" t="n">
        <v>-0.839832976383676</v>
      </c>
      <c r="C238" s="59" t="n">
        <v>-1.00384005432754</v>
      </c>
      <c r="D238" s="59" t="n">
        <v>-0.196323955190245</v>
      </c>
      <c r="E238" s="60" t="n">
        <v>0.00985001632029611</v>
      </c>
      <c r="F238" s="61" t="n">
        <v>0.330288520486764</v>
      </c>
      <c r="G238" s="55" t="n">
        <v>162.853549218234</v>
      </c>
      <c r="H238" s="62" t="n">
        <v>0</v>
      </c>
      <c r="I238" s="62" t="n">
        <v>0</v>
      </c>
      <c r="J238" s="62" t="n">
        <v>0</v>
      </c>
      <c r="K238" s="62" t="n">
        <v>0</v>
      </c>
      <c r="L238" s="62" t="n">
        <v>0</v>
      </c>
      <c r="M238" s="61" t="n">
        <v>0.159903737638279</v>
      </c>
    </row>
    <row r="239" customFormat="false" ht="15" hidden="false" customHeight="true" outlineLevel="0" collapsed="false">
      <c r="A239" s="62" t="n">
        <v>213</v>
      </c>
      <c r="B239" s="59" t="n">
        <v>-0.295155965619605</v>
      </c>
      <c r="C239" s="59" t="n">
        <v>0.193566614056594</v>
      </c>
      <c r="D239" s="59" t="n">
        <v>-0.0845744470443207</v>
      </c>
      <c r="E239" s="60" t="n">
        <v>0.00527437355263441</v>
      </c>
      <c r="F239" s="61" t="n">
        <v>0.227492331629279</v>
      </c>
      <c r="G239" s="55" t="n">
        <v>76.8272034356924</v>
      </c>
      <c r="H239" s="62" t="n">
        <v>0</v>
      </c>
      <c r="I239" s="62" t="n">
        <v>0</v>
      </c>
      <c r="J239" s="62" t="n">
        <v>0</v>
      </c>
      <c r="K239" s="62" t="n">
        <v>0</v>
      </c>
      <c r="L239" s="62" t="n">
        <v>0</v>
      </c>
      <c r="M239" s="61" t="n">
        <v>0.158496532696282</v>
      </c>
    </row>
    <row r="240" customFormat="false" ht="15" hidden="false" customHeight="true" outlineLevel="0" collapsed="false">
      <c r="A240" s="62" t="n">
        <v>214</v>
      </c>
      <c r="B240" s="59" t="n">
        <v>-1.40657458246751</v>
      </c>
      <c r="C240" s="59" t="n">
        <v>-0.824149884974652</v>
      </c>
      <c r="D240" s="59" t="n">
        <v>-0.537520197705612</v>
      </c>
      <c r="E240" s="60" t="n">
        <v>0.00828362968277027</v>
      </c>
      <c r="F240" s="61" t="n">
        <v>0.453960144700708</v>
      </c>
      <c r="G240" s="55" t="n">
        <v>231.086936301222</v>
      </c>
      <c r="H240" s="62" t="n">
        <v>0</v>
      </c>
      <c r="I240" s="62" t="n">
        <v>0</v>
      </c>
      <c r="J240" s="62" t="n">
        <v>0</v>
      </c>
      <c r="K240" s="62" t="n">
        <v>0</v>
      </c>
      <c r="L240" s="62" t="n">
        <v>0</v>
      </c>
      <c r="M240" s="61" t="n">
        <v>0.246037343667379</v>
      </c>
    </row>
    <row r="241" customFormat="false" ht="15" hidden="false" customHeight="true" outlineLevel="0" collapsed="false">
      <c r="A241" s="62" t="n">
        <v>215</v>
      </c>
      <c r="B241" s="59" t="n">
        <v>-0.779472066101953</v>
      </c>
      <c r="C241" s="59" t="n">
        <v>-1.26830297174815</v>
      </c>
      <c r="D241" s="59" t="n">
        <v>-0.108967591152418</v>
      </c>
      <c r="E241" s="60" t="n">
        <v>-0.00558618197612196</v>
      </c>
      <c r="F241" s="61" t="n">
        <v>0.31796334824686</v>
      </c>
      <c r="G241" s="55" t="n">
        <v>63.9107669871779</v>
      </c>
      <c r="H241" s="62" t="n">
        <v>0</v>
      </c>
      <c r="I241" s="62" t="n">
        <v>0</v>
      </c>
      <c r="J241" s="62" t="n">
        <v>0</v>
      </c>
      <c r="K241" s="62" t="n">
        <v>0</v>
      </c>
      <c r="L241" s="62" t="n">
        <v>0</v>
      </c>
      <c r="M241" s="61" t="n">
        <v>0.159064668402662</v>
      </c>
    </row>
    <row r="242" customFormat="false" ht="15" hidden="false" customHeight="true" outlineLevel="0" collapsed="false">
      <c r="A242" s="62" t="n">
        <v>216</v>
      </c>
      <c r="B242" s="59" t="n">
        <v>0.904722460915154</v>
      </c>
      <c r="C242" s="59" t="n">
        <v>-0.818025691598293</v>
      </c>
      <c r="D242" s="59" t="n">
        <v>-1.05622611288309</v>
      </c>
      <c r="E242" s="60" t="n">
        <v>-0.00213757606173063</v>
      </c>
      <c r="F242" s="61" t="n">
        <v>0.0947692633813902</v>
      </c>
      <c r="G242" s="55" t="n">
        <v>23.1204406143605</v>
      </c>
      <c r="H242" s="62" t="n">
        <v>0</v>
      </c>
      <c r="I242" s="62" t="n">
        <v>0</v>
      </c>
      <c r="J242" s="62" t="n">
        <v>0</v>
      </c>
      <c r="K242" s="62" t="n">
        <v>0</v>
      </c>
      <c r="L242" s="62" t="n">
        <v>0</v>
      </c>
      <c r="M242" s="61" t="n">
        <v>0.159935481899652</v>
      </c>
    </row>
    <row r="243" customFormat="false" ht="15" hidden="false" customHeight="true" outlineLevel="0" collapsed="false">
      <c r="A243" s="62" t="n">
        <v>217</v>
      </c>
      <c r="B243" s="59" t="n">
        <v>0.509696060385446</v>
      </c>
      <c r="C243" s="59" t="n">
        <v>0.81807510929988</v>
      </c>
      <c r="D243" s="59" t="n">
        <v>0.267760674608741</v>
      </c>
      <c r="E243" s="60" t="n">
        <v>-0.00231391846077788</v>
      </c>
      <c r="F243" s="61" t="n">
        <v>0.127624223934283</v>
      </c>
      <c r="G243" s="55" t="n">
        <v>2.26743169210257</v>
      </c>
      <c r="H243" s="62" t="n">
        <v>0</v>
      </c>
      <c r="I243" s="62" t="n">
        <v>0</v>
      </c>
      <c r="J243" s="62" t="n">
        <v>0</v>
      </c>
      <c r="K243" s="62" t="n">
        <v>0</v>
      </c>
      <c r="L243" s="62" t="n">
        <v>0</v>
      </c>
      <c r="M243" s="61" t="n">
        <v>0.158402847561654</v>
      </c>
    </row>
    <row r="244" customFormat="false" ht="15" hidden="false" customHeight="true" outlineLevel="0" collapsed="false">
      <c r="A244" s="62" t="n">
        <v>218</v>
      </c>
      <c r="B244" s="59" t="n">
        <v>-0.224555290424851</v>
      </c>
      <c r="C244" s="59" t="n">
        <v>-0.201893829768408</v>
      </c>
      <c r="D244" s="59" t="n">
        <v>-0.191825676023461</v>
      </c>
      <c r="E244" s="60" t="n">
        <v>0.00618957384030495</v>
      </c>
      <c r="F244" s="61" t="n">
        <v>0.215695631331647</v>
      </c>
      <c r="G244" s="55" t="n">
        <v>78.6095473622173</v>
      </c>
      <c r="H244" s="62" t="n">
        <v>0</v>
      </c>
      <c r="I244" s="62" t="n">
        <v>0</v>
      </c>
      <c r="J244" s="62" t="n">
        <v>0</v>
      </c>
      <c r="K244" s="62" t="n">
        <v>0</v>
      </c>
      <c r="L244" s="62" t="n">
        <v>0</v>
      </c>
      <c r="M244" s="61" t="n">
        <v>0.158591883614553</v>
      </c>
    </row>
    <row r="245" customFormat="false" ht="15" hidden="false" customHeight="true" outlineLevel="0" collapsed="false">
      <c r="A245" s="62" t="n">
        <v>219</v>
      </c>
      <c r="B245" s="59" t="n">
        <v>-0.471479670335635</v>
      </c>
      <c r="C245" s="59" t="n">
        <v>0.282284197273024</v>
      </c>
      <c r="D245" s="59" t="n">
        <v>-1.58459945546488</v>
      </c>
      <c r="E245" s="60" t="n">
        <v>-0.00492315782497125</v>
      </c>
      <c r="F245" s="61" t="n">
        <v>0.258566806565162</v>
      </c>
      <c r="G245" s="55" t="n">
        <v>33.80772212905</v>
      </c>
      <c r="H245" s="62" t="n">
        <v>0</v>
      </c>
      <c r="I245" s="62" t="n">
        <v>0</v>
      </c>
      <c r="J245" s="62" t="n">
        <v>0</v>
      </c>
      <c r="K245" s="62" t="n">
        <v>0</v>
      </c>
      <c r="L245" s="62" t="n">
        <v>0</v>
      </c>
      <c r="M245" s="61" t="n">
        <v>0.173451979613717</v>
      </c>
    </row>
    <row r="246" customFormat="false" ht="15" hidden="false" customHeight="true" outlineLevel="0" collapsed="false">
      <c r="A246" s="62" t="n">
        <v>220</v>
      </c>
      <c r="B246" s="59" t="n">
        <v>0.23697927733763</v>
      </c>
      <c r="C246" s="59" t="n">
        <v>1.19229780219982</v>
      </c>
      <c r="D246" s="59" t="n">
        <v>0.511772127552511</v>
      </c>
      <c r="E246" s="60" t="n">
        <v>-0.0101571452068716</v>
      </c>
      <c r="F246" s="61" t="n">
        <v>0.154500899943634</v>
      </c>
      <c r="G246" s="55" t="n">
        <v>-44.5346682840191</v>
      </c>
      <c r="H246" s="62" t="n">
        <v>0</v>
      </c>
      <c r="I246" s="62" t="n">
        <v>0</v>
      </c>
      <c r="J246" s="62" t="n">
        <v>0</v>
      </c>
      <c r="K246" s="62" t="n">
        <v>0</v>
      </c>
      <c r="L246" s="62" t="n">
        <v>0</v>
      </c>
      <c r="M246" s="61" t="n">
        <v>0.158402847561654</v>
      </c>
    </row>
    <row r="247" customFormat="false" ht="15" hidden="false" customHeight="true" outlineLevel="0" collapsed="false">
      <c r="A247" s="62" t="n">
        <v>221</v>
      </c>
      <c r="B247" s="59" t="n">
        <v>-0.219210222405721</v>
      </c>
      <c r="C247" s="59" t="n">
        <v>1.49333096066173</v>
      </c>
      <c r="D247" s="59" t="n">
        <v>-1.70856674920407</v>
      </c>
      <c r="E247" s="60" t="n">
        <v>-0.00578851423143529</v>
      </c>
      <c r="F247" s="61" t="n">
        <v>0.214817913427998</v>
      </c>
      <c r="G247" s="55" t="n">
        <v>6.6652861713976</v>
      </c>
      <c r="H247" s="62" t="n">
        <v>0</v>
      </c>
      <c r="I247" s="62" t="n">
        <v>0</v>
      </c>
      <c r="J247" s="62" t="n">
        <v>0</v>
      </c>
      <c r="K247" s="62" t="n">
        <v>0</v>
      </c>
      <c r="L247" s="62" t="n">
        <v>0</v>
      </c>
      <c r="M247" s="61" t="n">
        <v>0.168040320449534</v>
      </c>
    </row>
    <row r="248" customFormat="false" ht="15" hidden="false" customHeight="true" outlineLevel="0" collapsed="false">
      <c r="A248" s="62" t="n">
        <v>222</v>
      </c>
      <c r="B248" s="59" t="n">
        <v>0.523354576334161</v>
      </c>
      <c r="C248" s="59" t="n">
        <v>1.04919680215493</v>
      </c>
      <c r="D248" s="59" t="n">
        <v>-0.525064047927396</v>
      </c>
      <c r="E248" s="60" t="n">
        <v>-0.00488790529235124</v>
      </c>
      <c r="F248" s="61" t="n">
        <v>0.126369878089702</v>
      </c>
      <c r="G248" s="55" t="n">
        <v>-13.0291696021958</v>
      </c>
      <c r="H248" s="62" t="n">
        <v>0</v>
      </c>
      <c r="I248" s="62" t="n">
        <v>0</v>
      </c>
      <c r="J248" s="62" t="n">
        <v>0</v>
      </c>
      <c r="K248" s="62" t="n">
        <v>0</v>
      </c>
      <c r="L248" s="62" t="n">
        <v>0</v>
      </c>
      <c r="M248" s="61" t="n">
        <v>0.158961451961831</v>
      </c>
    </row>
    <row r="249" customFormat="false" ht="15" hidden="false" customHeight="true" outlineLevel="0" collapsed="false">
      <c r="A249" s="62" t="n">
        <v>223</v>
      </c>
      <c r="B249" s="59" t="n">
        <v>-0.785235740354719</v>
      </c>
      <c r="C249" s="59" t="n">
        <v>0.818340015449992</v>
      </c>
      <c r="D249" s="59" t="n">
        <v>0.0362184591875538</v>
      </c>
      <c r="E249" s="60" t="n">
        <v>0.00134696030928415</v>
      </c>
      <c r="F249" s="61" t="n">
        <v>0.319131308646853</v>
      </c>
      <c r="G249" s="55" t="n">
        <v>89.3357029625811</v>
      </c>
      <c r="H249" s="62" t="n">
        <v>0</v>
      </c>
      <c r="I249" s="62" t="n">
        <v>0</v>
      </c>
      <c r="J249" s="62" t="n">
        <v>0</v>
      </c>
      <c r="K249" s="62" t="n">
        <v>0</v>
      </c>
      <c r="L249" s="62" t="n">
        <v>0</v>
      </c>
      <c r="M249" s="61" t="n">
        <v>0.158851451440944</v>
      </c>
    </row>
    <row r="250" customFormat="false" ht="15" hidden="false" customHeight="true" outlineLevel="0" collapsed="false">
      <c r="A250" s="62" t="n">
        <v>224</v>
      </c>
      <c r="B250" s="59" t="n">
        <v>-0.634935097700871</v>
      </c>
      <c r="C250" s="59" t="n">
        <v>-0.206179094242418</v>
      </c>
      <c r="D250" s="59" t="n">
        <v>0.0370724939250437</v>
      </c>
      <c r="E250" s="60" t="n">
        <v>0.00267136354434252</v>
      </c>
      <c r="F250" s="61" t="n">
        <v>0.289326587808192</v>
      </c>
      <c r="G250" s="55" t="n">
        <v>87.7769846816551</v>
      </c>
      <c r="H250" s="62" t="n">
        <v>0</v>
      </c>
      <c r="I250" s="62" t="n">
        <v>0</v>
      </c>
      <c r="J250" s="62" t="n">
        <v>0</v>
      </c>
      <c r="K250" s="62" t="n">
        <v>0</v>
      </c>
      <c r="L250" s="62" t="n">
        <v>0</v>
      </c>
      <c r="M250" s="61" t="n">
        <v>0.158793269371577</v>
      </c>
    </row>
    <row r="251" customFormat="false" ht="15" hidden="false" customHeight="true" outlineLevel="0" collapsed="false">
      <c r="A251" s="62" t="n">
        <v>225</v>
      </c>
      <c r="B251" s="59" t="n">
        <v>1.79400540135383</v>
      </c>
      <c r="C251" s="59" t="n">
        <v>2.57410808819439</v>
      </c>
      <c r="D251" s="59" t="n">
        <v>0.933844767274377</v>
      </c>
      <c r="E251" s="60" t="n">
        <v>0.00541786508230098</v>
      </c>
      <c r="F251" s="61" t="n">
        <v>0.0441391816958224</v>
      </c>
      <c r="G251" s="55" t="n">
        <v>53.2326215471107</v>
      </c>
      <c r="H251" s="62" t="n">
        <v>0</v>
      </c>
      <c r="I251" s="62" t="n">
        <v>0</v>
      </c>
      <c r="J251" s="62" t="n">
        <v>0</v>
      </c>
      <c r="K251" s="62" t="n">
        <v>0</v>
      </c>
      <c r="L251" s="62" t="n">
        <v>0</v>
      </c>
      <c r="M251" s="61" t="n">
        <v>0.158402847561654</v>
      </c>
    </row>
    <row r="252" customFormat="false" ht="15" hidden="false" customHeight="true" outlineLevel="0" collapsed="false">
      <c r="A252" s="62" t="n">
        <v>226</v>
      </c>
      <c r="B252" s="59" t="n">
        <v>0.560806337059238</v>
      </c>
      <c r="C252" s="59" t="n">
        <v>0.231959146138927</v>
      </c>
      <c r="D252" s="59" t="n">
        <v>-0.217607229984223</v>
      </c>
      <c r="E252" s="60" t="n">
        <v>-0.00191417255835022</v>
      </c>
      <c r="F252" s="61" t="n">
        <v>0.122974783079354</v>
      </c>
      <c r="G252" s="55" t="n">
        <v>5.0013176222257</v>
      </c>
      <c r="H252" s="62" t="n">
        <v>0</v>
      </c>
      <c r="I252" s="62" t="n">
        <v>0</v>
      </c>
      <c r="J252" s="62" t="n">
        <v>0</v>
      </c>
      <c r="K252" s="62" t="n">
        <v>0</v>
      </c>
      <c r="L252" s="62" t="n">
        <v>0</v>
      </c>
      <c r="M252" s="61" t="n">
        <v>0.158596787210666</v>
      </c>
    </row>
    <row r="253" customFormat="false" ht="15" hidden="false" customHeight="true" outlineLevel="0" collapsed="false">
      <c r="A253" s="62" t="n">
        <v>227</v>
      </c>
      <c r="B253" s="59" t="n">
        <v>0.883056938587785</v>
      </c>
      <c r="C253" s="59" t="n">
        <v>0.208636703372069</v>
      </c>
      <c r="D253" s="59" t="n">
        <v>0.838387762674174</v>
      </c>
      <c r="E253" s="60" t="n">
        <v>0.00233747796302481</v>
      </c>
      <c r="F253" s="61" t="n">
        <v>0.0963916373002753</v>
      </c>
      <c r="G253" s="55" t="n">
        <v>32.5164389256249</v>
      </c>
      <c r="H253" s="62" t="n">
        <v>0</v>
      </c>
      <c r="I253" s="62" t="n">
        <v>0</v>
      </c>
      <c r="J253" s="62" t="n">
        <v>0</v>
      </c>
      <c r="K253" s="62" t="n">
        <v>0</v>
      </c>
      <c r="L253" s="62" t="n">
        <v>0</v>
      </c>
      <c r="M253" s="61" t="n">
        <v>0.158402847561654</v>
      </c>
    </row>
    <row r="254" customFormat="false" ht="15" hidden="false" customHeight="true" outlineLevel="0" collapsed="false">
      <c r="A254" s="62" t="n">
        <v>228</v>
      </c>
      <c r="B254" s="59" t="n">
        <v>0.418186297952801</v>
      </c>
      <c r="C254" s="59" t="n">
        <v>0.94466824683562</v>
      </c>
      <c r="D254" s="59" t="n">
        <v>0.590108956661795</v>
      </c>
      <c r="E254" s="60" t="n">
        <v>-0.00895372274251067</v>
      </c>
      <c r="F254" s="61" t="n">
        <v>0.13625240006718</v>
      </c>
      <c r="G254" s="55" t="n">
        <v>-20.1941106161295</v>
      </c>
      <c r="H254" s="62" t="n">
        <v>0</v>
      </c>
      <c r="I254" s="62" t="n">
        <v>0</v>
      </c>
      <c r="J254" s="62" t="n">
        <v>0</v>
      </c>
      <c r="K254" s="62" t="n">
        <v>0</v>
      </c>
      <c r="L254" s="62" t="n">
        <v>1</v>
      </c>
      <c r="M254" s="61" t="n">
        <v>0.361453181329369</v>
      </c>
    </row>
    <row r="255" customFormat="false" ht="15" hidden="false" customHeight="true" outlineLevel="0" collapsed="false">
      <c r="A255" s="62" t="n">
        <v>229</v>
      </c>
      <c r="B255" s="59" t="n">
        <v>0.898227834182931</v>
      </c>
      <c r="C255" s="59" t="n">
        <v>1.37712006246038</v>
      </c>
      <c r="D255" s="59" t="n">
        <v>-1.28814062832386</v>
      </c>
      <c r="E255" s="60" t="n">
        <v>-0.0194451064549186</v>
      </c>
      <c r="F255" s="61" t="n">
        <v>0.0952534736534051</v>
      </c>
      <c r="G255" s="55" t="n">
        <v>-97.402337443586</v>
      </c>
      <c r="H255" s="62" t="n">
        <v>0</v>
      </c>
      <c r="I255" s="62" t="n">
        <v>0</v>
      </c>
      <c r="J255" s="62" t="n">
        <v>0</v>
      </c>
      <c r="K255" s="62" t="n">
        <v>0</v>
      </c>
      <c r="L255" s="62" t="n">
        <v>0</v>
      </c>
      <c r="M255" s="61" t="n">
        <v>0.160809864951515</v>
      </c>
    </row>
    <row r="256" customFormat="false" ht="15" hidden="false" customHeight="true" outlineLevel="0" collapsed="false">
      <c r="A256" s="62" t="n">
        <v>230</v>
      </c>
      <c r="B256" s="59" t="n">
        <v>2.18267648133936</v>
      </c>
      <c r="C256" s="59" t="n">
        <v>1.48598636710796</v>
      </c>
      <c r="D256" s="59" t="n">
        <v>2.25533391101063</v>
      </c>
      <c r="E256" s="60" t="n">
        <v>0.0116727931426681</v>
      </c>
      <c r="F256" s="61" t="n">
        <v>0.0302836429595438</v>
      </c>
      <c r="G256" s="55" t="n">
        <v>96.4517891489083</v>
      </c>
      <c r="H256" s="62" t="n">
        <v>0</v>
      </c>
      <c r="I256" s="62" t="n">
        <v>0</v>
      </c>
      <c r="J256" s="62" t="n">
        <v>0</v>
      </c>
      <c r="K256" s="62" t="n">
        <v>0</v>
      </c>
      <c r="L256" s="62" t="n">
        <v>0</v>
      </c>
      <c r="M256" s="61" t="n">
        <v>0.158402847561654</v>
      </c>
    </row>
    <row r="257" customFormat="false" ht="15" hidden="false" customHeight="true" outlineLevel="0" collapsed="false">
      <c r="A257" s="62" t="n">
        <v>231</v>
      </c>
      <c r="B257" s="59" t="n">
        <v>-0.667635386728106</v>
      </c>
      <c r="C257" s="59" t="n">
        <v>-0.532404989016934</v>
      </c>
      <c r="D257" s="59" t="n">
        <v>-0.84901988427281</v>
      </c>
      <c r="E257" s="60" t="n">
        <v>-0.00680274451731108</v>
      </c>
      <c r="F257" s="61" t="n">
        <v>0.295692292617002</v>
      </c>
      <c r="G257" s="55" t="n">
        <v>35.9328878243612</v>
      </c>
      <c r="H257" s="62" t="n">
        <v>0</v>
      </c>
      <c r="I257" s="62" t="n">
        <v>0</v>
      </c>
      <c r="J257" s="62" t="n">
        <v>0</v>
      </c>
      <c r="K257" s="62" t="n">
        <v>0</v>
      </c>
      <c r="L257" s="62" t="n">
        <v>0</v>
      </c>
      <c r="M257" s="61" t="n">
        <v>0.164999549259909</v>
      </c>
    </row>
    <row r="258" customFormat="false" ht="15" hidden="false" customHeight="true" outlineLevel="0" collapsed="false">
      <c r="A258" s="62" t="n">
        <v>232</v>
      </c>
      <c r="B258" s="59" t="n">
        <v>0.234530268337562</v>
      </c>
      <c r="C258" s="59" t="n">
        <v>0.969187875666651</v>
      </c>
      <c r="D258" s="59" t="n">
        <v>0.747109447604368</v>
      </c>
      <c r="E258" s="60" t="n">
        <v>-0.00359554940132498</v>
      </c>
      <c r="F258" s="61" t="n">
        <v>0.15475819023521</v>
      </c>
      <c r="G258" s="55" t="n">
        <v>-5.41157693818692</v>
      </c>
      <c r="H258" s="62" t="n">
        <v>0</v>
      </c>
      <c r="I258" s="62" t="n">
        <v>0</v>
      </c>
      <c r="J258" s="62" t="n">
        <v>0</v>
      </c>
      <c r="K258" s="62" t="n">
        <v>0</v>
      </c>
      <c r="L258" s="62" t="n">
        <v>0</v>
      </c>
      <c r="M258" s="61" t="n">
        <v>0.158402847561654</v>
      </c>
    </row>
    <row r="259" customFormat="false" ht="15" hidden="false" customHeight="true" outlineLevel="0" collapsed="false">
      <c r="A259" s="62" t="n">
        <v>233</v>
      </c>
      <c r="B259" s="59" t="n">
        <v>0.482235103258091</v>
      </c>
      <c r="C259" s="59" t="n">
        <v>0.715819399822138</v>
      </c>
      <c r="D259" s="59" t="n">
        <v>0.680961671777151</v>
      </c>
      <c r="E259" s="60" t="n">
        <v>0.00978148523301871</v>
      </c>
      <c r="F259" s="61" t="n">
        <v>0.130172377332427</v>
      </c>
      <c r="G259" s="55" t="n">
        <v>100.700025820946</v>
      </c>
      <c r="H259" s="62" t="n">
        <v>0</v>
      </c>
      <c r="I259" s="62" t="n">
        <v>0</v>
      </c>
      <c r="J259" s="62" t="n">
        <v>0</v>
      </c>
      <c r="K259" s="62" t="n">
        <v>0</v>
      </c>
      <c r="L259" s="62" t="n">
        <v>1</v>
      </c>
      <c r="M259" s="61" t="n">
        <v>0.361452544126341</v>
      </c>
    </row>
    <row r="260" customFormat="false" ht="15" hidden="false" customHeight="true" outlineLevel="0" collapsed="false">
      <c r="A260" s="62" t="n">
        <v>234</v>
      </c>
      <c r="B260" s="59" t="n">
        <v>1.07320833007025</v>
      </c>
      <c r="C260" s="59" t="n">
        <v>0.661753520557562</v>
      </c>
      <c r="D260" s="59" t="n">
        <v>0.388936417016489</v>
      </c>
      <c r="E260" s="60" t="n">
        <v>-0.000977284995047716</v>
      </c>
      <c r="F260" s="61" t="n">
        <v>0.0828331739289341</v>
      </c>
      <c r="G260" s="55" t="n">
        <v>10.2883118003517</v>
      </c>
      <c r="H260" s="62" t="n">
        <v>0</v>
      </c>
      <c r="I260" s="62" t="n">
        <v>0</v>
      </c>
      <c r="J260" s="62" t="n">
        <v>0</v>
      </c>
      <c r="K260" s="62" t="n">
        <v>0</v>
      </c>
      <c r="L260" s="62" t="n">
        <v>0</v>
      </c>
      <c r="M260" s="61" t="n">
        <v>0.158402847561654</v>
      </c>
    </row>
    <row r="261" customFormat="false" ht="15" hidden="false" customHeight="true" outlineLevel="0" collapsed="false">
      <c r="A261" s="62" t="n">
        <v>235</v>
      </c>
      <c r="B261" s="59" t="n">
        <v>-0.500336781206773</v>
      </c>
      <c r="C261" s="59" t="n">
        <v>-1.74939242425821</v>
      </c>
      <c r="D261" s="59" t="n">
        <v>0.77006919320012</v>
      </c>
      <c r="E261" s="60" t="n">
        <v>-0.00393320360060973</v>
      </c>
      <c r="F261" s="61" t="n">
        <v>0.263864859813476</v>
      </c>
      <c r="G261" s="55" t="n">
        <v>68.2812038212786</v>
      </c>
      <c r="H261" s="62" t="n">
        <v>0</v>
      </c>
      <c r="I261" s="62" t="n">
        <v>0</v>
      </c>
      <c r="J261" s="62" t="n">
        <v>0</v>
      </c>
      <c r="K261" s="62" t="n">
        <v>0</v>
      </c>
      <c r="L261" s="62" t="n">
        <v>0</v>
      </c>
      <c r="M261" s="61" t="n">
        <v>0.158776316339912</v>
      </c>
    </row>
    <row r="262" customFormat="false" ht="15" hidden="false" customHeight="true" outlineLevel="0" collapsed="false">
      <c r="A262" s="62" t="n">
        <v>236</v>
      </c>
      <c r="B262" s="59" t="n">
        <v>-0.545257937334369</v>
      </c>
      <c r="C262" s="59" t="n">
        <v>0.692942181671865</v>
      </c>
      <c r="D262" s="59" t="n">
        <v>0.965044370499608</v>
      </c>
      <c r="E262" s="60" t="n">
        <v>0.000290241412265355</v>
      </c>
      <c r="F262" s="61" t="n">
        <v>0.272226938971987</v>
      </c>
      <c r="G262" s="55" t="n">
        <v>62.5103160673639</v>
      </c>
      <c r="H262" s="62" t="n">
        <v>0</v>
      </c>
      <c r="I262" s="62" t="n">
        <v>0</v>
      </c>
      <c r="J262" s="62" t="n">
        <v>0</v>
      </c>
      <c r="K262" s="62" t="n">
        <v>0</v>
      </c>
      <c r="L262" s="62" t="n">
        <v>0</v>
      </c>
      <c r="M262" s="61" t="n">
        <v>0.158750427435951</v>
      </c>
    </row>
    <row r="263" customFormat="false" ht="15" hidden="false" customHeight="true" outlineLevel="0" collapsed="false">
      <c r="A263" s="62" t="n">
        <v>237</v>
      </c>
      <c r="B263" s="59" t="n">
        <v>0.326451293923883</v>
      </c>
      <c r="C263" s="59" t="n">
        <v>0.241528372778566</v>
      </c>
      <c r="D263" s="59" t="n">
        <v>0.608943277937146</v>
      </c>
      <c r="E263" s="60" t="n">
        <v>-0.00882922416931484</v>
      </c>
      <c r="F263" s="61" t="n">
        <v>0.145296405166075</v>
      </c>
      <c r="G263" s="55" t="n">
        <v>-36.2131887114093</v>
      </c>
      <c r="H263" s="62" t="n">
        <v>0</v>
      </c>
      <c r="I263" s="62" t="n">
        <v>0</v>
      </c>
      <c r="J263" s="62" t="n">
        <v>0</v>
      </c>
      <c r="K263" s="62" t="n">
        <v>0</v>
      </c>
      <c r="L263" s="62" t="n">
        <v>0</v>
      </c>
      <c r="M263" s="61" t="n">
        <v>0.158402847561654</v>
      </c>
    </row>
    <row r="264" customFormat="false" ht="15" hidden="false" customHeight="true" outlineLevel="0" collapsed="false">
      <c r="A264" s="62" t="n">
        <v>238</v>
      </c>
      <c r="B264" s="59" t="n">
        <v>-3.25531219171428</v>
      </c>
      <c r="C264" s="59" t="n">
        <v>-2.22941980615947</v>
      </c>
      <c r="D264" s="59" t="n">
        <v>-2.56325440094167</v>
      </c>
      <c r="E264" s="60" t="n">
        <v>0.0127269519843582</v>
      </c>
      <c r="F264" s="61" t="n">
        <v>0.791485257626913</v>
      </c>
      <c r="G264" s="55" t="n">
        <v>1221.43635766876</v>
      </c>
      <c r="H264" s="62" t="n">
        <v>18</v>
      </c>
      <c r="I264" s="62" t="n">
        <v>6</v>
      </c>
      <c r="J264" s="62" t="n">
        <v>8</v>
      </c>
      <c r="K264" s="62" t="n">
        <v>1</v>
      </c>
      <c r="L264" s="62" t="n">
        <v>1</v>
      </c>
      <c r="M264" s="61" t="n">
        <v>1</v>
      </c>
    </row>
    <row r="265" customFormat="false" ht="15" hidden="false" customHeight="true" outlineLevel="0" collapsed="false">
      <c r="A265" s="62" t="n">
        <v>239</v>
      </c>
      <c r="B265" s="59" t="n">
        <v>-0.0243088506416201</v>
      </c>
      <c r="C265" s="59" t="n">
        <v>0.0473700575555137</v>
      </c>
      <c r="D265" s="59" t="n">
        <v>-0.192373163700114</v>
      </c>
      <c r="E265" s="60" t="n">
        <v>-0.00932081110569748</v>
      </c>
      <c r="F265" s="61" t="n">
        <v>0.184318052308172</v>
      </c>
      <c r="G265" s="55" t="n">
        <v>-36.9650012386125</v>
      </c>
      <c r="H265" s="62" t="n">
        <v>0</v>
      </c>
      <c r="I265" s="62" t="n">
        <v>0</v>
      </c>
      <c r="J265" s="62" t="n">
        <v>0</v>
      </c>
      <c r="K265" s="62" t="n">
        <v>0</v>
      </c>
      <c r="L265" s="62" t="n">
        <v>0</v>
      </c>
      <c r="M265" s="61" t="n">
        <v>0.1585733855472</v>
      </c>
    </row>
    <row r="266" customFormat="false" ht="15" hidden="false" customHeight="true" outlineLevel="0" collapsed="false">
      <c r="A266" s="62" t="n">
        <v>240</v>
      </c>
      <c r="B266" s="59" t="n">
        <v>-0.239280702613629</v>
      </c>
      <c r="C266" s="59" t="n">
        <v>-0.638622045020627</v>
      </c>
      <c r="D266" s="59" t="n">
        <v>-0.372809063158247</v>
      </c>
      <c r="E266" s="60" t="n">
        <v>0.00137249461131485</v>
      </c>
      <c r="F266" s="61" t="n">
        <v>0.218124957543345</v>
      </c>
      <c r="G266" s="55" t="n">
        <v>55.6152710834829</v>
      </c>
      <c r="H266" s="62" t="n">
        <v>0</v>
      </c>
      <c r="I266" s="62" t="n">
        <v>0</v>
      </c>
      <c r="J266" s="62" t="n">
        <v>0</v>
      </c>
      <c r="K266" s="62" t="n">
        <v>0</v>
      </c>
      <c r="L266" s="62" t="n">
        <v>0</v>
      </c>
      <c r="M266" s="61" t="n">
        <v>0.159117648873693</v>
      </c>
    </row>
    <row r="267" customFormat="false" ht="15" hidden="false" customHeight="true" outlineLevel="0" collapsed="false">
      <c r="A267" s="62" t="n">
        <v>241</v>
      </c>
      <c r="B267" s="59" t="n">
        <v>-0.147129935560267</v>
      </c>
      <c r="C267" s="59" t="n">
        <v>0.726426451964333</v>
      </c>
      <c r="D267" s="59" t="n">
        <v>-0.290615108061632</v>
      </c>
      <c r="E267" s="60" t="n">
        <v>0.00408222636380057</v>
      </c>
      <c r="F267" s="61" t="n">
        <v>0.203195380798888</v>
      </c>
      <c r="G267" s="55" t="n">
        <v>56.273481514417</v>
      </c>
      <c r="H267" s="62" t="n">
        <v>0</v>
      </c>
      <c r="I267" s="62" t="n">
        <v>0</v>
      </c>
      <c r="J267" s="62" t="n">
        <v>0</v>
      </c>
      <c r="K267" s="62" t="n">
        <v>0</v>
      </c>
      <c r="L267" s="62" t="n">
        <v>0</v>
      </c>
      <c r="M267" s="61" t="n">
        <v>0.15868757782892</v>
      </c>
    </row>
    <row r="268" customFormat="false" ht="15" hidden="false" customHeight="true" outlineLevel="0" collapsed="false">
      <c r="A268" s="62" t="n">
        <v>242</v>
      </c>
      <c r="B268" s="59" t="n">
        <v>3.32910084739798</v>
      </c>
      <c r="C268" s="59" t="n">
        <v>2.49644701124662</v>
      </c>
      <c r="D268" s="59" t="n">
        <v>7.43064392853502</v>
      </c>
      <c r="E268" s="60" t="n">
        <v>0.0628265737945884</v>
      </c>
      <c r="F268" s="61" t="n">
        <v>0.00848113829860219</v>
      </c>
      <c r="G268" s="55" t="n">
        <v>569.93838801666</v>
      </c>
      <c r="H268" s="62" t="n">
        <v>6</v>
      </c>
      <c r="I268" s="62" t="n">
        <v>2</v>
      </c>
      <c r="J268" s="62" t="n">
        <v>2</v>
      </c>
      <c r="K268" s="62" t="n">
        <v>1</v>
      </c>
      <c r="L268" s="62" t="n">
        <v>0</v>
      </c>
      <c r="M268" s="61" t="n">
        <v>0.999999910122972</v>
      </c>
    </row>
    <row r="269" customFormat="false" ht="15" hidden="false" customHeight="true" outlineLevel="0" collapsed="false">
      <c r="A269" s="62" t="n">
        <v>243</v>
      </c>
      <c r="B269" s="59" t="n">
        <v>0.477443916312119</v>
      </c>
      <c r="C269" s="59" t="n">
        <v>1.28665094434016</v>
      </c>
      <c r="D269" s="59" t="n">
        <v>1.60243250549543</v>
      </c>
      <c r="E269" s="60" t="n">
        <v>-0.000752790887367235</v>
      </c>
      <c r="F269" s="61" t="n">
        <v>0.130620559034331</v>
      </c>
      <c r="G269" s="55" t="n">
        <v>11.4455885920997</v>
      </c>
      <c r="H269" s="62" t="n">
        <v>0</v>
      </c>
      <c r="I269" s="62" t="n">
        <v>0</v>
      </c>
      <c r="J269" s="62" t="n">
        <v>0</v>
      </c>
      <c r="K269" s="62" t="n">
        <v>0</v>
      </c>
      <c r="L269" s="62" t="n">
        <v>0</v>
      </c>
      <c r="M269" s="61" t="n">
        <v>0.158402847561654</v>
      </c>
    </row>
    <row r="270" customFormat="false" ht="15" hidden="false" customHeight="true" outlineLevel="0" collapsed="false">
      <c r="A270" s="62" t="n">
        <v>244</v>
      </c>
      <c r="B270" s="59" t="n">
        <v>-0.506711314994921</v>
      </c>
      <c r="C270" s="59" t="n">
        <v>-0.0294996742008733</v>
      </c>
      <c r="D270" s="59" t="n">
        <v>-0.471685667049864</v>
      </c>
      <c r="E270" s="60" t="n">
        <v>0.00081455928748024</v>
      </c>
      <c r="F270" s="61" t="n">
        <v>0.265043022163908</v>
      </c>
      <c r="G270" s="55" t="n">
        <v>63.8141518650277</v>
      </c>
      <c r="H270" s="62" t="n">
        <v>0</v>
      </c>
      <c r="I270" s="62" t="n">
        <v>0</v>
      </c>
      <c r="J270" s="62" t="n">
        <v>0</v>
      </c>
      <c r="K270" s="62" t="n">
        <v>0</v>
      </c>
      <c r="L270" s="62" t="n">
        <v>0</v>
      </c>
      <c r="M270" s="61" t="n">
        <v>0.159519907829242</v>
      </c>
    </row>
    <row r="271" customFormat="false" ht="15" hidden="false" customHeight="true" outlineLevel="0" collapsed="false">
      <c r="A271" s="62" t="n">
        <v>245</v>
      </c>
      <c r="B271" s="59" t="n">
        <v>-0.230412639839532</v>
      </c>
      <c r="C271" s="59" t="n">
        <v>0.142425841344972</v>
      </c>
      <c r="D271" s="59" t="n">
        <v>0.151154614675927</v>
      </c>
      <c r="E271" s="60" t="n">
        <v>0.00830426332688147</v>
      </c>
      <c r="F271" s="61" t="n">
        <v>0.216659971667622</v>
      </c>
      <c r="G271" s="55" t="n">
        <v>92.4874640551438</v>
      </c>
      <c r="H271" s="62" t="n">
        <v>0</v>
      </c>
      <c r="I271" s="62" t="n">
        <v>0</v>
      </c>
      <c r="J271" s="62" t="n">
        <v>0</v>
      </c>
      <c r="K271" s="62" t="n">
        <v>0</v>
      </c>
      <c r="L271" s="62" t="n">
        <v>0</v>
      </c>
      <c r="M271" s="61" t="n">
        <v>0.158405571513046</v>
      </c>
    </row>
    <row r="272" customFormat="false" ht="15" hidden="false" customHeight="true" outlineLevel="0" collapsed="false">
      <c r="A272" s="62" t="n">
        <v>246</v>
      </c>
      <c r="B272" s="59" t="n">
        <v>-0.730432292328098</v>
      </c>
      <c r="C272" s="59" t="n">
        <v>0.171207279884214</v>
      </c>
      <c r="D272" s="59" t="n">
        <v>-0.106336160230298</v>
      </c>
      <c r="E272" s="60" t="n">
        <v>0.000743943977779737</v>
      </c>
      <c r="F272" s="61" t="n">
        <v>0.30810456333692</v>
      </c>
      <c r="G272" s="55" t="n">
        <v>81.1354440047752</v>
      </c>
      <c r="H272" s="62" t="n">
        <v>0</v>
      </c>
      <c r="I272" s="62" t="n">
        <v>0</v>
      </c>
      <c r="J272" s="62" t="n">
        <v>0</v>
      </c>
      <c r="K272" s="62" t="n">
        <v>0</v>
      </c>
      <c r="L272" s="62" t="n">
        <v>0</v>
      </c>
      <c r="M272" s="61" t="n">
        <v>0.158987481916258</v>
      </c>
    </row>
    <row r="273" customFormat="false" ht="15" hidden="false" customHeight="true" outlineLevel="0" collapsed="false">
      <c r="A273" s="62" t="n">
        <v>247</v>
      </c>
      <c r="B273" s="59" t="n">
        <v>-0.529687506542088</v>
      </c>
      <c r="C273" s="59" t="n">
        <v>0.194070967594818</v>
      </c>
      <c r="D273" s="59" t="n">
        <v>0.946116529412302</v>
      </c>
      <c r="E273" s="60" t="n">
        <v>-0.016299102347567</v>
      </c>
      <c r="F273" s="61" t="n">
        <v>0.269312830400334</v>
      </c>
      <c r="G273" s="55" t="n">
        <v>-37.5101013642358</v>
      </c>
      <c r="H273" s="62" t="n">
        <v>0</v>
      </c>
      <c r="I273" s="62" t="n">
        <v>0</v>
      </c>
      <c r="J273" s="62" t="n">
        <v>0</v>
      </c>
      <c r="K273" s="62" t="n">
        <v>0</v>
      </c>
      <c r="L273" s="62" t="n">
        <v>0</v>
      </c>
      <c r="M273" s="61" t="n">
        <v>0.158744101979731</v>
      </c>
    </row>
    <row r="274" customFormat="false" ht="15" hidden="false" customHeight="true" outlineLevel="0" collapsed="false">
      <c r="A274" s="62" t="n">
        <v>248</v>
      </c>
      <c r="B274" s="59" t="n">
        <v>-0.227317611928476</v>
      </c>
      <c r="C274" s="59" t="n">
        <v>0.935903037874376</v>
      </c>
      <c r="D274" s="59" t="n">
        <v>-0.925176193016903</v>
      </c>
      <c r="E274" s="60" t="n">
        <v>-0.0140953374337032</v>
      </c>
      <c r="F274" s="61" t="n">
        <v>0.216150087910728</v>
      </c>
      <c r="G274" s="55" t="n">
        <v>-48.4474577314787</v>
      </c>
      <c r="H274" s="62" t="n">
        <v>0</v>
      </c>
      <c r="I274" s="62" t="n">
        <v>0</v>
      </c>
      <c r="J274" s="62" t="n">
        <v>0</v>
      </c>
      <c r="K274" s="62" t="n">
        <v>0</v>
      </c>
      <c r="L274" s="62" t="n">
        <v>0</v>
      </c>
      <c r="M274" s="61" t="n">
        <v>0.160337816199191</v>
      </c>
    </row>
    <row r="275" customFormat="false" ht="15" hidden="false" customHeight="true" outlineLevel="0" collapsed="false">
      <c r="A275" s="62" t="n">
        <v>249</v>
      </c>
      <c r="B275" s="59" t="n">
        <v>-0.351074387467642</v>
      </c>
      <c r="C275" s="59" t="n">
        <v>0.923095386365027</v>
      </c>
      <c r="D275" s="59" t="n">
        <v>0.134361503671832</v>
      </c>
      <c r="E275" s="60" t="n">
        <v>0.00406621662255189</v>
      </c>
      <c r="F275" s="61" t="n">
        <v>0.237101045065883</v>
      </c>
      <c r="G275" s="55" t="n">
        <v>72.6381273744342</v>
      </c>
      <c r="H275" s="62" t="n">
        <v>0</v>
      </c>
      <c r="I275" s="62" t="n">
        <v>0</v>
      </c>
      <c r="J275" s="62" t="n">
        <v>0</v>
      </c>
      <c r="K275" s="62" t="n">
        <v>0</v>
      </c>
      <c r="L275" s="62" t="n">
        <v>0</v>
      </c>
      <c r="M275" s="61" t="n">
        <v>0.158430316644589</v>
      </c>
    </row>
    <row r="276" customFormat="false" ht="15" hidden="false" customHeight="true" outlineLevel="0" collapsed="false">
      <c r="A276" s="62" t="n">
        <v>250</v>
      </c>
      <c r="B276" s="59" t="n">
        <v>-0.276998681076273</v>
      </c>
      <c r="C276" s="59" t="n">
        <v>0.432384300156266</v>
      </c>
      <c r="D276" s="59" t="n">
        <v>0.0957792411828766</v>
      </c>
      <c r="E276" s="60" t="n">
        <v>0.00462170627384334</v>
      </c>
      <c r="F276" s="61" t="n">
        <v>0.224422481662893</v>
      </c>
      <c r="G276" s="55" t="n">
        <v>70.6530970089681</v>
      </c>
      <c r="H276" s="62" t="n">
        <v>0</v>
      </c>
      <c r="I276" s="62" t="n">
        <v>0</v>
      </c>
      <c r="J276" s="62" t="n">
        <v>0</v>
      </c>
      <c r="K276" s="62" t="n">
        <v>0</v>
      </c>
      <c r="L276" s="62" t="n">
        <v>0</v>
      </c>
      <c r="M276" s="61" t="n">
        <v>0.158407577942618</v>
      </c>
    </row>
    <row r="277" customFormat="false" ht="15" hidden="false" customHeight="true" outlineLevel="0" collapsed="false">
      <c r="A277" s="62" t="n">
        <v>251</v>
      </c>
      <c r="B277" s="59" t="n">
        <v>0.759288395831763</v>
      </c>
      <c r="C277" s="59" t="n">
        <v>0.592889490230143</v>
      </c>
      <c r="D277" s="59" t="n">
        <v>1.64094567376265</v>
      </c>
      <c r="E277" s="60" t="n">
        <v>0.0171706918063547</v>
      </c>
      <c r="F277" s="61" t="n">
        <v>0.106052370030561</v>
      </c>
      <c r="G277" s="55" t="n">
        <v>134.631748224725</v>
      </c>
      <c r="H277" s="62" t="n">
        <v>0</v>
      </c>
      <c r="I277" s="62" t="n">
        <v>0</v>
      </c>
      <c r="J277" s="62" t="n">
        <v>0</v>
      </c>
      <c r="K277" s="62" t="n">
        <v>0</v>
      </c>
      <c r="L277" s="62" t="n">
        <v>0</v>
      </c>
      <c r="M277" s="61" t="n">
        <v>0.158402847561654</v>
      </c>
    </row>
    <row r="278" customFormat="false" ht="15" hidden="false" customHeight="true" outlineLevel="0" collapsed="false">
      <c r="A278" s="62" t="n">
        <v>252</v>
      </c>
      <c r="B278" s="59" t="n">
        <v>-0.717403170067594</v>
      </c>
      <c r="C278" s="59" t="n">
        <v>-1.25771053135834</v>
      </c>
      <c r="D278" s="59" t="n">
        <v>-0.15374538610122</v>
      </c>
      <c r="E278" s="60" t="n">
        <v>-0.00814567485855322</v>
      </c>
      <c r="F278" s="61" t="n">
        <v>0.305509358550798</v>
      </c>
      <c r="G278" s="55" t="n">
        <v>44.208073224732</v>
      </c>
      <c r="H278" s="62" t="n">
        <v>0</v>
      </c>
      <c r="I278" s="62" t="n">
        <v>0</v>
      </c>
      <c r="J278" s="62" t="n">
        <v>0</v>
      </c>
      <c r="K278" s="62" t="n">
        <v>0</v>
      </c>
      <c r="L278" s="62" t="n">
        <v>0</v>
      </c>
      <c r="M278" s="61" t="n">
        <v>0.159107977209841</v>
      </c>
    </row>
    <row r="279" customFormat="false" ht="15" hidden="false" customHeight="true" outlineLevel="0" collapsed="false">
      <c r="A279" s="62" t="n">
        <v>253</v>
      </c>
      <c r="B279" s="59" t="n">
        <v>-1.29803256031581</v>
      </c>
      <c r="C279" s="59" t="n">
        <v>-0.792827117727616</v>
      </c>
      <c r="D279" s="59" t="n">
        <v>-0.689613098227179</v>
      </c>
      <c r="E279" s="60" t="n">
        <v>0.0141927018483528</v>
      </c>
      <c r="F279" s="61" t="n">
        <v>0.429436921305828</v>
      </c>
      <c r="G279" s="55" t="n">
        <v>500.841022437466</v>
      </c>
      <c r="H279" s="62" t="n">
        <v>9</v>
      </c>
      <c r="I279" s="62" t="n">
        <v>0</v>
      </c>
      <c r="J279" s="62" t="n">
        <v>0</v>
      </c>
      <c r="K279" s="62" t="n">
        <v>1</v>
      </c>
      <c r="L279" s="62" t="n">
        <v>0</v>
      </c>
      <c r="M279" s="61" t="n">
        <v>0.999998503609583</v>
      </c>
    </row>
    <row r="280" customFormat="false" ht="15" hidden="false" customHeight="true" outlineLevel="0" collapsed="false">
      <c r="A280" s="62" t="n">
        <v>254</v>
      </c>
      <c r="B280" s="59" t="n">
        <v>0.727607538059754</v>
      </c>
      <c r="C280" s="59" t="n">
        <v>0.333930782141227</v>
      </c>
      <c r="D280" s="59" t="n">
        <v>1.273220029656</v>
      </c>
      <c r="E280" s="60" t="n">
        <v>-0.014684611503225</v>
      </c>
      <c r="F280" s="61" t="n">
        <v>0.108634079651763</v>
      </c>
      <c r="G280" s="55" t="n">
        <v>-71.1466793085569</v>
      </c>
      <c r="H280" s="62" t="n">
        <v>0</v>
      </c>
      <c r="I280" s="62" t="n">
        <v>0</v>
      </c>
      <c r="J280" s="62" t="n">
        <v>0</v>
      </c>
      <c r="K280" s="62" t="n">
        <v>0</v>
      </c>
      <c r="L280" s="62" t="n">
        <v>0</v>
      </c>
      <c r="M280" s="61" t="n">
        <v>0.158402847561654</v>
      </c>
    </row>
    <row r="281" customFormat="false" ht="15" hidden="false" customHeight="true" outlineLevel="0" collapsed="false">
      <c r="A281" s="62" t="n">
        <v>255</v>
      </c>
      <c r="B281" s="59" t="n">
        <v>-0.404573474213822</v>
      </c>
      <c r="C281" s="59" t="n">
        <v>-1.70262510956812</v>
      </c>
      <c r="D281" s="59" t="n">
        <v>-0.850997921792378</v>
      </c>
      <c r="E281" s="60" t="n">
        <v>0.0180295668978812</v>
      </c>
      <c r="F281" s="61" t="n">
        <v>0.246509670145209</v>
      </c>
      <c r="G281" s="55" t="n">
        <v>209.761925903445</v>
      </c>
      <c r="H281" s="62" t="n">
        <v>0</v>
      </c>
      <c r="I281" s="62" t="n">
        <v>0</v>
      </c>
      <c r="J281" s="62" t="n">
        <v>0</v>
      </c>
      <c r="K281" s="62" t="n">
        <v>0</v>
      </c>
      <c r="L281" s="62" t="n">
        <v>0</v>
      </c>
      <c r="M281" s="61" t="n">
        <v>0.160602693475897</v>
      </c>
    </row>
    <row r="282" customFormat="false" ht="15" hidden="false" customHeight="true" outlineLevel="0" collapsed="false">
      <c r="A282" s="62" t="n">
        <v>256</v>
      </c>
      <c r="B282" s="59" t="n">
        <v>3.43095279721199</v>
      </c>
      <c r="C282" s="59" t="n">
        <v>0.660967207659999</v>
      </c>
      <c r="D282" s="59" t="n">
        <v>3.0472786982982</v>
      </c>
      <c r="E282" s="60" t="n">
        <v>0.0282350139832194</v>
      </c>
      <c r="F282" s="61" t="n">
        <v>0.00748289289608234</v>
      </c>
      <c r="G282" s="55" t="n">
        <v>210.953130135253</v>
      </c>
      <c r="H282" s="62" t="n">
        <v>0</v>
      </c>
      <c r="I282" s="62" t="n">
        <v>0</v>
      </c>
      <c r="J282" s="62" t="n">
        <v>0</v>
      </c>
      <c r="K282" s="62" t="n">
        <v>0</v>
      </c>
      <c r="L282" s="62" t="n">
        <v>0</v>
      </c>
      <c r="M282" s="61" t="n">
        <v>0.158402847561654</v>
      </c>
    </row>
    <row r="283" customFormat="false" ht="15" hidden="false" customHeight="true" outlineLevel="0" collapsed="false">
      <c r="A283" s="62" t="n">
        <v>257</v>
      </c>
      <c r="B283" s="59" t="n">
        <v>0.105990164379402</v>
      </c>
      <c r="C283" s="59" t="n">
        <v>-0.0449221017469177</v>
      </c>
      <c r="D283" s="59" t="n">
        <v>-0.545514961393462</v>
      </c>
      <c r="E283" s="60" t="n">
        <v>0.0107354245870822</v>
      </c>
      <c r="F283" s="61" t="n">
        <v>0.168663435422683</v>
      </c>
      <c r="G283" s="55" t="n">
        <v>91.697786303516</v>
      </c>
      <c r="H283" s="62" t="n">
        <v>0</v>
      </c>
      <c r="I283" s="62" t="n">
        <v>0</v>
      </c>
      <c r="J283" s="62" t="n">
        <v>0</v>
      </c>
      <c r="K283" s="62" t="n">
        <v>0</v>
      </c>
      <c r="L283" s="62" t="n">
        <v>0</v>
      </c>
      <c r="M283" s="61" t="n">
        <v>0.158998696498588</v>
      </c>
    </row>
    <row r="284" customFormat="false" ht="15" hidden="false" customHeight="true" outlineLevel="0" collapsed="false">
      <c r="A284" s="62" t="n">
        <v>258</v>
      </c>
      <c r="B284" s="59" t="n">
        <v>0.887889653487467</v>
      </c>
      <c r="C284" s="59" t="n">
        <v>0.215812271660166</v>
      </c>
      <c r="D284" s="59" t="n">
        <v>0.546981594905534</v>
      </c>
      <c r="E284" s="60" t="n">
        <v>0.0166527744324659</v>
      </c>
      <c r="F284" s="61" t="n">
        <v>0.0960279941516721</v>
      </c>
      <c r="G284" s="55" t="n">
        <v>131.29819079542</v>
      </c>
      <c r="H284" s="62" t="n">
        <v>0</v>
      </c>
      <c r="I284" s="62" t="n">
        <v>0</v>
      </c>
      <c r="J284" s="62" t="n">
        <v>0</v>
      </c>
      <c r="K284" s="62" t="n">
        <v>0</v>
      </c>
      <c r="L284" s="62" t="n">
        <v>0</v>
      </c>
      <c r="M284" s="61" t="n">
        <v>0.158402847561654</v>
      </c>
    </row>
    <row r="285" customFormat="false" ht="15" hidden="false" customHeight="true" outlineLevel="0" collapsed="false">
      <c r="A285" s="62" t="n">
        <v>259</v>
      </c>
      <c r="B285" s="59" t="n">
        <v>-0.539234069065135</v>
      </c>
      <c r="C285" s="59" t="n">
        <v>-0.390138966691494</v>
      </c>
      <c r="D285" s="59" t="n">
        <v>-0.780201159477873</v>
      </c>
      <c r="E285" s="60" t="n">
        <v>0.0202995640264958</v>
      </c>
      <c r="F285" s="61" t="n">
        <v>0.271097573402833</v>
      </c>
      <c r="G285" s="55" t="n">
        <v>203.722518960049</v>
      </c>
      <c r="H285" s="62" t="n">
        <v>0</v>
      </c>
      <c r="I285" s="62" t="n">
        <v>0</v>
      </c>
      <c r="J285" s="62" t="n">
        <v>0</v>
      </c>
      <c r="K285" s="62" t="n">
        <v>0</v>
      </c>
      <c r="L285" s="62" t="n">
        <v>0</v>
      </c>
      <c r="M285" s="61" t="n">
        <v>0.160468714368152</v>
      </c>
    </row>
    <row r="286" customFormat="false" ht="15" hidden="false" customHeight="true" outlineLevel="0" collapsed="false">
      <c r="A286" s="62" t="n">
        <v>260</v>
      </c>
      <c r="B286" s="59" t="n">
        <v>0.530358060372144</v>
      </c>
      <c r="C286" s="59" t="n">
        <v>1.60470809481852</v>
      </c>
      <c r="D286" s="59" t="n">
        <v>0.43118028526673</v>
      </c>
      <c r="E286" s="60" t="n">
        <v>-0.0073237422743352</v>
      </c>
      <c r="F286" s="61" t="n">
        <v>0.125730060977742</v>
      </c>
      <c r="G286" s="55" t="n">
        <v>-27.7215669620304</v>
      </c>
      <c r="H286" s="62" t="n">
        <v>0</v>
      </c>
      <c r="I286" s="62" t="n">
        <v>0</v>
      </c>
      <c r="J286" s="62" t="n">
        <v>0</v>
      </c>
      <c r="K286" s="62" t="n">
        <v>0</v>
      </c>
      <c r="L286" s="62" t="n">
        <v>0</v>
      </c>
      <c r="M286" s="61" t="n">
        <v>0.158402847561654</v>
      </c>
    </row>
    <row r="287" customFormat="false" ht="15" hidden="false" customHeight="true" outlineLevel="0" collapsed="false">
      <c r="A287" s="62" t="n">
        <v>261</v>
      </c>
      <c r="B287" s="59" t="n">
        <v>-0.362003432826243</v>
      </c>
      <c r="C287" s="59" t="n">
        <v>-0.25607921588606</v>
      </c>
      <c r="D287" s="59" t="n">
        <v>-0.618998979381929</v>
      </c>
      <c r="E287" s="60" t="n">
        <v>0.00296900705482447</v>
      </c>
      <c r="F287" s="61" t="n">
        <v>0.239006069340106</v>
      </c>
      <c r="G287" s="55" t="n">
        <v>68.0877692395341</v>
      </c>
      <c r="H287" s="62" t="n">
        <v>0</v>
      </c>
      <c r="I287" s="62" t="n">
        <v>0</v>
      </c>
      <c r="J287" s="62" t="n">
        <v>0</v>
      </c>
      <c r="K287" s="62" t="n">
        <v>0</v>
      </c>
      <c r="L287" s="62" t="n">
        <v>0</v>
      </c>
      <c r="M287" s="61" t="n">
        <v>0.159712331233097</v>
      </c>
    </row>
    <row r="288" customFormat="false" ht="15" hidden="false" customHeight="true" outlineLevel="0" collapsed="false">
      <c r="A288" s="62" t="n">
        <v>262</v>
      </c>
      <c r="B288" s="59" t="n">
        <v>0.847465776915454</v>
      </c>
      <c r="C288" s="59" t="n">
        <v>0.68521326920557</v>
      </c>
      <c r="D288" s="59" t="n">
        <v>0.538693235185483</v>
      </c>
      <c r="E288" s="60" t="n">
        <v>0.0054543503446469</v>
      </c>
      <c r="F288" s="61" t="n">
        <v>0.0991009404240599</v>
      </c>
      <c r="G288" s="55" t="n">
        <v>53.7368361637901</v>
      </c>
      <c r="H288" s="62" t="n">
        <v>0</v>
      </c>
      <c r="I288" s="62" t="n">
        <v>0</v>
      </c>
      <c r="J288" s="62" t="n">
        <v>0</v>
      </c>
      <c r="K288" s="62" t="n">
        <v>0</v>
      </c>
      <c r="L288" s="62" t="n">
        <v>0</v>
      </c>
      <c r="M288" s="61" t="n">
        <v>0.158402847561654</v>
      </c>
    </row>
    <row r="289" customFormat="false" ht="15" hidden="false" customHeight="true" outlineLevel="0" collapsed="false">
      <c r="A289" s="62" t="n">
        <v>263</v>
      </c>
      <c r="B289" s="59" t="n">
        <v>1.13464893813902</v>
      </c>
      <c r="C289" s="59" t="n">
        <v>0.803632124749231</v>
      </c>
      <c r="D289" s="59" t="n">
        <v>0.781127959962607</v>
      </c>
      <c r="E289" s="60" t="n">
        <v>-0.0314133874496089</v>
      </c>
      <c r="F289" s="61" t="n">
        <v>0.0787736912404345</v>
      </c>
      <c r="G289" s="55" t="n">
        <v>-170.997586690669</v>
      </c>
      <c r="H289" s="62" t="n">
        <v>0</v>
      </c>
      <c r="I289" s="62" t="n">
        <v>0</v>
      </c>
      <c r="J289" s="62" t="n">
        <v>0</v>
      </c>
      <c r="K289" s="62" t="n">
        <v>0</v>
      </c>
      <c r="L289" s="62" t="n">
        <v>0</v>
      </c>
      <c r="M289" s="61" t="n">
        <v>0.158402847561654</v>
      </c>
    </row>
    <row r="290" customFormat="false" ht="15" hidden="false" customHeight="true" outlineLevel="0" collapsed="false">
      <c r="A290" s="62" t="n">
        <v>264</v>
      </c>
      <c r="B290" s="59" t="n">
        <v>-0.370277370480708</v>
      </c>
      <c r="C290" s="59" t="n">
        <v>0.21270481442898</v>
      </c>
      <c r="D290" s="59" t="n">
        <v>-0.326430882253365</v>
      </c>
      <c r="E290" s="60" t="n">
        <v>0.00676818573607845</v>
      </c>
      <c r="F290" s="61" t="n">
        <v>0.240454119274816</v>
      </c>
      <c r="G290" s="55" t="n">
        <v>93.3420910276976</v>
      </c>
      <c r="H290" s="62" t="n">
        <v>0</v>
      </c>
      <c r="I290" s="62" t="n">
        <v>0</v>
      </c>
      <c r="J290" s="62" t="n">
        <v>0</v>
      </c>
      <c r="K290" s="62" t="n">
        <v>0</v>
      </c>
      <c r="L290" s="62" t="n">
        <v>0</v>
      </c>
      <c r="M290" s="61" t="n">
        <v>0.159111192504342</v>
      </c>
    </row>
    <row r="291" customFormat="false" ht="15" hidden="false" customHeight="true" outlineLevel="0" collapsed="false">
      <c r="A291" s="62" t="n">
        <v>265</v>
      </c>
      <c r="B291" s="59" t="n">
        <v>-0.0302698566001602</v>
      </c>
      <c r="C291" s="59" t="n">
        <v>0.0280690232486789</v>
      </c>
      <c r="D291" s="59" t="n">
        <v>0.16666111943195</v>
      </c>
      <c r="E291" s="60" t="n">
        <v>0.0173803564089208</v>
      </c>
      <c r="F291" s="61" t="n">
        <v>0.185207069117069</v>
      </c>
      <c r="G291" s="55" t="n">
        <v>138.948359751475</v>
      </c>
      <c r="H291" s="62" t="n">
        <v>0</v>
      </c>
      <c r="I291" s="62" t="n">
        <v>0</v>
      </c>
      <c r="J291" s="62" t="n">
        <v>0</v>
      </c>
      <c r="K291" s="62" t="n">
        <v>0</v>
      </c>
      <c r="L291" s="62" t="n">
        <v>0</v>
      </c>
      <c r="M291" s="61" t="n">
        <v>0.158403235329223</v>
      </c>
    </row>
    <row r="292" customFormat="false" ht="15" hidden="false" customHeight="true" outlineLevel="0" collapsed="false">
      <c r="A292" s="62" t="n">
        <v>266</v>
      </c>
      <c r="B292" s="59" t="n">
        <v>1.08671159729853</v>
      </c>
      <c r="C292" s="59" t="n">
        <v>0.249049487619079</v>
      </c>
      <c r="D292" s="59" t="n">
        <v>0.370368909445553</v>
      </c>
      <c r="E292" s="60" t="n">
        <v>0.00384123612936801</v>
      </c>
      <c r="F292" s="61" t="n">
        <v>0.0819277953427106</v>
      </c>
      <c r="G292" s="55" t="n">
        <v>42.861538035905</v>
      </c>
      <c r="H292" s="62" t="n">
        <v>0</v>
      </c>
      <c r="I292" s="62" t="n">
        <v>0</v>
      </c>
      <c r="J292" s="62" t="n">
        <v>0</v>
      </c>
      <c r="K292" s="62" t="n">
        <v>0</v>
      </c>
      <c r="L292" s="62" t="n">
        <v>0</v>
      </c>
      <c r="M292" s="61" t="n">
        <v>0.158402847561654</v>
      </c>
    </row>
    <row r="293" customFormat="false" ht="15" hidden="false" customHeight="true" outlineLevel="0" collapsed="false">
      <c r="A293" s="62" t="n">
        <v>267</v>
      </c>
      <c r="B293" s="59" t="n">
        <v>-0.361388114199215</v>
      </c>
      <c r="C293" s="59" t="n">
        <v>-1.42410863596989</v>
      </c>
      <c r="D293" s="59" t="n">
        <v>0.444702934915772</v>
      </c>
      <c r="E293" s="60" t="n">
        <v>0.00111910908419485</v>
      </c>
      <c r="F293" s="61" t="n">
        <v>0.238898580919225</v>
      </c>
      <c r="G293" s="55" t="n">
        <v>81.1768818588494</v>
      </c>
      <c r="H293" s="62" t="n">
        <v>0</v>
      </c>
      <c r="I293" s="62" t="n">
        <v>0</v>
      </c>
      <c r="J293" s="62" t="n">
        <v>0</v>
      </c>
      <c r="K293" s="62" t="n">
        <v>0</v>
      </c>
      <c r="L293" s="62" t="n">
        <v>0</v>
      </c>
      <c r="M293" s="61" t="n">
        <v>0.158711953393679</v>
      </c>
    </row>
    <row r="294" customFormat="false" ht="15" hidden="false" customHeight="true" outlineLevel="0" collapsed="false">
      <c r="A294" s="62" t="n">
        <v>268</v>
      </c>
      <c r="B294" s="59" t="n">
        <v>-1.75659555265488</v>
      </c>
      <c r="C294" s="59" t="n">
        <v>-1.2818374720621</v>
      </c>
      <c r="D294" s="59" t="n">
        <v>-1.98303532011492</v>
      </c>
      <c r="E294" s="60" t="n">
        <v>-0.00645186292505435</v>
      </c>
      <c r="F294" s="61" t="n">
        <v>0.533981450649123</v>
      </c>
      <c r="G294" s="55" t="n">
        <v>726.660369672858</v>
      </c>
      <c r="H294" s="62" t="n">
        <v>13</v>
      </c>
      <c r="I294" s="62" t="n">
        <v>1</v>
      </c>
      <c r="J294" s="62" t="n">
        <v>2</v>
      </c>
      <c r="K294" s="62" t="n">
        <v>1</v>
      </c>
      <c r="L294" s="62" t="n">
        <v>0</v>
      </c>
      <c r="M294" s="61" t="n">
        <v>0.999999999999994</v>
      </c>
    </row>
    <row r="295" customFormat="false" ht="15" hidden="false" customHeight="true" outlineLevel="0" collapsed="false">
      <c r="A295" s="62" t="n">
        <v>269</v>
      </c>
      <c r="B295" s="59" t="n">
        <v>-1.45284702009774</v>
      </c>
      <c r="C295" s="59" t="n">
        <v>-0.255519482096916</v>
      </c>
      <c r="D295" s="59" t="n">
        <v>-1.16147244459879</v>
      </c>
      <c r="E295" s="60" t="n">
        <v>-0.0195114776912799</v>
      </c>
      <c r="F295" s="61" t="n">
        <v>0.464483976810343</v>
      </c>
      <c r="G295" s="55" t="n">
        <v>317.374723928182</v>
      </c>
      <c r="H295" s="62" t="n">
        <v>5</v>
      </c>
      <c r="I295" s="62" t="n">
        <v>0</v>
      </c>
      <c r="J295" s="62" t="n">
        <v>0</v>
      </c>
      <c r="K295" s="62" t="n">
        <v>1</v>
      </c>
      <c r="L295" s="62" t="n">
        <v>0</v>
      </c>
      <c r="M295" s="61" t="n">
        <v>0.892263433538081</v>
      </c>
    </row>
    <row r="296" customFormat="false" ht="15" hidden="false" customHeight="true" outlineLevel="0" collapsed="false">
      <c r="A296" s="62" t="n">
        <v>270</v>
      </c>
      <c r="B296" s="59" t="n">
        <v>-1.29002026507743</v>
      </c>
      <c r="C296" s="59" t="n">
        <v>-1.58394180569347</v>
      </c>
      <c r="D296" s="59" t="n">
        <v>0.542095228815718</v>
      </c>
      <c r="E296" s="60" t="n">
        <v>0.000840041318053117</v>
      </c>
      <c r="F296" s="61" t="n">
        <v>0.427637585312681</v>
      </c>
      <c r="G296" s="55" t="n">
        <v>148.113290129419</v>
      </c>
      <c r="H296" s="62" t="n">
        <v>0</v>
      </c>
      <c r="I296" s="62" t="n">
        <v>0</v>
      </c>
      <c r="J296" s="62" t="n">
        <v>0</v>
      </c>
      <c r="K296" s="62" t="n">
        <v>0</v>
      </c>
      <c r="L296" s="62" t="n">
        <v>0</v>
      </c>
      <c r="M296" s="61" t="n">
        <v>0.187567401690404</v>
      </c>
    </row>
    <row r="297" customFormat="false" ht="15" hidden="false" customHeight="true" outlineLevel="0" collapsed="false">
      <c r="A297" s="62" t="n">
        <v>271</v>
      </c>
      <c r="B297" s="59" t="n">
        <v>-0.820256601446246</v>
      </c>
      <c r="C297" s="59" t="n">
        <v>-0.276823721090971</v>
      </c>
      <c r="D297" s="59" t="n">
        <v>-0.0395571649104839</v>
      </c>
      <c r="E297" s="60" t="n">
        <v>-0.00356249166663185</v>
      </c>
      <c r="F297" s="61" t="n">
        <v>0.32626877075376</v>
      </c>
      <c r="G297" s="55" t="n">
        <v>82.5903877329476</v>
      </c>
      <c r="H297" s="62" t="n">
        <v>0</v>
      </c>
      <c r="I297" s="62" t="n">
        <v>0</v>
      </c>
      <c r="J297" s="62" t="n">
        <v>0</v>
      </c>
      <c r="K297" s="62" t="n">
        <v>0</v>
      </c>
      <c r="L297" s="62" t="n">
        <v>1</v>
      </c>
      <c r="M297" s="61" t="n">
        <v>0.366162724883836</v>
      </c>
    </row>
    <row r="298" customFormat="false" ht="15" hidden="false" customHeight="true" outlineLevel="0" collapsed="false">
      <c r="A298" s="62" t="n">
        <v>272</v>
      </c>
      <c r="B298" s="59" t="n">
        <v>-0.491794869848451</v>
      </c>
      <c r="C298" s="59" t="n">
        <v>0.181210864028121</v>
      </c>
      <c r="D298" s="59" t="n">
        <v>0.408599832982787</v>
      </c>
      <c r="E298" s="60" t="n">
        <v>0.0095095109807349</v>
      </c>
      <c r="F298" s="61" t="n">
        <v>0.262290539664213</v>
      </c>
      <c r="G298" s="55" t="n">
        <v>122.085743060243</v>
      </c>
      <c r="H298" s="62" t="n">
        <v>0</v>
      </c>
      <c r="I298" s="62" t="n">
        <v>0</v>
      </c>
      <c r="J298" s="62" t="n">
        <v>0</v>
      </c>
      <c r="K298" s="62" t="n">
        <v>0</v>
      </c>
      <c r="L298" s="62" t="n">
        <v>0</v>
      </c>
      <c r="M298" s="61" t="n">
        <v>0.158728822212268</v>
      </c>
    </row>
    <row r="299" customFormat="false" ht="15" hidden="false" customHeight="true" outlineLevel="0" collapsed="false">
      <c r="A299" s="62" t="n">
        <v>273</v>
      </c>
      <c r="B299" s="59" t="n">
        <v>0.315456201903609</v>
      </c>
      <c r="C299" s="59" t="n">
        <v>-0.60969291252947</v>
      </c>
      <c r="D299" s="59" t="n">
        <v>0.674436851233535</v>
      </c>
      <c r="E299" s="60" t="n">
        <v>0.00642989414974891</v>
      </c>
      <c r="F299" s="61" t="n">
        <v>0.146407068559552</v>
      </c>
      <c r="G299" s="55" t="n">
        <v>74.0808567526399</v>
      </c>
      <c r="H299" s="62" t="n">
        <v>0</v>
      </c>
      <c r="I299" s="62" t="n">
        <v>0</v>
      </c>
      <c r="J299" s="62" t="n">
        <v>0</v>
      </c>
      <c r="K299" s="62" t="n">
        <v>0</v>
      </c>
      <c r="L299" s="62" t="n">
        <v>0</v>
      </c>
      <c r="M299" s="61" t="n">
        <v>0.158402847561654</v>
      </c>
    </row>
    <row r="300" customFormat="false" ht="15" hidden="false" customHeight="true" outlineLevel="0" collapsed="false">
      <c r="A300" s="62" t="n">
        <v>274</v>
      </c>
      <c r="B300" s="59" t="n">
        <v>-1.08986680633438</v>
      </c>
      <c r="C300" s="59" t="n">
        <v>0.172510522248945</v>
      </c>
      <c r="D300" s="59" t="n">
        <v>-1.22697793403033</v>
      </c>
      <c r="E300" s="60" t="n">
        <v>-0.00570549295004742</v>
      </c>
      <c r="F300" s="61" t="n">
        <v>0.383331601552377</v>
      </c>
      <c r="G300" s="55" t="n">
        <v>110.89549451433</v>
      </c>
      <c r="H300" s="62" t="n">
        <v>0</v>
      </c>
      <c r="I300" s="62" t="n">
        <v>0</v>
      </c>
      <c r="J300" s="62" t="n">
        <v>0</v>
      </c>
      <c r="K300" s="62" t="n">
        <v>0</v>
      </c>
      <c r="L300" s="62" t="n">
        <v>0</v>
      </c>
      <c r="M300" s="61" t="n">
        <v>0.21932386686065</v>
      </c>
    </row>
    <row r="301" customFormat="false" ht="15" hidden="false" customHeight="true" outlineLevel="0" collapsed="false">
      <c r="A301" s="62" t="n">
        <v>275</v>
      </c>
      <c r="B301" s="59" t="n">
        <v>-1.09943955753817</v>
      </c>
      <c r="C301" s="59" t="n">
        <v>-0.737375562252153</v>
      </c>
      <c r="D301" s="59" t="n">
        <v>-0.0205337693331758</v>
      </c>
      <c r="E301" s="60" t="n">
        <v>0.0040991310370401</v>
      </c>
      <c r="F301" s="61" t="n">
        <v>0.385418336239772</v>
      </c>
      <c r="G301" s="55" t="n">
        <v>140.060577388027</v>
      </c>
      <c r="H301" s="62" t="n">
        <v>0</v>
      </c>
      <c r="I301" s="62" t="n">
        <v>0</v>
      </c>
      <c r="J301" s="62" t="n">
        <v>0</v>
      </c>
      <c r="K301" s="62" t="n">
        <v>0</v>
      </c>
      <c r="L301" s="62" t="n">
        <v>0</v>
      </c>
      <c r="M301" s="61" t="n">
        <v>0.16265978894514</v>
      </c>
    </row>
    <row r="302" customFormat="false" ht="15" hidden="false" customHeight="true" outlineLevel="0" collapsed="false">
      <c r="A302" s="62" t="n">
        <v>276</v>
      </c>
      <c r="B302" s="59" t="n">
        <v>-0.0879341331790945</v>
      </c>
      <c r="C302" s="59" t="n">
        <v>0.319612706411446</v>
      </c>
      <c r="D302" s="59" t="n">
        <v>0.310705768082185</v>
      </c>
      <c r="E302" s="60" t="n">
        <v>0.000347821655201269</v>
      </c>
      <c r="F302" s="61" t="n">
        <v>0.193950450203813</v>
      </c>
      <c r="G302" s="55" t="n">
        <v>42.9903019727842</v>
      </c>
      <c r="H302" s="62" t="n">
        <v>0</v>
      </c>
      <c r="I302" s="62" t="n">
        <v>0</v>
      </c>
      <c r="J302" s="62" t="n">
        <v>0</v>
      </c>
      <c r="K302" s="62" t="n">
        <v>0</v>
      </c>
      <c r="L302" s="62" t="n">
        <v>1</v>
      </c>
      <c r="M302" s="61" t="n">
        <v>0.361724246521086</v>
      </c>
    </row>
    <row r="303" customFormat="false" ht="15" hidden="false" customHeight="true" outlineLevel="0" collapsed="false">
      <c r="A303" s="62" t="n">
        <v>277</v>
      </c>
      <c r="B303" s="59" t="n">
        <v>-1.46918965453485</v>
      </c>
      <c r="C303" s="59" t="n">
        <v>-0.199104587145064</v>
      </c>
      <c r="D303" s="59" t="n">
        <v>-2.18986965044848</v>
      </c>
      <c r="E303" s="60" t="n">
        <v>0.00753683115174663</v>
      </c>
      <c r="F303" s="61" t="n">
        <v>0.468208547451485</v>
      </c>
      <c r="G303" s="55" t="n">
        <v>792.546732093628</v>
      </c>
      <c r="H303" s="62" t="n">
        <v>13</v>
      </c>
      <c r="I303" s="62" t="n">
        <v>1</v>
      </c>
      <c r="J303" s="62" t="n">
        <v>2</v>
      </c>
      <c r="K303" s="62" t="n">
        <v>1</v>
      </c>
      <c r="L303" s="62" t="n">
        <v>0</v>
      </c>
      <c r="M303" s="61" t="n">
        <v>0.999999999999994</v>
      </c>
    </row>
    <row r="304" customFormat="false" ht="15" hidden="false" customHeight="true" outlineLevel="0" collapsed="false">
      <c r="A304" s="62" t="n">
        <v>278</v>
      </c>
      <c r="B304" s="59" t="n">
        <v>-1.3316708372306</v>
      </c>
      <c r="C304" s="59" t="n">
        <v>1.00478212802234</v>
      </c>
      <c r="D304" s="59" t="n">
        <v>-1.52283481901604</v>
      </c>
      <c r="E304" s="60" t="n">
        <v>-0.00992188847109318</v>
      </c>
      <c r="F304" s="61" t="n">
        <v>0.437008766714672</v>
      </c>
      <c r="G304" s="55" t="n">
        <v>237.337280776072</v>
      </c>
      <c r="H304" s="62" t="n">
        <v>0</v>
      </c>
      <c r="I304" s="62" t="n">
        <v>0</v>
      </c>
      <c r="J304" s="62" t="n">
        <v>0</v>
      </c>
      <c r="K304" s="62" t="n">
        <v>0</v>
      </c>
      <c r="L304" s="62" t="n">
        <v>0</v>
      </c>
      <c r="M304" s="61" t="n">
        <v>0.488647651658379</v>
      </c>
    </row>
    <row r="305" customFormat="false" ht="15" hidden="false" customHeight="true" outlineLevel="0" collapsed="false">
      <c r="A305" s="62" t="n">
        <v>279</v>
      </c>
      <c r="B305" s="59" t="n">
        <v>-1.08899967342221</v>
      </c>
      <c r="C305" s="59" t="n">
        <v>0.20808580222282</v>
      </c>
      <c r="D305" s="59" t="n">
        <v>0.0426100576057133</v>
      </c>
      <c r="E305" s="60" t="n">
        <v>-0.00897653855294857</v>
      </c>
      <c r="F305" s="61" t="n">
        <v>0.38314275836271</v>
      </c>
      <c r="G305" s="55" t="n">
        <v>52.4589664546631</v>
      </c>
      <c r="H305" s="62" t="n">
        <v>0</v>
      </c>
      <c r="I305" s="62" t="n">
        <v>0</v>
      </c>
      <c r="J305" s="62" t="n">
        <v>0</v>
      </c>
      <c r="K305" s="62" t="n">
        <v>0</v>
      </c>
      <c r="L305" s="62" t="n">
        <v>0</v>
      </c>
      <c r="M305" s="61" t="n">
        <v>0.160084412819004</v>
      </c>
    </row>
    <row r="306" customFormat="false" ht="15" hidden="false" customHeight="true" outlineLevel="0" collapsed="false">
      <c r="A306" s="62" t="n">
        <v>280</v>
      </c>
      <c r="B306" s="59" t="n">
        <v>-0.739073440892515</v>
      </c>
      <c r="C306" s="59" t="n">
        <v>-0.127851633433447</v>
      </c>
      <c r="D306" s="59" t="n">
        <v>-0.141394863364482</v>
      </c>
      <c r="E306" s="60" t="n">
        <v>0.0107862720257156</v>
      </c>
      <c r="F306" s="61" t="n">
        <v>0.309831395586399</v>
      </c>
      <c r="G306" s="55" t="n">
        <v>151.957241445116</v>
      </c>
      <c r="H306" s="62" t="n">
        <v>0</v>
      </c>
      <c r="I306" s="62" t="n">
        <v>0</v>
      </c>
      <c r="J306" s="62" t="n">
        <v>0</v>
      </c>
      <c r="K306" s="62" t="n">
        <v>0</v>
      </c>
      <c r="L306" s="62" t="n">
        <v>0</v>
      </c>
      <c r="M306" s="61" t="n">
        <v>0.159056300355338</v>
      </c>
    </row>
    <row r="307" customFormat="false" ht="15" hidden="false" customHeight="true" outlineLevel="0" collapsed="false">
      <c r="A307" s="62" t="n">
        <v>281</v>
      </c>
      <c r="B307" s="59" t="n">
        <v>2.93996336258691</v>
      </c>
      <c r="C307" s="59" t="n">
        <v>0.896391315058351</v>
      </c>
      <c r="D307" s="59" t="n">
        <v>1.87625170186598</v>
      </c>
      <c r="E307" s="60" t="n">
        <v>-0.00947413212892649</v>
      </c>
      <c r="F307" s="61" t="n">
        <v>0.013432778168242</v>
      </c>
      <c r="G307" s="55" t="n">
        <v>-40.3934799983726</v>
      </c>
      <c r="H307" s="62" t="n">
        <v>0</v>
      </c>
      <c r="I307" s="62" t="n">
        <v>0</v>
      </c>
      <c r="J307" s="62" t="n">
        <v>0</v>
      </c>
      <c r="K307" s="62" t="n">
        <v>0</v>
      </c>
      <c r="L307" s="62" t="n">
        <v>0</v>
      </c>
      <c r="M307" s="61" t="n">
        <v>0.158402847561654</v>
      </c>
    </row>
    <row r="308" customFormat="false" ht="15" hidden="false" customHeight="true" outlineLevel="0" collapsed="false">
      <c r="A308" s="62" t="n">
        <v>282</v>
      </c>
      <c r="B308" s="59" t="n">
        <v>-1.04644593924105</v>
      </c>
      <c r="C308" s="59" t="n">
        <v>-0.353367719549526</v>
      </c>
      <c r="D308" s="59" t="n">
        <v>0.168879796073147</v>
      </c>
      <c r="E308" s="60" t="n">
        <v>0.0018567211715532</v>
      </c>
      <c r="F308" s="61" t="n">
        <v>0.373913337212083</v>
      </c>
      <c r="G308" s="55" t="n">
        <v>117.180736551489</v>
      </c>
      <c r="H308" s="62" t="n">
        <v>0</v>
      </c>
      <c r="I308" s="62" t="n">
        <v>0</v>
      </c>
      <c r="J308" s="62" t="n">
        <v>0</v>
      </c>
      <c r="K308" s="62" t="n">
        <v>0</v>
      </c>
      <c r="L308" s="62" t="n">
        <v>0</v>
      </c>
      <c r="M308" s="61" t="n">
        <v>0.160075723896081</v>
      </c>
    </row>
    <row r="309" customFormat="false" ht="15" hidden="false" customHeight="true" outlineLevel="0" collapsed="false">
      <c r="A309" s="62" t="n">
        <v>283</v>
      </c>
      <c r="B309" s="59" t="n">
        <v>-0.31357904612011</v>
      </c>
      <c r="C309" s="59" t="n">
        <v>0.855590155135719</v>
      </c>
      <c r="D309" s="59" t="n">
        <v>0.234252977872909</v>
      </c>
      <c r="E309" s="60" t="n">
        <v>0.00142883849733673</v>
      </c>
      <c r="F309" s="61" t="n">
        <v>0.230632361433107</v>
      </c>
      <c r="G309" s="55" t="n">
        <v>51.4044554849365</v>
      </c>
      <c r="H309" s="62" t="n">
        <v>0</v>
      </c>
      <c r="I309" s="62" t="n">
        <v>0</v>
      </c>
      <c r="J309" s="62" t="n">
        <v>0</v>
      </c>
      <c r="K309" s="62" t="n">
        <v>0</v>
      </c>
      <c r="L309" s="62" t="n">
        <v>0</v>
      </c>
      <c r="M309" s="61" t="n">
        <v>0.158417784376219</v>
      </c>
    </row>
    <row r="310" customFormat="false" ht="15" hidden="false" customHeight="true" outlineLevel="0" collapsed="false">
      <c r="A310" s="62" t="n">
        <v>284</v>
      </c>
      <c r="B310" s="59" t="n">
        <v>1.88525933732405</v>
      </c>
      <c r="C310" s="59" t="n">
        <v>1.17825737891053</v>
      </c>
      <c r="D310" s="59" t="n">
        <v>1.75162937237339</v>
      </c>
      <c r="E310" s="60" t="n">
        <v>0.0121701800804939</v>
      </c>
      <c r="F310" s="61" t="n">
        <v>0.0404997005923289</v>
      </c>
      <c r="G310" s="55" t="n">
        <v>99.9323890184216</v>
      </c>
      <c r="H310" s="62" t="n">
        <v>0</v>
      </c>
      <c r="I310" s="62" t="n">
        <v>0</v>
      </c>
      <c r="J310" s="62" t="n">
        <v>0</v>
      </c>
      <c r="K310" s="62" t="n">
        <v>0</v>
      </c>
      <c r="L310" s="62" t="n">
        <v>0</v>
      </c>
      <c r="M310" s="61" t="n">
        <v>0.158402847561654</v>
      </c>
    </row>
    <row r="311" customFormat="false" ht="15" hidden="false" customHeight="true" outlineLevel="0" collapsed="false">
      <c r="A311" s="62" t="n">
        <v>285</v>
      </c>
      <c r="B311" s="59" t="n">
        <v>0.214330635300856</v>
      </c>
      <c r="C311" s="59" t="n">
        <v>-1.43994237370879</v>
      </c>
      <c r="D311" s="59" t="n">
        <v>0.971080299988478</v>
      </c>
      <c r="E311" s="60" t="n">
        <v>0.00724147515337201</v>
      </c>
      <c r="F311" s="61" t="n">
        <v>0.156891226866036</v>
      </c>
      <c r="G311" s="55" t="n">
        <v>100.169531561827</v>
      </c>
      <c r="H311" s="62" t="n">
        <v>0</v>
      </c>
      <c r="I311" s="62" t="n">
        <v>0</v>
      </c>
      <c r="J311" s="62" t="n">
        <v>0</v>
      </c>
      <c r="K311" s="62" t="n">
        <v>0</v>
      </c>
      <c r="L311" s="62" t="n">
        <v>0</v>
      </c>
      <c r="M311" s="61" t="n">
        <v>0.158402879539394</v>
      </c>
    </row>
    <row r="312" customFormat="false" ht="15" hidden="false" customHeight="true" outlineLevel="0" collapsed="false">
      <c r="A312" s="62" t="n">
        <v>286</v>
      </c>
      <c r="B312" s="59" t="n">
        <v>-0.598881748331553</v>
      </c>
      <c r="C312" s="59" t="n">
        <v>0.327738528943573</v>
      </c>
      <c r="D312" s="59" t="n">
        <v>0.403888669698672</v>
      </c>
      <c r="E312" s="60" t="n">
        <v>0.0090681910525939</v>
      </c>
      <c r="F312" s="61" t="n">
        <v>0.282388048035508</v>
      </c>
      <c r="G312" s="55" t="n">
        <v>127.661459774294</v>
      </c>
      <c r="H312" s="62" t="n">
        <v>0</v>
      </c>
      <c r="I312" s="62" t="n">
        <v>0</v>
      </c>
      <c r="J312" s="62" t="n">
        <v>0</v>
      </c>
      <c r="K312" s="62" t="n">
        <v>0</v>
      </c>
      <c r="L312" s="62" t="n">
        <v>0</v>
      </c>
      <c r="M312" s="61" t="n">
        <v>0.158772419910178</v>
      </c>
    </row>
    <row r="313" customFormat="false" ht="15" hidden="false" customHeight="true" outlineLevel="0" collapsed="false">
      <c r="A313" s="62" t="n">
        <v>287</v>
      </c>
      <c r="B313" s="59" t="n">
        <v>-0.814084493028369</v>
      </c>
      <c r="C313" s="59" t="n">
        <v>0.0978783249218839</v>
      </c>
      <c r="D313" s="59" t="n">
        <v>-0.437561751823567</v>
      </c>
      <c r="E313" s="60" t="n">
        <v>0.00662362047689007</v>
      </c>
      <c r="F313" s="61" t="n">
        <v>0.325005826418987</v>
      </c>
      <c r="G313" s="55" t="n">
        <v>129.634849414111</v>
      </c>
      <c r="H313" s="62" t="n">
        <v>0</v>
      </c>
      <c r="I313" s="62" t="n">
        <v>0</v>
      </c>
      <c r="J313" s="62" t="n">
        <v>0</v>
      </c>
      <c r="K313" s="62" t="n">
        <v>0</v>
      </c>
      <c r="L313" s="62" t="n">
        <v>0</v>
      </c>
      <c r="M313" s="61" t="n">
        <v>0.160232946048533</v>
      </c>
    </row>
    <row r="314" customFormat="false" ht="15" hidden="false" customHeight="true" outlineLevel="0" collapsed="false">
      <c r="A314" s="62" t="n">
        <v>288</v>
      </c>
      <c r="B314" s="59" t="n">
        <v>-0.0401708904624236</v>
      </c>
      <c r="C314" s="59" t="n">
        <v>-0.252886399570683</v>
      </c>
      <c r="D314" s="59" t="n">
        <v>0.157156213748482</v>
      </c>
      <c r="E314" s="60" t="n">
        <v>0.0130779132042506</v>
      </c>
      <c r="F314" s="61" t="n">
        <v>0.186689842637474</v>
      </c>
      <c r="G314" s="55" t="n">
        <v>114.754487089483</v>
      </c>
      <c r="H314" s="62" t="n">
        <v>0</v>
      </c>
      <c r="I314" s="62" t="n">
        <v>0</v>
      </c>
      <c r="J314" s="62" t="n">
        <v>0</v>
      </c>
      <c r="K314" s="62" t="n">
        <v>0</v>
      </c>
      <c r="L314" s="62" t="n">
        <v>0</v>
      </c>
      <c r="M314" s="61" t="n">
        <v>0.15840328617158</v>
      </c>
    </row>
    <row r="315" customFormat="false" ht="15" hidden="false" customHeight="true" outlineLevel="0" collapsed="false">
      <c r="A315" s="62" t="n">
        <v>289</v>
      </c>
      <c r="B315" s="59" t="n">
        <v>-0.51138218224894</v>
      </c>
      <c r="C315" s="59" t="n">
        <v>0.738260186795824</v>
      </c>
      <c r="D315" s="59" t="n">
        <v>0.100948666924773</v>
      </c>
      <c r="E315" s="60" t="n">
        <v>-0.000879982858155893</v>
      </c>
      <c r="F315" s="61" t="n">
        <v>0.265908093012219</v>
      </c>
      <c r="G315" s="55" t="n">
        <v>52.4863298838363</v>
      </c>
      <c r="H315" s="62" t="n">
        <v>0</v>
      </c>
      <c r="I315" s="62" t="n">
        <v>0</v>
      </c>
      <c r="J315" s="62" t="n">
        <v>0</v>
      </c>
      <c r="K315" s="62" t="n">
        <v>0</v>
      </c>
      <c r="L315" s="62" t="n">
        <v>0</v>
      </c>
      <c r="M315" s="61" t="n">
        <v>0.158736700359877</v>
      </c>
    </row>
    <row r="316" customFormat="false" ht="15" hidden="false" customHeight="true" outlineLevel="0" collapsed="false">
      <c r="A316" s="62" t="n">
        <v>290</v>
      </c>
      <c r="B316" s="59" t="n">
        <v>-0.0727877492629102</v>
      </c>
      <c r="C316" s="59" t="n">
        <v>-0.192836710863276</v>
      </c>
      <c r="D316" s="59" t="n">
        <v>-0.544330246810104</v>
      </c>
      <c r="E316" s="60" t="n">
        <v>-0.0138353350310695</v>
      </c>
      <c r="F316" s="61" t="n">
        <v>0.191628732423684</v>
      </c>
      <c r="G316" s="55" t="n">
        <v>-39.5995608608532</v>
      </c>
      <c r="H316" s="62" t="n">
        <v>0</v>
      </c>
      <c r="I316" s="62" t="n">
        <v>0</v>
      </c>
      <c r="J316" s="62" t="n">
        <v>0</v>
      </c>
      <c r="K316" s="62" t="n">
        <v>0</v>
      </c>
      <c r="L316" s="62" t="n">
        <v>1</v>
      </c>
      <c r="M316" s="61" t="n">
        <v>0.362874777066679</v>
      </c>
    </row>
    <row r="317" customFormat="false" ht="15" hidden="false" customHeight="true" outlineLevel="0" collapsed="false">
      <c r="A317" s="62" t="n">
        <v>291</v>
      </c>
      <c r="B317" s="59" t="n">
        <v>-0.190559333562499</v>
      </c>
      <c r="C317" s="59" t="n">
        <v>0.750750092789895</v>
      </c>
      <c r="D317" s="59" t="n">
        <v>0.358743213355441</v>
      </c>
      <c r="E317" s="60" t="n">
        <v>0.00585638463742082</v>
      </c>
      <c r="F317" s="61" t="n">
        <v>0.210150344618154</v>
      </c>
      <c r="G317" s="55" t="n">
        <v>71.9794406799499</v>
      </c>
      <c r="H317" s="62" t="n">
        <v>0</v>
      </c>
      <c r="I317" s="62" t="n">
        <v>0</v>
      </c>
      <c r="J317" s="62" t="n">
        <v>0</v>
      </c>
      <c r="K317" s="62" t="n">
        <v>0</v>
      </c>
      <c r="L317" s="62" t="n">
        <v>0</v>
      </c>
      <c r="M317" s="61" t="n">
        <v>0.15840446194243</v>
      </c>
    </row>
    <row r="318" customFormat="false" ht="15" hidden="false" customHeight="true" outlineLevel="0" collapsed="false">
      <c r="A318" s="62" t="n">
        <v>292</v>
      </c>
      <c r="B318" s="59" t="n">
        <v>-1.12994705435565</v>
      </c>
      <c r="C318" s="59" t="n">
        <v>0.12509575528465</v>
      </c>
      <c r="D318" s="59" t="n">
        <v>-0.479523569504684</v>
      </c>
      <c r="E318" s="60" t="n">
        <v>0.0196700216954356</v>
      </c>
      <c r="F318" s="61" t="n">
        <v>0.392092402158972</v>
      </c>
      <c r="G318" s="55" t="n">
        <v>248.779549971538</v>
      </c>
      <c r="H318" s="62" t="n">
        <v>0</v>
      </c>
      <c r="I318" s="62" t="n">
        <v>0</v>
      </c>
      <c r="J318" s="62" t="n">
        <v>0</v>
      </c>
      <c r="K318" s="62" t="n">
        <v>0</v>
      </c>
      <c r="L318" s="62" t="n">
        <v>0</v>
      </c>
      <c r="M318" s="61" t="n">
        <v>0.165641591423287</v>
      </c>
    </row>
    <row r="319" customFormat="false" ht="15" hidden="false" customHeight="true" outlineLevel="0" collapsed="false">
      <c r="A319" s="62" t="n">
        <v>293</v>
      </c>
      <c r="B319" s="59" t="n">
        <v>-0.620792933445017</v>
      </c>
      <c r="C319" s="59" t="n">
        <v>0.272946776784257</v>
      </c>
      <c r="D319" s="59" t="n">
        <v>0.0372725220718844</v>
      </c>
      <c r="E319" s="60" t="n">
        <v>-0.000514495153222302</v>
      </c>
      <c r="F319" s="61" t="n">
        <v>0.286594812824874</v>
      </c>
      <c r="G319" s="55" t="n">
        <v>63.8470758124159</v>
      </c>
      <c r="H319" s="62" t="n">
        <v>0</v>
      </c>
      <c r="I319" s="62" t="n">
        <v>0</v>
      </c>
      <c r="J319" s="62" t="n">
        <v>0</v>
      </c>
      <c r="K319" s="62" t="n">
        <v>0</v>
      </c>
      <c r="L319" s="62" t="n">
        <v>0</v>
      </c>
      <c r="M319" s="61" t="n">
        <v>0.158781498546937</v>
      </c>
    </row>
    <row r="320" customFormat="false" ht="15" hidden="false" customHeight="true" outlineLevel="0" collapsed="false">
      <c r="A320" s="62" t="n">
        <v>294</v>
      </c>
      <c r="B320" s="59" t="n">
        <v>-1.52442744539149</v>
      </c>
      <c r="C320" s="59" t="n">
        <v>-0.711654686052713</v>
      </c>
      <c r="D320" s="59" t="n">
        <v>0.813689053604833</v>
      </c>
      <c r="E320" s="60" t="n">
        <v>-0.00712239121740307</v>
      </c>
      <c r="F320" s="61" t="n">
        <v>0.480821536629883</v>
      </c>
      <c r="G320" s="55" t="n">
        <v>115.039363532444</v>
      </c>
      <c r="H320" s="62" t="n">
        <v>0</v>
      </c>
      <c r="I320" s="62" t="n">
        <v>0</v>
      </c>
      <c r="J320" s="62" t="n">
        <v>0</v>
      </c>
      <c r="K320" s="62" t="n">
        <v>0</v>
      </c>
      <c r="L320" s="62" t="n">
        <v>0</v>
      </c>
      <c r="M320" s="61" t="n">
        <v>0.23437362682923</v>
      </c>
    </row>
    <row r="321" customFormat="false" ht="15" hidden="false" customHeight="true" outlineLevel="0" collapsed="false">
      <c r="A321" s="62" t="n">
        <v>295</v>
      </c>
      <c r="B321" s="59" t="n">
        <v>-0.27782239041391</v>
      </c>
      <c r="C321" s="59" t="n">
        <v>0.526093280475245</v>
      </c>
      <c r="D321" s="59" t="n">
        <v>-0.739629127283353</v>
      </c>
      <c r="E321" s="60" t="n">
        <v>-0.0103618297492204</v>
      </c>
      <c r="F321" s="61" t="n">
        <v>0.224561209604352</v>
      </c>
      <c r="G321" s="55" t="n">
        <v>-22.4931790771654</v>
      </c>
      <c r="H321" s="62" t="n">
        <v>0</v>
      </c>
      <c r="I321" s="62" t="n">
        <v>0</v>
      </c>
      <c r="J321" s="62" t="n">
        <v>0</v>
      </c>
      <c r="K321" s="62" t="n">
        <v>0</v>
      </c>
      <c r="L321" s="62" t="n">
        <v>0</v>
      </c>
      <c r="M321" s="61" t="n">
        <v>0.159884483921831</v>
      </c>
    </row>
    <row r="322" customFormat="false" ht="15" hidden="false" customHeight="true" outlineLevel="0" collapsed="false">
      <c r="A322" s="62" t="n">
        <v>296</v>
      </c>
      <c r="B322" s="59" t="n">
        <v>0.462444919755145</v>
      </c>
      <c r="C322" s="59" t="n">
        <v>-0.405380498719696</v>
      </c>
      <c r="D322" s="59" t="n">
        <v>0.878829842964166</v>
      </c>
      <c r="E322" s="60" t="n">
        <v>-0.00780347046035139</v>
      </c>
      <c r="F322" s="61" t="n">
        <v>0.132030535218519</v>
      </c>
      <c r="G322" s="55" t="n">
        <v>-21.2940036361361</v>
      </c>
      <c r="H322" s="62" t="n">
        <v>0</v>
      </c>
      <c r="I322" s="62" t="n">
        <v>0</v>
      </c>
      <c r="J322" s="62" t="n">
        <v>0</v>
      </c>
      <c r="K322" s="62" t="n">
        <v>0</v>
      </c>
      <c r="L322" s="62" t="n">
        <v>0</v>
      </c>
      <c r="M322" s="61" t="n">
        <v>0.158402847561654</v>
      </c>
    </row>
    <row r="323" customFormat="false" ht="15" hidden="false" customHeight="true" outlineLevel="0" collapsed="false">
      <c r="A323" s="62" t="n">
        <v>297</v>
      </c>
      <c r="B323" s="59" t="n">
        <v>-0.208455878856765</v>
      </c>
      <c r="C323" s="59" t="n">
        <v>0.222960987876415</v>
      </c>
      <c r="D323" s="59" t="n">
        <v>0.701228341619139</v>
      </c>
      <c r="E323" s="60" t="n">
        <v>-0.00115124805421124</v>
      </c>
      <c r="F323" s="61" t="n">
        <v>0.213058541611836</v>
      </c>
      <c r="G323" s="55" t="n">
        <v>26.4709649400298</v>
      </c>
      <c r="H323" s="62" t="n">
        <v>0</v>
      </c>
      <c r="I323" s="62" t="n">
        <v>0</v>
      </c>
      <c r="J323" s="62" t="n">
        <v>0</v>
      </c>
      <c r="K323" s="62" t="n">
        <v>0</v>
      </c>
      <c r="L323" s="62" t="n">
        <v>0</v>
      </c>
      <c r="M323" s="61" t="n">
        <v>0.158404908798878</v>
      </c>
    </row>
    <row r="324" customFormat="false" ht="15" hidden="false" customHeight="true" outlineLevel="0" collapsed="false">
      <c r="A324" s="62" t="n">
        <v>298</v>
      </c>
      <c r="B324" s="59" t="n">
        <v>-0.340250494787164</v>
      </c>
      <c r="C324" s="59" t="n">
        <v>-0.842459829211671</v>
      </c>
      <c r="D324" s="59" t="n">
        <v>0.231208533561729</v>
      </c>
      <c r="E324" s="60" t="n">
        <v>0.00677912373891293</v>
      </c>
      <c r="F324" s="61" t="n">
        <v>0.235223022573356</v>
      </c>
      <c r="G324" s="55" t="n">
        <v>104.168260664117</v>
      </c>
      <c r="H324" s="62" t="n">
        <v>0</v>
      </c>
      <c r="I324" s="62" t="n">
        <v>0</v>
      </c>
      <c r="J324" s="62" t="n">
        <v>0</v>
      </c>
      <c r="K324" s="62" t="n">
        <v>0</v>
      </c>
      <c r="L324" s="62" t="n">
        <v>0</v>
      </c>
      <c r="M324" s="61" t="n">
        <v>0.158690014554869</v>
      </c>
    </row>
    <row r="325" customFormat="false" ht="15" hidden="false" customHeight="true" outlineLevel="0" collapsed="false">
      <c r="A325" s="62" t="n">
        <v>299</v>
      </c>
      <c r="B325" s="59" t="n">
        <v>-0.447935532371482</v>
      </c>
      <c r="C325" s="59" t="n">
        <v>-0.21238735723122</v>
      </c>
      <c r="D325" s="59" t="n">
        <v>-0.149555413525021</v>
      </c>
      <c r="E325" s="60" t="n">
        <v>0.00784436825485312</v>
      </c>
      <c r="F325" s="61" t="n">
        <v>0.254287553657653</v>
      </c>
      <c r="G325" s="55" t="n">
        <v>126.027767560982</v>
      </c>
      <c r="H325" s="62" t="n">
        <v>0</v>
      </c>
      <c r="I325" s="62" t="n">
        <v>0</v>
      </c>
      <c r="J325" s="62" t="n">
        <v>0</v>
      </c>
      <c r="K325" s="62" t="n">
        <v>0</v>
      </c>
      <c r="L325" s="62" t="n">
        <v>1</v>
      </c>
      <c r="M325" s="61" t="n">
        <v>0.362280547435256</v>
      </c>
    </row>
    <row r="326" customFormat="false" ht="15" hidden="false" customHeight="true" outlineLevel="0" collapsed="false">
      <c r="A326" s="62" t="n">
        <v>300</v>
      </c>
      <c r="B326" s="59" t="n">
        <v>-0.9324476162185</v>
      </c>
      <c r="C326" s="59" t="n">
        <v>-0.929570039408763</v>
      </c>
      <c r="D326" s="59" t="n">
        <v>-0.460542980523083</v>
      </c>
      <c r="E326" s="60" t="n">
        <v>0.00319291239647237</v>
      </c>
      <c r="F326" s="61" t="n">
        <v>0.349583536855071</v>
      </c>
      <c r="G326" s="55" t="n">
        <v>122.802756805873</v>
      </c>
      <c r="H326" s="62" t="n">
        <v>0</v>
      </c>
      <c r="I326" s="62" t="n">
        <v>0</v>
      </c>
      <c r="J326" s="62" t="n">
        <v>0</v>
      </c>
      <c r="K326" s="62" t="n">
        <v>0</v>
      </c>
      <c r="L326" s="62" t="n">
        <v>0</v>
      </c>
      <c r="M326" s="61" t="n">
        <v>0.163839113918685</v>
      </c>
    </row>
    <row r="327" customFormat="false" ht="15" hidden="false" customHeight="true" outlineLevel="0" collapsed="false">
      <c r="A327" s="62" t="n">
        <v>301</v>
      </c>
      <c r="B327" s="59" t="n">
        <v>-1.08544971388066</v>
      </c>
      <c r="C327" s="59" t="n">
        <v>0.207615687138263</v>
      </c>
      <c r="D327" s="59" t="n">
        <v>-1.57024535532277</v>
      </c>
      <c r="E327" s="60" t="n">
        <v>-0.0113113034209593</v>
      </c>
      <c r="F327" s="61" t="n">
        <v>0.382369967269459</v>
      </c>
      <c r="G327" s="55" t="n">
        <v>113.350079978036</v>
      </c>
      <c r="H327" s="62" t="n">
        <v>0</v>
      </c>
      <c r="I327" s="62" t="n">
        <v>0</v>
      </c>
      <c r="J327" s="62" t="n">
        <v>0</v>
      </c>
      <c r="K327" s="62" t="n">
        <v>0</v>
      </c>
      <c r="L327" s="62" t="n">
        <v>0</v>
      </c>
      <c r="M327" s="61" t="n">
        <v>0.253138019618667</v>
      </c>
    </row>
    <row r="328" customFormat="false" ht="15" hidden="false" customHeight="true" outlineLevel="0" collapsed="false">
      <c r="A328" s="62" t="n">
        <v>302</v>
      </c>
      <c r="B328" s="59" t="n">
        <v>-0.219852212036692</v>
      </c>
      <c r="C328" s="59" t="n">
        <v>-1.10291753250865</v>
      </c>
      <c r="D328" s="59" t="n">
        <v>-0.569838628625049</v>
      </c>
      <c r="E328" s="60" t="n">
        <v>-0.00515771275209739</v>
      </c>
      <c r="F328" s="61" t="n">
        <v>0.21492321992321</v>
      </c>
      <c r="G328" s="55" t="n">
        <v>25.2938186582205</v>
      </c>
      <c r="H328" s="62" t="n">
        <v>0</v>
      </c>
      <c r="I328" s="62" t="n">
        <v>0</v>
      </c>
      <c r="J328" s="62" t="n">
        <v>0</v>
      </c>
      <c r="K328" s="62" t="n">
        <v>0</v>
      </c>
      <c r="L328" s="62" t="n">
        <v>0</v>
      </c>
      <c r="M328" s="61" t="n">
        <v>0.159489288275133</v>
      </c>
    </row>
    <row r="329" customFormat="false" ht="15" hidden="false" customHeight="true" outlineLevel="0" collapsed="false">
      <c r="A329" s="62" t="n">
        <v>303</v>
      </c>
      <c r="B329" s="59" t="n">
        <v>0.0975466100495463</v>
      </c>
      <c r="C329" s="59" t="n">
        <v>-0.257115463556882</v>
      </c>
      <c r="D329" s="59" t="n">
        <v>-0.465354974837733</v>
      </c>
      <c r="E329" s="60" t="n">
        <v>-0.00620189015360767</v>
      </c>
      <c r="F329" s="61" t="n">
        <v>0.16960440674828</v>
      </c>
      <c r="G329" s="55" t="n">
        <v>-14.8740178615328</v>
      </c>
      <c r="H329" s="62" t="n">
        <v>0</v>
      </c>
      <c r="I329" s="62" t="n">
        <v>0</v>
      </c>
      <c r="J329" s="62" t="n">
        <v>0</v>
      </c>
      <c r="K329" s="62" t="n">
        <v>0</v>
      </c>
      <c r="L329" s="62" t="n">
        <v>0</v>
      </c>
      <c r="M329" s="61" t="n">
        <v>0.158887866137124</v>
      </c>
    </row>
    <row r="330" customFormat="false" ht="15" hidden="false" customHeight="true" outlineLevel="0" collapsed="false">
      <c r="A330" s="62" t="n">
        <v>304</v>
      </c>
      <c r="B330" s="59" t="n">
        <v>-2.53093830507437</v>
      </c>
      <c r="C330" s="59" t="n">
        <v>-1.15680822466286</v>
      </c>
      <c r="D330" s="59" t="n">
        <v>-0.945227804784984</v>
      </c>
      <c r="E330" s="60" t="n">
        <v>0.00532047726271365</v>
      </c>
      <c r="F330" s="61" t="n">
        <v>0.681703448754443</v>
      </c>
      <c r="G330" s="55" t="n">
        <v>749.921388342056</v>
      </c>
      <c r="H330" s="62" t="n">
        <v>13</v>
      </c>
      <c r="I330" s="62" t="n">
        <v>1</v>
      </c>
      <c r="J330" s="62" t="n">
        <v>1</v>
      </c>
      <c r="K330" s="62" t="n">
        <v>1</v>
      </c>
      <c r="L330" s="62" t="n">
        <v>0</v>
      </c>
      <c r="M330" s="61" t="n">
        <v>0.999999999999997</v>
      </c>
    </row>
    <row r="331" customFormat="false" ht="15" hidden="false" customHeight="true" outlineLevel="0" collapsed="false">
      <c r="A331" s="62" t="n">
        <v>305</v>
      </c>
      <c r="B331" s="59" t="n">
        <v>-0.1724532895202</v>
      </c>
      <c r="C331" s="59" t="n">
        <v>-0.286163220488111</v>
      </c>
      <c r="D331" s="59" t="n">
        <v>0.641022506410184</v>
      </c>
      <c r="E331" s="60" t="n">
        <v>-0.00330762141988349</v>
      </c>
      <c r="F331" s="61" t="n">
        <v>0.207233113046757</v>
      </c>
      <c r="G331" s="55" t="n">
        <v>14.1788643548085</v>
      </c>
      <c r="H331" s="62" t="n">
        <v>0</v>
      </c>
      <c r="I331" s="62" t="n">
        <v>0</v>
      </c>
      <c r="J331" s="62" t="n">
        <v>0</v>
      </c>
      <c r="K331" s="62" t="n">
        <v>0</v>
      </c>
      <c r="L331" s="62" t="n">
        <v>0</v>
      </c>
      <c r="M331" s="61" t="n">
        <v>0.158404572224985</v>
      </c>
    </row>
    <row r="332" customFormat="false" ht="15" hidden="false" customHeight="true" outlineLevel="0" collapsed="false">
      <c r="A332" s="62" t="n">
        <v>306</v>
      </c>
      <c r="B332" s="59" t="n">
        <v>0.419322457093881</v>
      </c>
      <c r="C332" s="59" t="n">
        <v>0.098421325792983</v>
      </c>
      <c r="D332" s="59" t="n">
        <v>-0.482947875278395</v>
      </c>
      <c r="E332" s="60" t="n">
        <v>0.00966667345433272</v>
      </c>
      <c r="F332" s="61" t="n">
        <v>0.136142872472305</v>
      </c>
      <c r="G332" s="55" t="n">
        <v>83.2779745910239</v>
      </c>
      <c r="H332" s="62" t="n">
        <v>0</v>
      </c>
      <c r="I332" s="62" t="n">
        <v>0</v>
      </c>
      <c r="J332" s="62" t="n">
        <v>0</v>
      </c>
      <c r="K332" s="62" t="n">
        <v>0</v>
      </c>
      <c r="L332" s="62" t="n">
        <v>0</v>
      </c>
      <c r="M332" s="61" t="n">
        <v>0.158905029983755</v>
      </c>
    </row>
    <row r="333" customFormat="false" ht="15" hidden="false" customHeight="true" outlineLevel="0" collapsed="false">
      <c r="A333" s="62" t="n">
        <v>307</v>
      </c>
      <c r="B333" s="59" t="n">
        <v>-0.308445889849902</v>
      </c>
      <c r="C333" s="59" t="n">
        <v>0.754477143998728</v>
      </c>
      <c r="D333" s="59" t="n">
        <v>-0.0626836636395267</v>
      </c>
      <c r="E333" s="60" t="n">
        <v>-0.00463359095855476</v>
      </c>
      <c r="F333" s="61" t="n">
        <v>0.229754918552066</v>
      </c>
      <c r="G333" s="55" t="n">
        <v>13.5874279508983</v>
      </c>
      <c r="H333" s="62" t="n">
        <v>0</v>
      </c>
      <c r="I333" s="62" t="n">
        <v>0</v>
      </c>
      <c r="J333" s="62" t="n">
        <v>0</v>
      </c>
      <c r="K333" s="62" t="n">
        <v>0</v>
      </c>
      <c r="L333" s="62" t="n">
        <v>0</v>
      </c>
      <c r="M333" s="61" t="n">
        <v>0.158478556252124</v>
      </c>
    </row>
    <row r="334" customFormat="false" ht="15" hidden="false" customHeight="true" outlineLevel="0" collapsed="false">
      <c r="A334" s="62" t="n">
        <v>308</v>
      </c>
      <c r="B334" s="59" t="n">
        <v>-1.34262701649729</v>
      </c>
      <c r="C334" s="59" t="n">
        <v>-2.46153257908676</v>
      </c>
      <c r="D334" s="59" t="n">
        <v>1.13989946004497</v>
      </c>
      <c r="E334" s="60" t="n">
        <v>-0.00914764019236396</v>
      </c>
      <c r="F334" s="61" t="n">
        <v>0.439480799787269</v>
      </c>
      <c r="G334" s="55" t="n">
        <v>124.058170720417</v>
      </c>
      <c r="H334" s="62" t="n">
        <v>0</v>
      </c>
      <c r="I334" s="62" t="n">
        <v>0</v>
      </c>
      <c r="J334" s="62" t="n">
        <v>0</v>
      </c>
      <c r="K334" s="62" t="n">
        <v>0</v>
      </c>
      <c r="L334" s="62" t="n">
        <v>0</v>
      </c>
      <c r="M334" s="61" t="n">
        <v>0.229123376038452</v>
      </c>
    </row>
    <row r="335" customFormat="false" ht="15" hidden="false" customHeight="true" outlineLevel="0" collapsed="false">
      <c r="A335" s="62" t="n">
        <v>309</v>
      </c>
      <c r="B335" s="59" t="n">
        <v>0.14921845125031</v>
      </c>
      <c r="C335" s="59" t="n">
        <v>0.284031556726107</v>
      </c>
      <c r="D335" s="59" t="n">
        <v>-0.0717337326196571</v>
      </c>
      <c r="E335" s="60" t="n">
        <v>0.0011859317280762</v>
      </c>
      <c r="F335" s="61" t="n">
        <v>0.163899202635923</v>
      </c>
      <c r="G335" s="55" t="n">
        <v>24.5206662273325</v>
      </c>
      <c r="H335" s="62" t="n">
        <v>0</v>
      </c>
      <c r="I335" s="62" t="n">
        <v>0</v>
      </c>
      <c r="J335" s="62" t="n">
        <v>0</v>
      </c>
      <c r="K335" s="62" t="n">
        <v>0</v>
      </c>
      <c r="L335" s="62" t="n">
        <v>0</v>
      </c>
      <c r="M335" s="61" t="n">
        <v>0.158461841230767</v>
      </c>
    </row>
    <row r="336" customFormat="false" ht="15" hidden="false" customHeight="true" outlineLevel="0" collapsed="false">
      <c r="A336" s="62" t="n">
        <v>310</v>
      </c>
      <c r="B336" s="59" t="n">
        <v>-0.346105914065204</v>
      </c>
      <c r="C336" s="59" t="n">
        <v>0.108560636380759</v>
      </c>
      <c r="D336" s="59" t="n">
        <v>0.287481324272638</v>
      </c>
      <c r="E336" s="60" t="n">
        <v>0.0108369036761642</v>
      </c>
      <c r="F336" s="61" t="n">
        <v>0.236237906081787</v>
      </c>
      <c r="G336" s="55" t="n">
        <v>119.418191983798</v>
      </c>
      <c r="H336" s="62" t="n">
        <v>0</v>
      </c>
      <c r="I336" s="62" t="n">
        <v>0</v>
      </c>
      <c r="J336" s="62" t="n">
        <v>0</v>
      </c>
      <c r="K336" s="62" t="n">
        <v>0</v>
      </c>
      <c r="L336" s="62" t="n">
        <v>0</v>
      </c>
      <c r="M336" s="61" t="n">
        <v>0.158428639127346</v>
      </c>
    </row>
    <row r="337" customFormat="false" ht="15" hidden="false" customHeight="true" outlineLevel="0" collapsed="false">
      <c r="A337" s="62" t="n">
        <v>311</v>
      </c>
      <c r="B337" s="59" t="n">
        <v>-0.853895938768718</v>
      </c>
      <c r="C337" s="59" t="n">
        <v>1.29024628771272</v>
      </c>
      <c r="D337" s="59" t="n">
        <v>-0.560658911637887</v>
      </c>
      <c r="E337" s="60" t="n">
        <v>-0.0280093122413904</v>
      </c>
      <c r="F337" s="61" t="n">
        <v>0.33318914646367</v>
      </c>
      <c r="G337" s="55" t="n">
        <v>-79.2577050824906</v>
      </c>
      <c r="H337" s="62" t="n">
        <v>0</v>
      </c>
      <c r="I337" s="62" t="n">
        <v>0</v>
      </c>
      <c r="J337" s="62" t="n">
        <v>0</v>
      </c>
      <c r="K337" s="62" t="n">
        <v>0</v>
      </c>
      <c r="L337" s="62" t="n">
        <v>0</v>
      </c>
      <c r="M337" s="61" t="n">
        <v>0.164018481297112</v>
      </c>
    </row>
    <row r="338" customFormat="false" ht="15" hidden="false" customHeight="true" outlineLevel="0" collapsed="false">
      <c r="A338" s="62" t="n">
        <v>312</v>
      </c>
      <c r="B338" s="59" t="n">
        <v>-0.684701900319446</v>
      </c>
      <c r="C338" s="59" t="n">
        <v>0.0706813557969067</v>
      </c>
      <c r="D338" s="59" t="n">
        <v>-0.246375137974852</v>
      </c>
      <c r="E338" s="60" t="n">
        <v>0.00481147198612318</v>
      </c>
      <c r="F338" s="61" t="n">
        <v>0.299041468250746</v>
      </c>
      <c r="G338" s="55" t="n">
        <v>105.623198231017</v>
      </c>
      <c r="H338" s="62" t="n">
        <v>0</v>
      </c>
      <c r="I338" s="62" t="n">
        <v>0</v>
      </c>
      <c r="J338" s="62" t="n">
        <v>0</v>
      </c>
      <c r="K338" s="62" t="n">
        <v>0</v>
      </c>
      <c r="L338" s="62" t="n">
        <v>0</v>
      </c>
      <c r="M338" s="61" t="n">
        <v>0.159206098316283</v>
      </c>
    </row>
    <row r="339" customFormat="false" ht="15" hidden="false" customHeight="true" outlineLevel="0" collapsed="false">
      <c r="A339" s="62" t="n">
        <v>313</v>
      </c>
      <c r="B339" s="59" t="n">
        <v>-1.20744838612494</v>
      </c>
      <c r="C339" s="59" t="n">
        <v>-0.932940869854301</v>
      </c>
      <c r="D339" s="59" t="n">
        <v>-0.929249665092228</v>
      </c>
      <c r="E339" s="60" t="n">
        <v>0.0062038230098747</v>
      </c>
      <c r="F339" s="61" t="n">
        <v>0.409199477781868</v>
      </c>
      <c r="G339" s="55" t="n">
        <v>457.376582271329</v>
      </c>
      <c r="H339" s="62" t="n">
        <v>7</v>
      </c>
      <c r="I339" s="62" t="n">
        <v>0</v>
      </c>
      <c r="J339" s="62" t="n">
        <v>0</v>
      </c>
      <c r="K339" s="62" t="n">
        <v>1</v>
      </c>
      <c r="L339" s="62" t="n">
        <v>1</v>
      </c>
      <c r="M339" s="61" t="n">
        <v>0.99999067623244</v>
      </c>
    </row>
    <row r="340" customFormat="false" ht="15" hidden="false" customHeight="true" outlineLevel="0" collapsed="false">
      <c r="A340" s="62" t="n">
        <v>314</v>
      </c>
      <c r="B340" s="59" t="n">
        <v>-0.941751277856008</v>
      </c>
      <c r="C340" s="59" t="n">
        <v>-0.978564822332813</v>
      </c>
      <c r="D340" s="59" t="n">
        <v>-0.630113221318183</v>
      </c>
      <c r="E340" s="60" t="n">
        <v>0.000777158237304496</v>
      </c>
      <c r="F340" s="61" t="n">
        <v>0.351546127406236</v>
      </c>
      <c r="G340" s="55" t="n">
        <v>108.826771802346</v>
      </c>
      <c r="H340" s="62" t="n">
        <v>0</v>
      </c>
      <c r="I340" s="62" t="n">
        <v>0</v>
      </c>
      <c r="J340" s="62" t="n">
        <v>0</v>
      </c>
      <c r="K340" s="62" t="n">
        <v>0</v>
      </c>
      <c r="L340" s="62" t="n">
        <v>0</v>
      </c>
      <c r="M340" s="61" t="n">
        <v>0.165506470737209</v>
      </c>
    </row>
    <row r="341" customFormat="false" ht="15" hidden="false" customHeight="true" outlineLevel="0" collapsed="false">
      <c r="A341" s="62" t="n">
        <v>315</v>
      </c>
      <c r="B341" s="59" t="n">
        <v>-0.177539245295579</v>
      </c>
      <c r="C341" s="59" t="n">
        <v>0.0117613754883993</v>
      </c>
      <c r="D341" s="59" t="n">
        <v>0.583540026664401</v>
      </c>
      <c r="E341" s="60" t="n">
        <v>0.0129436511989553</v>
      </c>
      <c r="F341" s="61" t="n">
        <v>0.208050012894735</v>
      </c>
      <c r="G341" s="55" t="n">
        <v>120.324757619818</v>
      </c>
      <c r="H341" s="62" t="n">
        <v>0</v>
      </c>
      <c r="I341" s="62" t="n">
        <v>0</v>
      </c>
      <c r="J341" s="62" t="n">
        <v>0</v>
      </c>
      <c r="K341" s="62" t="n">
        <v>0</v>
      </c>
      <c r="L341" s="62" t="n">
        <v>0</v>
      </c>
      <c r="M341" s="61" t="n">
        <v>0.158404168465938</v>
      </c>
    </row>
    <row r="342" customFormat="false" ht="15" hidden="false" customHeight="true" outlineLevel="0" collapsed="false">
      <c r="A342" s="62" t="n">
        <v>316</v>
      </c>
      <c r="B342" s="59" t="n">
        <v>0.0375477510922919</v>
      </c>
      <c r="C342" s="59" t="n">
        <v>-0.227771430120399</v>
      </c>
      <c r="D342" s="59" t="n">
        <v>0.624497014075844</v>
      </c>
      <c r="E342" s="60" t="n">
        <v>-0.000837940768442004</v>
      </c>
      <c r="F342" s="61" t="n">
        <v>0.17638866388951</v>
      </c>
      <c r="G342" s="55" t="n">
        <v>16.3568624185266</v>
      </c>
      <c r="H342" s="62" t="n">
        <v>0</v>
      </c>
      <c r="I342" s="62" t="n">
        <v>0</v>
      </c>
      <c r="J342" s="62" t="n">
        <v>0</v>
      </c>
      <c r="K342" s="62" t="n">
        <v>0</v>
      </c>
      <c r="L342" s="62" t="n">
        <v>0</v>
      </c>
      <c r="M342" s="61" t="n">
        <v>0.158403063077783</v>
      </c>
    </row>
    <row r="343" customFormat="false" ht="15" hidden="false" customHeight="true" outlineLevel="0" collapsed="false">
      <c r="A343" s="62" t="n">
        <v>317</v>
      </c>
      <c r="B343" s="59" t="n">
        <v>-1.74350563759539</v>
      </c>
      <c r="C343" s="59" t="n">
        <v>-1.91403895272175</v>
      </c>
      <c r="D343" s="59" t="n">
        <v>-1.96507416926583</v>
      </c>
      <c r="E343" s="60" t="n">
        <v>-0.0119653844832691</v>
      </c>
      <c r="F343" s="61" t="n">
        <v>0.53098801849083</v>
      </c>
      <c r="G343" s="55" t="n">
        <v>697.25236598275</v>
      </c>
      <c r="H343" s="62" t="n">
        <v>12</v>
      </c>
      <c r="I343" s="62" t="n">
        <v>1</v>
      </c>
      <c r="J343" s="62" t="n">
        <v>2</v>
      </c>
      <c r="K343" s="62" t="n">
        <v>1</v>
      </c>
      <c r="L343" s="62" t="n">
        <v>1</v>
      </c>
      <c r="M343" s="61" t="n">
        <v>0.999999999999982</v>
      </c>
    </row>
    <row r="344" customFormat="false" ht="15" hidden="false" customHeight="true" outlineLevel="0" collapsed="false">
      <c r="A344" s="62" t="n">
        <v>318</v>
      </c>
      <c r="B344" s="59" t="n">
        <v>-2.79228240550729</v>
      </c>
      <c r="C344" s="59" t="n">
        <v>-0.117654009535385</v>
      </c>
      <c r="D344" s="59" t="n">
        <v>-2.08205599626546</v>
      </c>
      <c r="E344" s="60" t="n">
        <v>-0.00221933118740775</v>
      </c>
      <c r="F344" s="61" t="n">
        <v>0.723924568573979</v>
      </c>
      <c r="G344" s="55" t="n">
        <v>954.876305548323</v>
      </c>
      <c r="H344" s="62" t="n">
        <v>16</v>
      </c>
      <c r="I344" s="62" t="n">
        <v>4</v>
      </c>
      <c r="J344" s="62" t="n">
        <v>6</v>
      </c>
      <c r="K344" s="62" t="n">
        <v>1</v>
      </c>
      <c r="L344" s="62" t="n">
        <v>0</v>
      </c>
      <c r="M344" s="61" t="n">
        <v>1</v>
      </c>
    </row>
    <row r="345" customFormat="false" ht="15" hidden="false" customHeight="true" outlineLevel="0" collapsed="false">
      <c r="A345" s="62" t="n">
        <v>319</v>
      </c>
      <c r="B345" s="59" t="n">
        <v>-0.447018232719662</v>
      </c>
      <c r="C345" s="59" t="n">
        <v>-0.300471482668572</v>
      </c>
      <c r="D345" s="59" t="n">
        <v>-0.344771347513959</v>
      </c>
      <c r="E345" s="60" t="n">
        <v>-0.0020072351730661</v>
      </c>
      <c r="F345" s="61" t="n">
        <v>0.254121625088597</v>
      </c>
      <c r="G345" s="55" t="n">
        <v>60.851575721347</v>
      </c>
      <c r="H345" s="62" t="n">
        <v>0</v>
      </c>
      <c r="I345" s="62" t="n">
        <v>0</v>
      </c>
      <c r="J345" s="62" t="n">
        <v>0</v>
      </c>
      <c r="K345" s="62" t="n">
        <v>0</v>
      </c>
      <c r="L345" s="62" t="n">
        <v>1</v>
      </c>
      <c r="M345" s="61" t="n">
        <v>0.362823659702615</v>
      </c>
    </row>
    <row r="346" customFormat="false" ht="15" hidden="false" customHeight="true" outlineLevel="0" collapsed="false">
      <c r="A346" s="62" t="n">
        <v>320</v>
      </c>
      <c r="B346" s="59" t="n">
        <v>-0.699662043374813</v>
      </c>
      <c r="C346" s="59" t="n">
        <v>0.789158181910215</v>
      </c>
      <c r="D346" s="59" t="n">
        <v>-0.660018626837097</v>
      </c>
      <c r="E346" s="60" t="n">
        <v>0.00327216675116053</v>
      </c>
      <c r="F346" s="61" t="n">
        <v>0.301992217691851</v>
      </c>
      <c r="G346" s="55" t="n">
        <v>97.0137642174576</v>
      </c>
      <c r="H346" s="62" t="n">
        <v>0</v>
      </c>
      <c r="I346" s="62" t="n">
        <v>0</v>
      </c>
      <c r="J346" s="62" t="n">
        <v>0</v>
      </c>
      <c r="K346" s="62" t="n">
        <v>0</v>
      </c>
      <c r="L346" s="62" t="n">
        <v>0</v>
      </c>
      <c r="M346" s="61" t="n">
        <v>0.163360494868159</v>
      </c>
    </row>
    <row r="347" customFormat="false" ht="15" hidden="false" customHeight="true" outlineLevel="0" collapsed="false">
      <c r="A347" s="62" t="n">
        <v>321</v>
      </c>
      <c r="B347" s="59" t="n">
        <v>0.547336146663487</v>
      </c>
      <c r="C347" s="59" t="n">
        <v>0.88016203743783</v>
      </c>
      <c r="D347" s="59" t="n">
        <v>1.12487311333318</v>
      </c>
      <c r="E347" s="60" t="n">
        <v>-0.0208479049300085</v>
      </c>
      <c r="F347" s="61" t="n">
        <v>0.12418842104435</v>
      </c>
      <c r="G347" s="55" t="n">
        <v>-108.112436078584</v>
      </c>
      <c r="H347" s="62" t="n">
        <v>0</v>
      </c>
      <c r="I347" s="62" t="n">
        <v>0</v>
      </c>
      <c r="J347" s="62" t="n">
        <v>0</v>
      </c>
      <c r="K347" s="62" t="n">
        <v>0</v>
      </c>
      <c r="L347" s="62" t="n">
        <v>0</v>
      </c>
      <c r="M347" s="61" t="n">
        <v>0.158402847561654</v>
      </c>
    </row>
    <row r="348" customFormat="false" ht="15" hidden="false" customHeight="true" outlineLevel="0" collapsed="false">
      <c r="A348" s="62" t="n">
        <v>322</v>
      </c>
      <c r="B348" s="59" t="n">
        <v>-1.32987964564575</v>
      </c>
      <c r="C348" s="59" t="n">
        <v>-1.21036026245245</v>
      </c>
      <c r="D348" s="59" t="n">
        <v>-0.915034240284695</v>
      </c>
      <c r="E348" s="60" t="n">
        <v>0.0160784504970715</v>
      </c>
      <c r="F348" s="61" t="n">
        <v>0.436604885834615</v>
      </c>
      <c r="G348" s="55" t="n">
        <v>568.111332890842</v>
      </c>
      <c r="H348" s="62" t="n">
        <v>11</v>
      </c>
      <c r="I348" s="62" t="n">
        <v>1</v>
      </c>
      <c r="J348" s="62" t="n">
        <v>1</v>
      </c>
      <c r="K348" s="62" t="n">
        <v>1</v>
      </c>
      <c r="L348" s="62" t="n">
        <v>0</v>
      </c>
      <c r="M348" s="61" t="n">
        <v>0.99999999999889</v>
      </c>
    </row>
    <row r="349" customFormat="false" ht="15" hidden="false" customHeight="true" outlineLevel="0" collapsed="false">
      <c r="A349" s="62" t="n">
        <v>323</v>
      </c>
      <c r="B349" s="59" t="n">
        <v>-0.417937286121325</v>
      </c>
      <c r="C349" s="59" t="n">
        <v>0.532455339385635</v>
      </c>
      <c r="D349" s="59" t="n">
        <v>-0.478435777335727</v>
      </c>
      <c r="E349" s="60" t="n">
        <v>-0.000497794918769672</v>
      </c>
      <c r="F349" s="61" t="n">
        <v>0.248892359460676</v>
      </c>
      <c r="G349" s="55" t="n">
        <v>47.4224233679772</v>
      </c>
      <c r="H349" s="62" t="n">
        <v>0</v>
      </c>
      <c r="I349" s="62" t="n">
        <v>0</v>
      </c>
      <c r="J349" s="62" t="n">
        <v>0</v>
      </c>
      <c r="K349" s="62" t="n">
        <v>0</v>
      </c>
      <c r="L349" s="62" t="n">
        <v>0</v>
      </c>
      <c r="M349" s="61" t="n">
        <v>0.159439305215708</v>
      </c>
    </row>
    <row r="350" customFormat="false" ht="15" hidden="false" customHeight="true" outlineLevel="0" collapsed="false">
      <c r="A350" s="62" t="n">
        <v>324</v>
      </c>
      <c r="B350" s="59" t="n">
        <v>0.548445533901424</v>
      </c>
      <c r="C350" s="59" t="n">
        <v>-0.494169773334516</v>
      </c>
      <c r="D350" s="59" t="n">
        <v>1.49980733947841</v>
      </c>
      <c r="E350" s="60" t="n">
        <v>-0.0001893339639353</v>
      </c>
      <c r="F350" s="61" t="n">
        <v>0.124088150765876</v>
      </c>
      <c r="G350" s="55" t="n">
        <v>25.9966515106336</v>
      </c>
      <c r="H350" s="62" t="n">
        <v>0</v>
      </c>
      <c r="I350" s="62" t="n">
        <v>0</v>
      </c>
      <c r="J350" s="62" t="n">
        <v>0</v>
      </c>
      <c r="K350" s="62" t="n">
        <v>0</v>
      </c>
      <c r="L350" s="62" t="n">
        <v>0</v>
      </c>
      <c r="M350" s="61" t="n">
        <v>0.158402847561654</v>
      </c>
    </row>
    <row r="351" customFormat="false" ht="15" hidden="false" customHeight="true" outlineLevel="0" collapsed="false">
      <c r="A351" s="62" t="n">
        <v>325</v>
      </c>
      <c r="B351" s="59" t="n">
        <v>-1.46823121277501</v>
      </c>
      <c r="C351" s="59" t="n">
        <v>-1.15452641931803</v>
      </c>
      <c r="D351" s="59" t="n">
        <v>1.10597834435517</v>
      </c>
      <c r="E351" s="60" t="n">
        <v>0.00668806769168295</v>
      </c>
      <c r="F351" s="61" t="n">
        <v>0.467990013622078</v>
      </c>
      <c r="G351" s="55" t="n">
        <v>202.57615522913</v>
      </c>
      <c r="H351" s="62" t="n">
        <v>0</v>
      </c>
      <c r="I351" s="62" t="n">
        <v>0</v>
      </c>
      <c r="J351" s="62" t="n">
        <v>0</v>
      </c>
      <c r="K351" s="62" t="n">
        <v>0</v>
      </c>
      <c r="L351" s="62" t="n">
        <v>0</v>
      </c>
      <c r="M351" s="61" t="n">
        <v>0.234274866419581</v>
      </c>
    </row>
    <row r="352" customFormat="false" ht="15" hidden="false" customHeight="true" outlineLevel="0" collapsed="false">
      <c r="A352" s="62" t="n">
        <v>326</v>
      </c>
      <c r="B352" s="59" t="n">
        <v>-0.886971310029083</v>
      </c>
      <c r="C352" s="59" t="n">
        <v>-0.272114992100361</v>
      </c>
      <c r="D352" s="59" t="n">
        <v>-0.340596232258802</v>
      </c>
      <c r="E352" s="60" t="n">
        <v>-0.001097182363908</v>
      </c>
      <c r="F352" s="61" t="n">
        <v>0.340053135094049</v>
      </c>
      <c r="G352" s="55" t="n">
        <v>85.190649351872</v>
      </c>
      <c r="H352" s="62" t="n">
        <v>0</v>
      </c>
      <c r="I352" s="62" t="n">
        <v>0</v>
      </c>
      <c r="J352" s="62" t="n">
        <v>0</v>
      </c>
      <c r="K352" s="62" t="n">
        <v>0</v>
      </c>
      <c r="L352" s="62" t="n">
        <v>0</v>
      </c>
      <c r="M352" s="61" t="n">
        <v>0.163315812194191</v>
      </c>
    </row>
    <row r="353" customFormat="false" ht="15" hidden="false" customHeight="true" outlineLevel="0" collapsed="false">
      <c r="A353" s="62" t="n">
        <v>327</v>
      </c>
      <c r="B353" s="59" t="n">
        <v>-0.959552016942887</v>
      </c>
      <c r="C353" s="59" t="n">
        <v>-0.882322474439083</v>
      </c>
      <c r="D353" s="59" t="n">
        <v>-0.533941854009765</v>
      </c>
      <c r="E353" s="60" t="n">
        <v>-0.000352406480891797</v>
      </c>
      <c r="F353" s="61" t="n">
        <v>0.355312977818936</v>
      </c>
      <c r="G353" s="55" t="n">
        <v>101.041444288076</v>
      </c>
      <c r="H353" s="62" t="n">
        <v>0</v>
      </c>
      <c r="I353" s="62" t="n">
        <v>0</v>
      </c>
      <c r="J353" s="62" t="n">
        <v>0</v>
      </c>
      <c r="K353" s="62" t="n">
        <v>0</v>
      </c>
      <c r="L353" s="62" t="n">
        <v>0</v>
      </c>
      <c r="M353" s="61" t="n">
        <v>0.165076870906983</v>
      </c>
    </row>
    <row r="354" customFormat="false" ht="15" hidden="false" customHeight="true" outlineLevel="0" collapsed="false">
      <c r="A354" s="62" t="n">
        <v>328</v>
      </c>
      <c r="B354" s="59" t="n">
        <v>-0.69120565469892</v>
      </c>
      <c r="C354" s="59" t="n">
        <v>-0.0597581876232196</v>
      </c>
      <c r="D354" s="59" t="n">
        <v>-0.1520513730376</v>
      </c>
      <c r="E354" s="60" t="n">
        <v>3.64714974999965E-005</v>
      </c>
      <c r="F354" s="61" t="n">
        <v>0.300322568820125</v>
      </c>
      <c r="G354" s="55" t="n">
        <v>73.514666463173</v>
      </c>
      <c r="H354" s="62" t="n">
        <v>0</v>
      </c>
      <c r="I354" s="62" t="n">
        <v>0</v>
      </c>
      <c r="J354" s="62" t="n">
        <v>0</v>
      </c>
      <c r="K354" s="62" t="n">
        <v>0</v>
      </c>
      <c r="L354" s="62" t="n">
        <v>0</v>
      </c>
      <c r="M354" s="61" t="n">
        <v>0.159043003809627</v>
      </c>
    </row>
    <row r="355" customFormat="false" ht="15" hidden="false" customHeight="true" outlineLevel="0" collapsed="false">
      <c r="A355" s="62" t="n">
        <v>329</v>
      </c>
      <c r="B355" s="59" t="n">
        <v>-0.533066740908068</v>
      </c>
      <c r="C355" s="59" t="n">
        <v>-0.316616155877681</v>
      </c>
      <c r="D355" s="59" t="n">
        <v>0.700003452605687</v>
      </c>
      <c r="E355" s="60" t="n">
        <v>8.11712217411319E-005</v>
      </c>
      <c r="F355" s="61" t="n">
        <v>0.269943871478426</v>
      </c>
      <c r="G355" s="55" t="n">
        <v>62.1965143903846</v>
      </c>
      <c r="H355" s="62" t="n">
        <v>0</v>
      </c>
      <c r="I355" s="62" t="n">
        <v>0</v>
      </c>
      <c r="J355" s="62" t="n">
        <v>0</v>
      </c>
      <c r="K355" s="62" t="n">
        <v>0</v>
      </c>
      <c r="L355" s="62" t="n">
        <v>0</v>
      </c>
      <c r="M355" s="61" t="n">
        <v>0.158754036462933</v>
      </c>
    </row>
    <row r="356" customFormat="false" ht="15" hidden="false" customHeight="true" outlineLevel="0" collapsed="false">
      <c r="A356" s="62" t="n">
        <v>330</v>
      </c>
      <c r="B356" s="59" t="n">
        <v>-1.30554513759389</v>
      </c>
      <c r="C356" s="59" t="n">
        <v>0.111350106822023</v>
      </c>
      <c r="D356" s="59" t="n">
        <v>-1.00412247205392</v>
      </c>
      <c r="E356" s="60" t="n">
        <v>-0.00706062608092558</v>
      </c>
      <c r="F356" s="61" t="n">
        <v>0.431125539411799</v>
      </c>
      <c r="G356" s="55" t="n">
        <v>128.478968232744</v>
      </c>
      <c r="H356" s="62" t="n">
        <v>0</v>
      </c>
      <c r="I356" s="62" t="n">
        <v>0</v>
      </c>
      <c r="J356" s="62" t="n">
        <v>0</v>
      </c>
      <c r="K356" s="62" t="n">
        <v>0</v>
      </c>
      <c r="L356" s="62" t="n">
        <v>0</v>
      </c>
      <c r="M356" s="61" t="n">
        <v>0.233635225054312</v>
      </c>
    </row>
    <row r="357" customFormat="false" ht="15" hidden="false" customHeight="true" outlineLevel="0" collapsed="false">
      <c r="A357" s="62" t="n">
        <v>331</v>
      </c>
      <c r="B357" s="59" t="n">
        <v>-0.361098298488515</v>
      </c>
      <c r="C357" s="59" t="n">
        <v>1.03992588508875</v>
      </c>
      <c r="D357" s="59" t="n">
        <v>-0.799420254031001</v>
      </c>
      <c r="E357" s="60" t="n">
        <v>-0.00400674343339318</v>
      </c>
      <c r="F357" s="61" t="n">
        <v>0.238847963391267</v>
      </c>
      <c r="G357" s="55" t="n">
        <v>22.142444495561</v>
      </c>
      <c r="H357" s="62" t="n">
        <v>0</v>
      </c>
      <c r="I357" s="62" t="n">
        <v>0</v>
      </c>
      <c r="J357" s="62" t="n">
        <v>0</v>
      </c>
      <c r="K357" s="62" t="n">
        <v>0</v>
      </c>
      <c r="L357" s="62" t="n">
        <v>0</v>
      </c>
      <c r="M357" s="61" t="n">
        <v>0.160179726127929</v>
      </c>
    </row>
    <row r="358" customFormat="false" ht="15" hidden="false" customHeight="true" outlineLevel="0" collapsed="false">
      <c r="A358" s="62" t="n">
        <v>332</v>
      </c>
      <c r="B358" s="59" t="n">
        <v>-0.609280147280176</v>
      </c>
      <c r="C358" s="59" t="n">
        <v>-0.103297255433053</v>
      </c>
      <c r="D358" s="59" t="n">
        <v>-1.05004411207738</v>
      </c>
      <c r="E358" s="60" t="n">
        <v>0.00363063412766556</v>
      </c>
      <c r="F358" s="61" t="n">
        <v>0.284380536470734</v>
      </c>
      <c r="G358" s="55" t="n">
        <v>95.2501455409471</v>
      </c>
      <c r="H358" s="62" t="n">
        <v>0</v>
      </c>
      <c r="I358" s="62" t="n">
        <v>0</v>
      </c>
      <c r="J358" s="62" t="n">
        <v>0</v>
      </c>
      <c r="K358" s="62" t="n">
        <v>0</v>
      </c>
      <c r="L358" s="62" t="n">
        <v>0</v>
      </c>
      <c r="M358" s="61" t="n">
        <v>0.165865441133036</v>
      </c>
    </row>
    <row r="359" customFormat="false" ht="15" hidden="false" customHeight="true" outlineLevel="0" collapsed="false">
      <c r="A359" s="62" t="n">
        <v>333</v>
      </c>
      <c r="B359" s="59" t="n">
        <v>-0.0686000087147758</v>
      </c>
      <c r="C359" s="59" t="n">
        <v>1.60014387166163</v>
      </c>
      <c r="D359" s="59" t="n">
        <v>1.430811014812</v>
      </c>
      <c r="E359" s="60" t="n">
        <v>0.00170597908940408</v>
      </c>
      <c r="F359" s="61" t="n">
        <v>0.190989970288053</v>
      </c>
      <c r="G359" s="55" t="n">
        <v>33.2343035175205</v>
      </c>
      <c r="H359" s="62" t="n">
        <v>0</v>
      </c>
      <c r="I359" s="62" t="n">
        <v>0</v>
      </c>
      <c r="J359" s="62" t="n">
        <v>0</v>
      </c>
      <c r="K359" s="62" t="n">
        <v>0</v>
      </c>
      <c r="L359" s="62" t="n">
        <v>0</v>
      </c>
      <c r="M359" s="61" t="n">
        <v>0.15840340238909</v>
      </c>
    </row>
    <row r="360" customFormat="false" ht="15" hidden="false" customHeight="true" outlineLevel="0" collapsed="false">
      <c r="A360" s="62" t="n">
        <v>334</v>
      </c>
      <c r="B360" s="59" t="n">
        <v>0.151990138680109</v>
      </c>
      <c r="C360" s="59" t="n">
        <v>0.444903111243477</v>
      </c>
      <c r="D360" s="59" t="n">
        <v>-0.538415003928289</v>
      </c>
      <c r="E360" s="60" t="n">
        <v>0.00156837569146508</v>
      </c>
      <c r="F360" s="61" t="n">
        <v>0.163596771064436</v>
      </c>
      <c r="G360" s="55" t="n">
        <v>27.1457536595028</v>
      </c>
      <c r="H360" s="62" t="n">
        <v>0</v>
      </c>
      <c r="I360" s="62" t="n">
        <v>0</v>
      </c>
      <c r="J360" s="62" t="n">
        <v>0</v>
      </c>
      <c r="K360" s="62" t="n">
        <v>0</v>
      </c>
      <c r="L360" s="62" t="n">
        <v>0</v>
      </c>
      <c r="M360" s="61" t="n">
        <v>0.158987116853427</v>
      </c>
    </row>
    <row r="361" customFormat="false" ht="15" hidden="false" customHeight="true" outlineLevel="0" collapsed="false">
      <c r="A361" s="62" t="n">
        <v>335</v>
      </c>
      <c r="B361" s="59" t="n">
        <v>-2.52539071461247</v>
      </c>
      <c r="C361" s="59" t="n">
        <v>-1.66098885894261</v>
      </c>
      <c r="D361" s="59" t="n">
        <v>-0.93550130839666</v>
      </c>
      <c r="E361" s="60" t="n">
        <v>-0.0126344475244704</v>
      </c>
      <c r="F361" s="61" t="n">
        <v>0.68077951836906</v>
      </c>
      <c r="G361" s="55" t="n">
        <v>641.350366267547</v>
      </c>
      <c r="H361" s="62" t="n">
        <v>12</v>
      </c>
      <c r="I361" s="62" t="n">
        <v>1</v>
      </c>
      <c r="J361" s="62" t="n">
        <v>1</v>
      </c>
      <c r="K361" s="62" t="n">
        <v>1</v>
      </c>
      <c r="L361" s="62" t="n">
        <v>0</v>
      </c>
      <c r="M361" s="61" t="n">
        <v>0.999999999999977</v>
      </c>
    </row>
    <row r="362" customFormat="false" ht="15" hidden="false" customHeight="true" outlineLevel="0" collapsed="false">
      <c r="A362" s="62" t="n">
        <v>336</v>
      </c>
      <c r="B362" s="59" t="n">
        <v>-0.215982409688131</v>
      </c>
      <c r="C362" s="59" t="n">
        <v>0.390648951128592</v>
      </c>
      <c r="D362" s="59" t="n">
        <v>0.191319641493499</v>
      </c>
      <c r="E362" s="60" t="n">
        <v>0.00961128294531235</v>
      </c>
      <c r="F362" s="61" t="n">
        <v>0.214288927209177</v>
      </c>
      <c r="G362" s="55" t="n">
        <v>100.143802635775</v>
      </c>
      <c r="H362" s="62" t="n">
        <v>0</v>
      </c>
      <c r="I362" s="62" t="n">
        <v>0</v>
      </c>
      <c r="J362" s="62" t="n">
        <v>0</v>
      </c>
      <c r="K362" s="62" t="n">
        <v>0</v>
      </c>
      <c r="L362" s="62" t="n">
        <v>0</v>
      </c>
      <c r="M362" s="61" t="n">
        <v>0.158405135498081</v>
      </c>
    </row>
    <row r="363" customFormat="false" ht="15" hidden="false" customHeight="true" outlineLevel="0" collapsed="false">
      <c r="A363" s="62" t="n">
        <v>337</v>
      </c>
      <c r="B363" s="59" t="n">
        <v>0.0528721212479623</v>
      </c>
      <c r="C363" s="59" t="n">
        <v>0.177352198740644</v>
      </c>
      <c r="D363" s="59" t="n">
        <v>-0.378377284777425</v>
      </c>
      <c r="E363" s="60" t="n">
        <v>0.00624435895538938</v>
      </c>
      <c r="F363" s="61" t="n">
        <v>0.174639586177397</v>
      </c>
      <c r="G363" s="55" t="n">
        <v>59.566507439607</v>
      </c>
      <c r="H363" s="62" t="n">
        <v>0</v>
      </c>
      <c r="I363" s="62" t="n">
        <v>0</v>
      </c>
      <c r="J363" s="62" t="n">
        <v>0</v>
      </c>
      <c r="K363" s="62" t="n">
        <v>0</v>
      </c>
      <c r="L363" s="62" t="n">
        <v>0</v>
      </c>
      <c r="M363" s="61" t="n">
        <v>0.158776205545284</v>
      </c>
    </row>
    <row r="364" customFormat="false" ht="15" hidden="false" customHeight="true" outlineLevel="0" collapsed="false">
      <c r="A364" s="62" t="n">
        <v>338</v>
      </c>
      <c r="B364" s="59" t="n">
        <v>-0.845456120251262</v>
      </c>
      <c r="C364" s="59" t="n">
        <v>0.217622198560475</v>
      </c>
      <c r="D364" s="59" t="n">
        <v>-1.01634649492393</v>
      </c>
      <c r="E364" s="60" t="n">
        <v>0.0183288548029419</v>
      </c>
      <c r="F364" s="61" t="n">
        <v>0.331447057973648</v>
      </c>
      <c r="G364" s="55" t="n">
        <v>216.855085469017</v>
      </c>
      <c r="H364" s="62" t="n">
        <v>0</v>
      </c>
      <c r="I364" s="62" t="n">
        <v>0</v>
      </c>
      <c r="J364" s="62" t="n">
        <v>0</v>
      </c>
      <c r="K364" s="62" t="n">
        <v>0</v>
      </c>
      <c r="L364" s="62" t="n">
        <v>0</v>
      </c>
      <c r="M364" s="61" t="n">
        <v>0.168087719127948</v>
      </c>
    </row>
    <row r="365" customFormat="false" ht="15" hidden="false" customHeight="true" outlineLevel="0" collapsed="false">
      <c r="A365" s="62" t="n">
        <v>339</v>
      </c>
      <c r="B365" s="59" t="n">
        <v>-0.518313237238333</v>
      </c>
      <c r="C365" s="59" t="n">
        <v>0.0567263822638833</v>
      </c>
      <c r="D365" s="59" t="n">
        <v>-0.248882040163572</v>
      </c>
      <c r="E365" s="60" t="n">
        <v>-0.00111708591214752</v>
      </c>
      <c r="F365" s="61" t="n">
        <v>0.267194538624732</v>
      </c>
      <c r="G365" s="55" t="n">
        <v>52.1793487474548</v>
      </c>
      <c r="H365" s="62" t="n">
        <v>0</v>
      </c>
      <c r="I365" s="62" t="n">
        <v>0</v>
      </c>
      <c r="J365" s="62" t="n">
        <v>0</v>
      </c>
      <c r="K365" s="62" t="n">
        <v>0</v>
      </c>
      <c r="L365" s="62" t="n">
        <v>0</v>
      </c>
      <c r="M365" s="61" t="n">
        <v>0.159091180863717</v>
      </c>
    </row>
    <row r="366" customFormat="false" ht="15" hidden="false" customHeight="true" outlineLevel="0" collapsed="false">
      <c r="A366" s="62" t="n">
        <v>340</v>
      </c>
      <c r="B366" s="59" t="n">
        <v>-1.08850279906696</v>
      </c>
      <c r="C366" s="59" t="n">
        <v>-0.733462372711649</v>
      </c>
      <c r="D366" s="59" t="n">
        <v>-0.804041773143328</v>
      </c>
      <c r="E366" s="60" t="n">
        <v>-0.00558164967163449</v>
      </c>
      <c r="F366" s="61" t="n">
        <v>0.383034563237632</v>
      </c>
      <c r="G366" s="55" t="n">
        <v>150.065500262224</v>
      </c>
      <c r="H366" s="62" t="n">
        <v>0</v>
      </c>
      <c r="I366" s="62" t="n">
        <v>0</v>
      </c>
      <c r="J366" s="62" t="n">
        <v>0</v>
      </c>
      <c r="K366" s="62" t="n">
        <v>0</v>
      </c>
      <c r="L366" s="62" t="n">
        <v>1</v>
      </c>
      <c r="M366" s="61" t="n">
        <v>0.438364018356454</v>
      </c>
    </row>
    <row r="367" customFormat="false" ht="15" hidden="false" customHeight="true" outlineLevel="0" collapsed="false">
      <c r="A367" s="62" t="n">
        <v>341</v>
      </c>
      <c r="B367" s="59" t="n">
        <v>-0.832973907629076</v>
      </c>
      <c r="C367" s="59" t="n">
        <v>-0.703298957934586</v>
      </c>
      <c r="D367" s="59" t="n">
        <v>-1.65067402046878</v>
      </c>
      <c r="E367" s="60" t="n">
        <v>-0.0294943628173695</v>
      </c>
      <c r="F367" s="61" t="n">
        <v>0.328877691576957</v>
      </c>
      <c r="G367" s="55" t="n">
        <v>-34.231305955047</v>
      </c>
      <c r="H367" s="62" t="n">
        <v>0</v>
      </c>
      <c r="I367" s="62" t="n">
        <v>0</v>
      </c>
      <c r="J367" s="62" t="n">
        <v>0</v>
      </c>
      <c r="K367" s="62" t="n">
        <v>0</v>
      </c>
      <c r="L367" s="62" t="n">
        <v>0</v>
      </c>
      <c r="M367" s="61" t="n">
        <v>0.221621379488674</v>
      </c>
    </row>
    <row r="368" customFormat="false" ht="15" hidden="false" customHeight="true" outlineLevel="0" collapsed="false">
      <c r="A368" s="62" t="n">
        <v>342</v>
      </c>
      <c r="B368" s="59" t="n">
        <v>-1.37582561706117</v>
      </c>
      <c r="C368" s="59" t="n">
        <v>-0.209024027111102</v>
      </c>
      <c r="D368" s="59" t="n">
        <v>-0.990476667725132</v>
      </c>
      <c r="E368" s="60" t="n">
        <v>-0.0109206549181821</v>
      </c>
      <c r="F368" s="61" t="n">
        <v>0.446987504630875</v>
      </c>
      <c r="G368" s="55" t="n">
        <v>124.667659341567</v>
      </c>
      <c r="H368" s="62" t="n">
        <v>0</v>
      </c>
      <c r="I368" s="62" t="n">
        <v>0</v>
      </c>
      <c r="J368" s="62" t="n">
        <v>0</v>
      </c>
      <c r="K368" s="62" t="n">
        <v>0</v>
      </c>
      <c r="L368" s="62" t="n">
        <v>0</v>
      </c>
      <c r="M368" s="61" t="n">
        <v>0.25867991432699</v>
      </c>
    </row>
    <row r="369" customFormat="false" ht="15" hidden="false" customHeight="true" outlineLevel="0" collapsed="false">
      <c r="A369" s="62" t="n">
        <v>343</v>
      </c>
      <c r="B369" s="59" t="n">
        <v>1.58080589614906</v>
      </c>
      <c r="C369" s="59" t="n">
        <v>0.0645988207935822</v>
      </c>
      <c r="D369" s="59" t="n">
        <v>2.2746337188946</v>
      </c>
      <c r="E369" s="60" t="n">
        <v>0.000829788617394948</v>
      </c>
      <c r="F369" s="61" t="n">
        <v>0.0536643948404267</v>
      </c>
      <c r="G369" s="55" t="n">
        <v>22.2405099814926</v>
      </c>
      <c r="H369" s="62" t="n">
        <v>0</v>
      </c>
      <c r="I369" s="62" t="n">
        <v>0</v>
      </c>
      <c r="J369" s="62" t="n">
        <v>0</v>
      </c>
      <c r="K369" s="62" t="n">
        <v>0</v>
      </c>
      <c r="L369" s="62" t="n">
        <v>0</v>
      </c>
      <c r="M369" s="61" t="n">
        <v>0.158402847561654</v>
      </c>
    </row>
    <row r="370" customFormat="false" ht="15" hidden="false" customHeight="true" outlineLevel="0" collapsed="false">
      <c r="A370" s="62" t="n">
        <v>344</v>
      </c>
      <c r="B370" s="59" t="n">
        <v>0.320285772288288</v>
      </c>
      <c r="C370" s="59" t="n">
        <v>-0.977207688588313</v>
      </c>
      <c r="D370" s="59" t="n">
        <v>1.11737835802962</v>
      </c>
      <c r="E370" s="60" t="n">
        <v>-0.000291504921373194</v>
      </c>
      <c r="F370" s="61" t="n">
        <v>0.145918507071375</v>
      </c>
      <c r="G370" s="55" t="n">
        <v>36.5860047353953</v>
      </c>
      <c r="H370" s="62" t="n">
        <v>0</v>
      </c>
      <c r="I370" s="62" t="n">
        <v>0</v>
      </c>
      <c r="J370" s="62" t="n">
        <v>0</v>
      </c>
      <c r="K370" s="62" t="n">
        <v>0</v>
      </c>
      <c r="L370" s="62" t="n">
        <v>0</v>
      </c>
      <c r="M370" s="61" t="n">
        <v>0.158402847561654</v>
      </c>
    </row>
    <row r="371" customFormat="false" ht="15" hidden="false" customHeight="true" outlineLevel="0" collapsed="false">
      <c r="A371" s="62" t="n">
        <v>345</v>
      </c>
      <c r="B371" s="59" t="n">
        <v>-0.828862875069775</v>
      </c>
      <c r="C371" s="59" t="n">
        <v>-0.0298488490433806</v>
      </c>
      <c r="D371" s="59" t="n">
        <v>-0.0652496370942978</v>
      </c>
      <c r="E371" s="60" t="n">
        <v>-0.00252084172460593</v>
      </c>
      <c r="F371" s="61" t="n">
        <v>0.328033343586935</v>
      </c>
      <c r="G371" s="55" t="n">
        <v>69.4165539716611</v>
      </c>
      <c r="H371" s="62" t="n">
        <v>0</v>
      </c>
      <c r="I371" s="62" t="n">
        <v>0</v>
      </c>
      <c r="J371" s="62" t="n">
        <v>0</v>
      </c>
      <c r="K371" s="62" t="n">
        <v>0</v>
      </c>
      <c r="L371" s="62" t="n">
        <v>0</v>
      </c>
      <c r="M371" s="61" t="n">
        <v>0.158973749221003</v>
      </c>
    </row>
    <row r="372" customFormat="false" ht="15" hidden="false" customHeight="true" outlineLevel="0" collapsed="false">
      <c r="A372" s="62" t="n">
        <v>346</v>
      </c>
      <c r="B372" s="59" t="n">
        <v>-0.413696762320354</v>
      </c>
      <c r="C372" s="59" t="n">
        <v>0.390788280191912</v>
      </c>
      <c r="D372" s="59" t="n">
        <v>-0.175347586153201</v>
      </c>
      <c r="E372" s="60" t="n">
        <v>0.00573303078446419</v>
      </c>
      <c r="F372" s="61" t="n">
        <v>0.248134904280678</v>
      </c>
      <c r="G372" s="55" t="n">
        <v>89.5569821788977</v>
      </c>
      <c r="H372" s="62" t="n">
        <v>0</v>
      </c>
      <c r="I372" s="62" t="n">
        <v>0</v>
      </c>
      <c r="J372" s="62" t="n">
        <v>0</v>
      </c>
      <c r="K372" s="62" t="n">
        <v>0</v>
      </c>
      <c r="L372" s="62" t="n">
        <v>0</v>
      </c>
      <c r="M372" s="61" t="n">
        <v>0.158911300878471</v>
      </c>
    </row>
    <row r="373" customFormat="false" ht="15" hidden="false" customHeight="true" outlineLevel="0" collapsed="false">
      <c r="A373" s="62" t="n">
        <v>347</v>
      </c>
      <c r="B373" s="59" t="n">
        <v>-1.50944785591003</v>
      </c>
      <c r="C373" s="59" t="n">
        <v>-1.97250161735705</v>
      </c>
      <c r="D373" s="59" t="n">
        <v>-0.669175376655698</v>
      </c>
      <c r="E373" s="60" t="n">
        <v>-0.0031025390039009</v>
      </c>
      <c r="F373" s="61" t="n">
        <v>0.477397869085535</v>
      </c>
      <c r="G373" s="55" t="n">
        <v>455.404375914552</v>
      </c>
      <c r="H373" s="62" t="n">
        <v>10</v>
      </c>
      <c r="I373" s="62" t="n">
        <v>0</v>
      </c>
      <c r="J373" s="62" t="n">
        <v>0</v>
      </c>
      <c r="K373" s="62" t="n">
        <v>1</v>
      </c>
      <c r="L373" s="62" t="n">
        <v>0</v>
      </c>
      <c r="M373" s="61" t="n">
        <v>0.999999659642825</v>
      </c>
    </row>
    <row r="374" customFormat="false" ht="15" hidden="false" customHeight="true" outlineLevel="0" collapsed="false">
      <c r="A374" s="62" t="n">
        <v>348</v>
      </c>
      <c r="B374" s="59" t="n">
        <v>-0.501733213987359</v>
      </c>
      <c r="C374" s="59" t="n">
        <v>-0.381093237635659</v>
      </c>
      <c r="D374" s="59" t="n">
        <v>-0.358182600586713</v>
      </c>
      <c r="E374" s="60" t="n">
        <v>-0.009156371410695</v>
      </c>
      <c r="F374" s="61" t="n">
        <v>0.264122712132953</v>
      </c>
      <c r="G374" s="55" t="n">
        <v>23.4695108655576</v>
      </c>
      <c r="H374" s="62" t="n">
        <v>0</v>
      </c>
      <c r="I374" s="62" t="n">
        <v>0</v>
      </c>
      <c r="J374" s="62" t="n">
        <v>0</v>
      </c>
      <c r="K374" s="62" t="n">
        <v>0</v>
      </c>
      <c r="L374" s="62" t="n">
        <v>1</v>
      </c>
      <c r="M374" s="61" t="n">
        <v>0.362949987092898</v>
      </c>
    </row>
    <row r="375" customFormat="false" ht="15" hidden="false" customHeight="true" outlineLevel="0" collapsed="false">
      <c r="A375" s="62" t="n">
        <v>349</v>
      </c>
      <c r="B375" s="59" t="n">
        <v>-0.196469303595471</v>
      </c>
      <c r="C375" s="59" t="n">
        <v>0.186892398047672</v>
      </c>
      <c r="D375" s="59" t="n">
        <v>0.344367798083743</v>
      </c>
      <c r="E375" s="60" t="n">
        <v>-0.00317318192920585</v>
      </c>
      <c r="F375" s="61" t="n">
        <v>0.21110800376681</v>
      </c>
      <c r="G375" s="55" t="n">
        <v>13.4854399476206</v>
      </c>
      <c r="H375" s="62" t="n">
        <v>0</v>
      </c>
      <c r="I375" s="62" t="n">
        <v>0</v>
      </c>
      <c r="J375" s="62" t="n">
        <v>0</v>
      </c>
      <c r="K375" s="62" t="n">
        <v>0</v>
      </c>
      <c r="L375" s="62" t="n">
        <v>0</v>
      </c>
      <c r="M375" s="61" t="n">
        <v>0.158404595522039</v>
      </c>
    </row>
    <row r="376" customFormat="false" ht="15" hidden="false" customHeight="true" outlineLevel="0" collapsed="false">
      <c r="A376" s="62" t="n">
        <v>350</v>
      </c>
      <c r="B376" s="59" t="n">
        <v>0.403163968346239</v>
      </c>
      <c r="C376" s="59" t="n">
        <v>0.536598685609434</v>
      </c>
      <c r="D376" s="59" t="n">
        <v>-0.00588356567540732</v>
      </c>
      <c r="E376" s="60" t="n">
        <v>0.000137047757191456</v>
      </c>
      <c r="F376" s="61" t="n">
        <v>0.13770627901843</v>
      </c>
      <c r="G376" s="55" t="n">
        <v>17.1146663871201</v>
      </c>
      <c r="H376" s="62" t="n">
        <v>0</v>
      </c>
      <c r="I376" s="62" t="n">
        <v>0</v>
      </c>
      <c r="J376" s="62" t="n">
        <v>0</v>
      </c>
      <c r="K376" s="62" t="n">
        <v>0</v>
      </c>
      <c r="L376" s="62" t="n">
        <v>0</v>
      </c>
      <c r="M376" s="61" t="n">
        <v>0.158407461224131</v>
      </c>
    </row>
    <row r="377" customFormat="false" ht="15" hidden="false" customHeight="true" outlineLevel="0" collapsed="false">
      <c r="A377" s="62" t="n">
        <v>351</v>
      </c>
      <c r="B377" s="59" t="n">
        <v>1.91452279310797</v>
      </c>
      <c r="C377" s="59" t="n">
        <v>0.611925119358033</v>
      </c>
      <c r="D377" s="59" t="n">
        <v>5.16693715194106</v>
      </c>
      <c r="E377" s="60" t="n">
        <v>-0.016044770784795</v>
      </c>
      <c r="F377" s="61" t="n">
        <v>0.0393851681140801</v>
      </c>
      <c r="G377" s="55" t="n">
        <v>-79.4067760930068</v>
      </c>
      <c r="H377" s="62" t="n">
        <v>0</v>
      </c>
      <c r="I377" s="62" t="n">
        <v>0</v>
      </c>
      <c r="J377" s="62" t="n">
        <v>0</v>
      </c>
      <c r="K377" s="62" t="n">
        <v>0</v>
      </c>
      <c r="L377" s="62" t="n">
        <v>0</v>
      </c>
      <c r="M377" s="61" t="n">
        <v>0.158402847561654</v>
      </c>
    </row>
    <row r="378" customFormat="false" ht="15" hidden="false" customHeight="true" outlineLevel="0" collapsed="false">
      <c r="A378" s="62" t="n">
        <v>352</v>
      </c>
      <c r="B378" s="59" t="n">
        <v>-1.65430825502828</v>
      </c>
      <c r="C378" s="59" t="n">
        <v>-1.09187702908206</v>
      </c>
      <c r="D378" s="59" t="n">
        <v>-1.30860252381553</v>
      </c>
      <c r="E378" s="60" t="n">
        <v>0.00262100767672999</v>
      </c>
      <c r="F378" s="61" t="n">
        <v>0.510562878545378</v>
      </c>
      <c r="G378" s="55" t="n">
        <v>611.234901021297</v>
      </c>
      <c r="H378" s="62" t="n">
        <v>11</v>
      </c>
      <c r="I378" s="62" t="n">
        <v>1</v>
      </c>
      <c r="J378" s="62" t="n">
        <v>1</v>
      </c>
      <c r="K378" s="62" t="n">
        <v>1</v>
      </c>
      <c r="L378" s="62" t="n">
        <v>0</v>
      </c>
      <c r="M378" s="61" t="n">
        <v>0.999999999999598</v>
      </c>
    </row>
    <row r="379" customFormat="false" ht="15" hidden="false" customHeight="true" outlineLevel="0" collapsed="false">
      <c r="A379" s="62" t="n">
        <v>353</v>
      </c>
      <c r="B379" s="59" t="n">
        <v>-1.02163109035884</v>
      </c>
      <c r="C379" s="59" t="n">
        <v>-0.109323885523101</v>
      </c>
      <c r="D379" s="59" t="n">
        <v>-0.11201325187837</v>
      </c>
      <c r="E379" s="60" t="n">
        <v>0.00245402121400093</v>
      </c>
      <c r="F379" s="61" t="n">
        <v>0.368566758626894</v>
      </c>
      <c r="G379" s="55" t="n">
        <v>118.307670865575</v>
      </c>
      <c r="H379" s="62" t="n">
        <v>0</v>
      </c>
      <c r="I379" s="62" t="n">
        <v>0</v>
      </c>
      <c r="J379" s="62" t="n">
        <v>0</v>
      </c>
      <c r="K379" s="62" t="n">
        <v>0</v>
      </c>
      <c r="L379" s="62" t="n">
        <v>0</v>
      </c>
      <c r="M379" s="61" t="n">
        <v>0.160277302697762</v>
      </c>
    </row>
    <row r="380" customFormat="false" ht="15" hidden="false" customHeight="true" outlineLevel="0" collapsed="false">
      <c r="A380" s="62" t="n">
        <v>354</v>
      </c>
      <c r="B380" s="59" t="n">
        <v>-1.19419076742474</v>
      </c>
      <c r="C380" s="59" t="n">
        <v>-0.268632818113413</v>
      </c>
      <c r="D380" s="59" t="n">
        <v>-0.428429653154693</v>
      </c>
      <c r="E380" s="60" t="n">
        <v>-0.0036365479397702</v>
      </c>
      <c r="F380" s="61" t="n">
        <v>0.406258501544406</v>
      </c>
      <c r="G380" s="55" t="n">
        <v>98.8999738116784</v>
      </c>
      <c r="H380" s="62" t="n">
        <v>0</v>
      </c>
      <c r="I380" s="62" t="n">
        <v>0</v>
      </c>
      <c r="J380" s="62" t="n">
        <v>0</v>
      </c>
      <c r="K380" s="62" t="n">
        <v>0</v>
      </c>
      <c r="L380" s="62" t="n">
        <v>0</v>
      </c>
      <c r="M380" s="61" t="n">
        <v>0.181187305526719</v>
      </c>
    </row>
    <row r="381" customFormat="false" ht="15" hidden="false" customHeight="true" outlineLevel="0" collapsed="false">
      <c r="A381" s="62" t="n">
        <v>355</v>
      </c>
      <c r="B381" s="59" t="n">
        <v>-0.269903285489769</v>
      </c>
      <c r="C381" s="59" t="n">
        <v>-0.397836275270695</v>
      </c>
      <c r="D381" s="59" t="n">
        <v>0.131593145715184</v>
      </c>
      <c r="E381" s="60" t="n">
        <v>0.00376046381601733</v>
      </c>
      <c r="F381" s="61" t="n">
        <v>0.223229601332608</v>
      </c>
      <c r="G381" s="55" t="n">
        <v>68.623899073755</v>
      </c>
      <c r="H381" s="62" t="n">
        <v>0</v>
      </c>
      <c r="I381" s="62" t="n">
        <v>0</v>
      </c>
      <c r="J381" s="62" t="n">
        <v>0</v>
      </c>
      <c r="K381" s="62" t="n">
        <v>0</v>
      </c>
      <c r="L381" s="62" t="n">
        <v>0</v>
      </c>
      <c r="M381" s="61" t="n">
        <v>0.158411962444281</v>
      </c>
    </row>
    <row r="382" customFormat="false" ht="15" hidden="false" customHeight="true" outlineLevel="0" collapsed="false">
      <c r="A382" s="62" t="n">
        <v>356</v>
      </c>
      <c r="B382" s="59" t="n">
        <v>-0.244825314287965</v>
      </c>
      <c r="C382" s="59" t="n">
        <v>-0.28506626173759</v>
      </c>
      <c r="D382" s="59" t="n">
        <v>0.546795914630424</v>
      </c>
      <c r="E382" s="60" t="n">
        <v>-0.00825052054718608</v>
      </c>
      <c r="F382" s="61" t="n">
        <v>0.219043952151142</v>
      </c>
      <c r="G382" s="55" t="n">
        <v>-10.5355304485374</v>
      </c>
      <c r="H382" s="62" t="n">
        <v>0</v>
      </c>
      <c r="I382" s="62" t="n">
        <v>0</v>
      </c>
      <c r="J382" s="62" t="n">
        <v>0</v>
      </c>
      <c r="K382" s="62" t="n">
        <v>0</v>
      </c>
      <c r="L382" s="62" t="n">
        <v>0</v>
      </c>
      <c r="M382" s="61" t="n">
        <v>0.158406852658918</v>
      </c>
    </row>
    <row r="383" customFormat="false" ht="15" hidden="false" customHeight="true" outlineLevel="0" collapsed="false">
      <c r="A383" s="62" t="n">
        <v>357</v>
      </c>
      <c r="B383" s="59" t="n">
        <v>0.293993878509719</v>
      </c>
      <c r="C383" s="59" t="n">
        <v>0.27108476267725</v>
      </c>
      <c r="D383" s="59" t="n">
        <v>0.240390745222739</v>
      </c>
      <c r="E383" s="60" t="n">
        <v>0.00254442570194742</v>
      </c>
      <c r="F383" s="61" t="n">
        <v>0.148591576404269</v>
      </c>
      <c r="G383" s="55" t="n">
        <v>33.8956361427041</v>
      </c>
      <c r="H383" s="62" t="n">
        <v>0</v>
      </c>
      <c r="I383" s="62" t="n">
        <v>0</v>
      </c>
      <c r="J383" s="62" t="n">
        <v>0</v>
      </c>
      <c r="K383" s="62" t="n">
        <v>0</v>
      </c>
      <c r="L383" s="62" t="n">
        <v>0</v>
      </c>
      <c r="M383" s="61" t="n">
        <v>0.158402847561654</v>
      </c>
    </row>
    <row r="384" customFormat="false" ht="15" hidden="false" customHeight="true" outlineLevel="0" collapsed="false">
      <c r="A384" s="62" t="n">
        <v>358</v>
      </c>
      <c r="B384" s="59" t="n">
        <v>-0.871849611529535</v>
      </c>
      <c r="C384" s="59" t="n">
        <v>0.0898531799011028</v>
      </c>
      <c r="D384" s="59" t="n">
        <v>-2.92763262096062</v>
      </c>
      <c r="E384" s="60" t="n">
        <v>-0.00493319516565705</v>
      </c>
      <c r="F384" s="61" t="n">
        <v>0.336907782796736</v>
      </c>
      <c r="G384" s="55" t="n">
        <v>687.088517687125</v>
      </c>
      <c r="H384" s="62" t="n">
        <v>10</v>
      </c>
      <c r="I384" s="62" t="n">
        <v>1</v>
      </c>
      <c r="J384" s="62" t="n">
        <v>1</v>
      </c>
      <c r="K384" s="62" t="n">
        <v>1</v>
      </c>
      <c r="L384" s="62" t="n">
        <v>0</v>
      </c>
      <c r="M384" s="61" t="n">
        <v>0.999999999992721</v>
      </c>
    </row>
    <row r="385" customFormat="false" ht="15" hidden="false" customHeight="true" outlineLevel="0" collapsed="false">
      <c r="A385" s="62" t="n">
        <v>359</v>
      </c>
      <c r="B385" s="59" t="n">
        <v>-2.14865433986365</v>
      </c>
      <c r="C385" s="59" t="n">
        <v>-1.62210824964963</v>
      </c>
      <c r="D385" s="59" t="n">
        <v>-1.50352370995787</v>
      </c>
      <c r="E385" s="60" t="n">
        <v>-0.00548687335960337</v>
      </c>
      <c r="F385" s="61" t="n">
        <v>0.615801972490309</v>
      </c>
      <c r="G385" s="55" t="n">
        <v>721.858319541609</v>
      </c>
      <c r="H385" s="62" t="n">
        <v>13</v>
      </c>
      <c r="I385" s="62" t="n">
        <v>1</v>
      </c>
      <c r="J385" s="62" t="n">
        <v>2</v>
      </c>
      <c r="K385" s="62" t="n">
        <v>1</v>
      </c>
      <c r="L385" s="62" t="n">
        <v>0</v>
      </c>
      <c r="M385" s="61" t="n">
        <v>0.999999999999997</v>
      </c>
    </row>
    <row r="386" customFormat="false" ht="15" hidden="false" customHeight="true" outlineLevel="0" collapsed="false">
      <c r="A386" s="62" t="n">
        <v>360</v>
      </c>
      <c r="B386" s="59" t="n">
        <v>-1.52755610394494</v>
      </c>
      <c r="C386" s="59" t="n">
        <v>0.27302317585389</v>
      </c>
      <c r="D386" s="59" t="n">
        <v>-1.56842202441365</v>
      </c>
      <c r="E386" s="60" t="n">
        <v>-0.0170376583727743</v>
      </c>
      <c r="F386" s="61" t="n">
        <v>0.481536870227373</v>
      </c>
      <c r="G386" s="55" t="n">
        <v>478.739482860168</v>
      </c>
      <c r="H386" s="62" t="n">
        <v>10</v>
      </c>
      <c r="I386" s="62" t="n">
        <v>0</v>
      </c>
      <c r="J386" s="62" t="n">
        <v>0</v>
      </c>
      <c r="K386" s="62" t="n">
        <v>1</v>
      </c>
      <c r="L386" s="62" t="n">
        <v>0</v>
      </c>
      <c r="M386" s="61" t="n">
        <v>0.999999925133138</v>
      </c>
    </row>
    <row r="387" customFormat="false" ht="15" hidden="false" customHeight="true" outlineLevel="0" collapsed="false">
      <c r="A387" s="62" t="n">
        <v>361</v>
      </c>
      <c r="B387" s="59" t="n">
        <v>-0.135242154903248</v>
      </c>
      <c r="C387" s="59" t="n">
        <v>-0.463795277485514</v>
      </c>
      <c r="D387" s="59" t="n">
        <v>-0.294317331560447</v>
      </c>
      <c r="E387" s="60" t="n">
        <v>0.00683379191880169</v>
      </c>
      <c r="F387" s="61" t="n">
        <v>0.201316994147212</v>
      </c>
      <c r="G387" s="55" t="n">
        <v>82.5185496115898</v>
      </c>
      <c r="H387" s="62" t="n">
        <v>0</v>
      </c>
      <c r="I387" s="62" t="n">
        <v>0</v>
      </c>
      <c r="J387" s="62" t="n">
        <v>0</v>
      </c>
      <c r="K387" s="62" t="n">
        <v>0</v>
      </c>
      <c r="L387" s="62" t="n">
        <v>0</v>
      </c>
      <c r="M387" s="61" t="n">
        <v>0.158693003691718</v>
      </c>
    </row>
    <row r="388" customFormat="false" ht="15" hidden="false" customHeight="true" outlineLevel="0" collapsed="false">
      <c r="A388" s="62" t="n">
        <v>362</v>
      </c>
      <c r="B388" s="59" t="n">
        <v>0.622834746073964</v>
      </c>
      <c r="C388" s="59" t="n">
        <v>-0.207007306795169</v>
      </c>
      <c r="D388" s="59" t="n">
        <v>0.482729363279776</v>
      </c>
      <c r="E388" s="60" t="n">
        <v>0.0077195280329832</v>
      </c>
      <c r="F388" s="61" t="n">
        <v>0.117493875480816</v>
      </c>
      <c r="G388" s="55" t="n">
        <v>74.1770254367134</v>
      </c>
      <c r="H388" s="62" t="n">
        <v>0</v>
      </c>
      <c r="I388" s="62" t="n">
        <v>0</v>
      </c>
      <c r="J388" s="62" t="n">
        <v>0</v>
      </c>
      <c r="K388" s="62" t="n">
        <v>0</v>
      </c>
      <c r="L388" s="62" t="n">
        <v>0</v>
      </c>
      <c r="M388" s="61" t="n">
        <v>0.158402847561654</v>
      </c>
    </row>
    <row r="389" customFormat="false" ht="15" hidden="false" customHeight="true" outlineLevel="0" collapsed="false">
      <c r="A389" s="62" t="n">
        <v>363</v>
      </c>
      <c r="B389" s="59" t="n">
        <v>0.0771461487700769</v>
      </c>
      <c r="C389" s="59" t="n">
        <v>0.540970915625942</v>
      </c>
      <c r="D389" s="59" t="n">
        <v>-0.207374363649994</v>
      </c>
      <c r="E389" s="60" t="n">
        <v>0.00480130181519321</v>
      </c>
      <c r="F389" s="61" t="n">
        <v>0.171891908450164</v>
      </c>
      <c r="G389" s="55" t="n">
        <v>49.3291384243829</v>
      </c>
      <c r="H389" s="62" t="n">
        <v>0</v>
      </c>
      <c r="I389" s="62" t="n">
        <v>0</v>
      </c>
      <c r="J389" s="62" t="n">
        <v>0</v>
      </c>
      <c r="K389" s="62" t="n">
        <v>0</v>
      </c>
      <c r="L389" s="62" t="n">
        <v>0</v>
      </c>
      <c r="M389" s="61" t="n">
        <v>0.158587403390752</v>
      </c>
    </row>
    <row r="390" customFormat="false" ht="15" hidden="false" customHeight="true" outlineLevel="0" collapsed="false">
      <c r="A390" s="62" t="n">
        <v>364</v>
      </c>
      <c r="B390" s="59" t="n">
        <v>-0.242304261033551</v>
      </c>
      <c r="C390" s="59" t="n">
        <v>0.497532023096565</v>
      </c>
      <c r="D390" s="59" t="n">
        <v>-0.370429026884578</v>
      </c>
      <c r="E390" s="60" t="n">
        <v>0.00451600193719361</v>
      </c>
      <c r="F390" s="61" t="n">
        <v>0.218625809500421</v>
      </c>
      <c r="G390" s="55" t="n">
        <v>67.1776688122336</v>
      </c>
      <c r="H390" s="62" t="n">
        <v>0</v>
      </c>
      <c r="I390" s="62" t="n">
        <v>0</v>
      </c>
      <c r="J390" s="62" t="n">
        <v>0</v>
      </c>
      <c r="K390" s="62" t="n">
        <v>0</v>
      </c>
      <c r="L390" s="62" t="n">
        <v>0</v>
      </c>
      <c r="M390" s="61" t="n">
        <v>0.159088917940815</v>
      </c>
    </row>
    <row r="391" customFormat="false" ht="15" hidden="false" customHeight="true" outlineLevel="0" collapsed="false">
      <c r="A391" s="62" t="n">
        <v>365</v>
      </c>
      <c r="B391" s="59" t="n">
        <v>0.861816024404813</v>
      </c>
      <c r="C391" s="59" t="n">
        <v>0.912225296514318</v>
      </c>
      <c r="D391" s="59" t="n">
        <v>0.776389436304019</v>
      </c>
      <c r="E391" s="60" t="n">
        <v>-0.0026294667806924</v>
      </c>
      <c r="F391" s="61" t="n">
        <v>0.098001932502389</v>
      </c>
      <c r="G391" s="55" t="n">
        <v>0.357560252708436</v>
      </c>
      <c r="H391" s="62" t="n">
        <v>0</v>
      </c>
      <c r="I391" s="62" t="n">
        <v>0</v>
      </c>
      <c r="J391" s="62" t="n">
        <v>0</v>
      </c>
      <c r="K391" s="62" t="n">
        <v>0</v>
      </c>
      <c r="L391" s="62" t="n">
        <v>0</v>
      </c>
      <c r="M391" s="61" t="n">
        <v>0.158402847561654</v>
      </c>
    </row>
    <row r="392" customFormat="false" ht="15" hidden="false" customHeight="true" outlineLevel="0" collapsed="false">
      <c r="A392" s="62" t="n">
        <v>366</v>
      </c>
      <c r="B392" s="59" t="n">
        <v>3.28668438999527</v>
      </c>
      <c r="C392" s="59" t="n">
        <v>-1.17194715838027</v>
      </c>
      <c r="D392" s="59" t="n">
        <v>1.08753242896229</v>
      </c>
      <c r="E392" s="60" t="n">
        <v>-0.0410613304101172</v>
      </c>
      <c r="F392" s="61" t="n">
        <v>0.00892980951452569</v>
      </c>
      <c r="G392" s="55" t="n">
        <v>-201.3309292495</v>
      </c>
      <c r="H392" s="62" t="n">
        <v>0</v>
      </c>
      <c r="I392" s="62" t="n">
        <v>0</v>
      </c>
      <c r="J392" s="62" t="n">
        <v>0</v>
      </c>
      <c r="K392" s="62" t="n">
        <v>0</v>
      </c>
      <c r="L392" s="62" t="n">
        <v>0</v>
      </c>
      <c r="M392" s="61" t="n">
        <v>0.158402847561654</v>
      </c>
    </row>
    <row r="393" customFormat="false" ht="15" hidden="false" customHeight="true" outlineLevel="0" collapsed="false">
      <c r="A393" s="62" t="n">
        <v>367</v>
      </c>
      <c r="B393" s="59" t="n">
        <v>-1.81945807920399</v>
      </c>
      <c r="C393" s="59" t="n">
        <v>0.784597881929731</v>
      </c>
      <c r="D393" s="59" t="n">
        <v>-1.11761257611348</v>
      </c>
      <c r="E393" s="60" t="n">
        <v>-0.0168221453678961</v>
      </c>
      <c r="F393" s="61" t="n">
        <v>0.548332621550742</v>
      </c>
      <c r="G393" s="55" t="n">
        <v>464.739113822006</v>
      </c>
      <c r="H393" s="62" t="n">
        <v>10</v>
      </c>
      <c r="I393" s="62" t="n">
        <v>0</v>
      </c>
      <c r="J393" s="62" t="n">
        <v>0</v>
      </c>
      <c r="K393" s="62" t="n">
        <v>1</v>
      </c>
      <c r="L393" s="62" t="n">
        <v>0</v>
      </c>
      <c r="M393" s="61" t="n">
        <v>0.999999927724228</v>
      </c>
    </row>
    <row r="394" customFormat="false" ht="15" hidden="false" customHeight="true" outlineLevel="0" collapsed="false">
      <c r="A394" s="62" t="n">
        <v>368</v>
      </c>
      <c r="B394" s="59" t="n">
        <v>-0.475174181748315</v>
      </c>
      <c r="C394" s="59" t="n">
        <v>0.465162151273922</v>
      </c>
      <c r="D394" s="59" t="n">
        <v>0.492829076342773</v>
      </c>
      <c r="E394" s="60" t="n">
        <v>-0.00859506650696035</v>
      </c>
      <c r="F394" s="61" t="n">
        <v>0.25924185058867</v>
      </c>
      <c r="G394" s="55" t="n">
        <v>3.72763322010072</v>
      </c>
      <c r="H394" s="62" t="n">
        <v>0</v>
      </c>
      <c r="I394" s="62" t="n">
        <v>0</v>
      </c>
      <c r="J394" s="62" t="n">
        <v>0</v>
      </c>
      <c r="K394" s="62" t="n">
        <v>0</v>
      </c>
      <c r="L394" s="62" t="n">
        <v>0</v>
      </c>
      <c r="M394" s="61" t="n">
        <v>0.158722171243143</v>
      </c>
    </row>
    <row r="395" customFormat="false" ht="15" hidden="false" customHeight="true" outlineLevel="0" collapsed="false">
      <c r="A395" s="62" t="n">
        <v>369</v>
      </c>
      <c r="B395" s="59" t="n">
        <v>0.622808034423945</v>
      </c>
      <c r="C395" s="59" t="n">
        <v>0.340868105281186</v>
      </c>
      <c r="D395" s="59" t="n">
        <v>1.00218051076042</v>
      </c>
      <c r="E395" s="60" t="n">
        <v>0.0163555831377749</v>
      </c>
      <c r="F395" s="61" t="n">
        <v>0.11749619780676</v>
      </c>
      <c r="G395" s="55" t="n">
        <v>129.153987133929</v>
      </c>
      <c r="H395" s="62" t="n">
        <v>0</v>
      </c>
      <c r="I395" s="62" t="n">
        <v>0</v>
      </c>
      <c r="J395" s="62" t="n">
        <v>0</v>
      </c>
      <c r="K395" s="62" t="n">
        <v>0</v>
      </c>
      <c r="L395" s="62" t="n">
        <v>0</v>
      </c>
      <c r="M395" s="61" t="n">
        <v>0.158402847561654</v>
      </c>
    </row>
    <row r="396" customFormat="false" ht="15" hidden="false" customHeight="true" outlineLevel="0" collapsed="false">
      <c r="A396" s="62" t="n">
        <v>370</v>
      </c>
      <c r="B396" s="59" t="n">
        <v>-0.388870283334588</v>
      </c>
      <c r="C396" s="59" t="n">
        <v>-0.179129720690747</v>
      </c>
      <c r="D396" s="59" t="n">
        <v>-0.336123071651617</v>
      </c>
      <c r="E396" s="60" t="n">
        <v>-0.00146193799616762</v>
      </c>
      <c r="F396" s="61" t="n">
        <v>0.2437263892011</v>
      </c>
      <c r="G396" s="55" t="n">
        <v>58.443695812603</v>
      </c>
      <c r="H396" s="62" t="n">
        <v>0</v>
      </c>
      <c r="I396" s="62" t="n">
        <v>0</v>
      </c>
      <c r="J396" s="62" t="n">
        <v>0</v>
      </c>
      <c r="K396" s="62" t="n">
        <v>0</v>
      </c>
      <c r="L396" s="62" t="n">
        <v>1</v>
      </c>
      <c r="M396" s="61" t="n">
        <v>0.362709456151159</v>
      </c>
    </row>
    <row r="397" customFormat="false" ht="15" hidden="false" customHeight="true" outlineLevel="0" collapsed="false">
      <c r="A397" s="62" t="n">
        <v>371</v>
      </c>
      <c r="B397" s="59" t="n">
        <v>-0.776192748628183</v>
      </c>
      <c r="C397" s="59" t="n">
        <v>-0.332270523089958</v>
      </c>
      <c r="D397" s="59" t="n">
        <v>-0.235720965255335</v>
      </c>
      <c r="E397" s="60" t="n">
        <v>0.0281336807359232</v>
      </c>
      <c r="F397" s="61" t="n">
        <v>0.317299679501115</v>
      </c>
      <c r="G397" s="55" t="n">
        <v>282.052436288747</v>
      </c>
      <c r="H397" s="62" t="n">
        <v>1</v>
      </c>
      <c r="I397" s="62" t="n">
        <v>0</v>
      </c>
      <c r="J397" s="62" t="n">
        <v>0</v>
      </c>
      <c r="K397" s="62" t="n">
        <v>0</v>
      </c>
      <c r="L397" s="62" t="n">
        <v>0</v>
      </c>
      <c r="M397" s="61" t="n">
        <v>0.216632377622079</v>
      </c>
    </row>
    <row r="398" customFormat="false" ht="15" hidden="false" customHeight="true" outlineLevel="0" collapsed="false">
      <c r="A398" s="62" t="n">
        <v>372</v>
      </c>
      <c r="B398" s="59" t="n">
        <v>-1.08067540785653</v>
      </c>
      <c r="C398" s="59" t="n">
        <v>-0.157357413573354</v>
      </c>
      <c r="D398" s="59" t="n">
        <v>-0.312436881746306</v>
      </c>
      <c r="E398" s="60" t="n">
        <v>0.00361976973437599</v>
      </c>
      <c r="F398" s="61" t="n">
        <v>0.381331450193559</v>
      </c>
      <c r="G398" s="55" t="n">
        <v>132.625580204321</v>
      </c>
      <c r="H398" s="62" t="n">
        <v>0</v>
      </c>
      <c r="I398" s="62" t="n">
        <v>0</v>
      </c>
      <c r="J398" s="62" t="n">
        <v>0</v>
      </c>
      <c r="K398" s="62" t="n">
        <v>0</v>
      </c>
      <c r="L398" s="62" t="n">
        <v>0</v>
      </c>
      <c r="M398" s="61" t="n">
        <v>0.163433376188371</v>
      </c>
    </row>
    <row r="399" customFormat="false" ht="15" hidden="false" customHeight="true" outlineLevel="0" collapsed="false">
      <c r="A399" s="62" t="n">
        <v>373</v>
      </c>
      <c r="B399" s="59" t="n">
        <v>0.00162087561430602</v>
      </c>
      <c r="C399" s="59" t="n">
        <v>2.2424811744386</v>
      </c>
      <c r="D399" s="59" t="n">
        <v>-0.271686104176395</v>
      </c>
      <c r="E399" s="60" t="n">
        <v>-0.0158296021683941</v>
      </c>
      <c r="F399" s="61" t="n">
        <v>0.180533055273225</v>
      </c>
      <c r="G399" s="55" t="n">
        <v>-78.3628362143502</v>
      </c>
      <c r="H399" s="62" t="n">
        <v>0</v>
      </c>
      <c r="I399" s="62" t="n">
        <v>0</v>
      </c>
      <c r="J399" s="62" t="n">
        <v>0</v>
      </c>
      <c r="K399" s="62" t="n">
        <v>0</v>
      </c>
      <c r="L399" s="62" t="n">
        <v>0</v>
      </c>
      <c r="M399" s="61" t="n">
        <v>0.158654118764637</v>
      </c>
    </row>
    <row r="400" customFormat="false" ht="15" hidden="false" customHeight="true" outlineLevel="0" collapsed="false">
      <c r="A400" s="62" t="n">
        <v>374</v>
      </c>
      <c r="B400" s="59" t="n">
        <v>-0.0893383188321729</v>
      </c>
      <c r="C400" s="59" t="n">
        <v>-0.555556940368326</v>
      </c>
      <c r="D400" s="59" t="n">
        <v>0.980955436297642</v>
      </c>
      <c r="E400" s="60" t="n">
        <v>-0.00205203453659214</v>
      </c>
      <c r="F400" s="61" t="n">
        <v>0.194166596700107</v>
      </c>
      <c r="G400" s="55" t="n">
        <v>22.1138222774294</v>
      </c>
      <c r="H400" s="62" t="n">
        <v>0</v>
      </c>
      <c r="I400" s="62" t="n">
        <v>0</v>
      </c>
      <c r="J400" s="62" t="n">
        <v>0</v>
      </c>
      <c r="K400" s="62" t="n">
        <v>0</v>
      </c>
      <c r="L400" s="62" t="n">
        <v>0</v>
      </c>
      <c r="M400" s="61" t="n">
        <v>0.158403511298209</v>
      </c>
    </row>
    <row r="401" customFormat="false" ht="15" hidden="false" customHeight="true" outlineLevel="0" collapsed="false">
      <c r="A401" s="62" t="n">
        <v>375</v>
      </c>
      <c r="B401" s="59" t="n">
        <v>0.570806317638739</v>
      </c>
      <c r="C401" s="59" t="n">
        <v>0.35972393079897</v>
      </c>
      <c r="D401" s="59" t="n">
        <v>-0.0175412120829216</v>
      </c>
      <c r="E401" s="60" t="n">
        <v>-0.00263384381163799</v>
      </c>
      <c r="F401" s="61" t="n">
        <v>0.122079217814014</v>
      </c>
      <c r="G401" s="55" t="n">
        <v>0.593140439887612</v>
      </c>
      <c r="H401" s="62" t="n">
        <v>0</v>
      </c>
      <c r="I401" s="62" t="n">
        <v>0</v>
      </c>
      <c r="J401" s="62" t="n">
        <v>0</v>
      </c>
      <c r="K401" s="62" t="n">
        <v>0</v>
      </c>
      <c r="L401" s="62" t="n">
        <v>0</v>
      </c>
      <c r="M401" s="61" t="n">
        <v>0.158416696116161</v>
      </c>
    </row>
    <row r="402" customFormat="false" ht="15" hidden="false" customHeight="true" outlineLevel="0" collapsed="false">
      <c r="A402" s="62" t="n">
        <v>376</v>
      </c>
      <c r="B402" s="59" t="n">
        <v>1.67370924836109</v>
      </c>
      <c r="C402" s="59" t="n">
        <v>1.99502710868711</v>
      </c>
      <c r="D402" s="59" t="n">
        <v>0.742304248292793</v>
      </c>
      <c r="E402" s="60" t="n">
        <v>-0.00721411781028122</v>
      </c>
      <c r="F402" s="61" t="n">
        <v>0.0493317876079728</v>
      </c>
      <c r="G402" s="55" t="n">
        <v>-27.0954577192731</v>
      </c>
      <c r="H402" s="62" t="n">
        <v>0</v>
      </c>
      <c r="I402" s="62" t="n">
        <v>0</v>
      </c>
      <c r="J402" s="62" t="n">
        <v>0</v>
      </c>
      <c r="K402" s="62" t="n">
        <v>0</v>
      </c>
      <c r="L402" s="62" t="n">
        <v>0</v>
      </c>
      <c r="M402" s="61" t="n">
        <v>0.158402847561654</v>
      </c>
    </row>
    <row r="403" customFormat="false" ht="15" hidden="false" customHeight="true" outlineLevel="0" collapsed="false">
      <c r="A403" s="62" t="n">
        <v>377</v>
      </c>
      <c r="B403" s="59" t="n">
        <v>0.208870462499736</v>
      </c>
      <c r="C403" s="59" t="n">
        <v>-1.27556526891427</v>
      </c>
      <c r="D403" s="59" t="n">
        <v>1.84747371275884</v>
      </c>
      <c r="E403" s="60" t="n">
        <v>0.01022366275104</v>
      </c>
      <c r="F403" s="61" t="n">
        <v>0.15747114352815</v>
      </c>
      <c r="G403" s="55" t="n">
        <v>116.383299169241</v>
      </c>
      <c r="H403" s="62" t="n">
        <v>0</v>
      </c>
      <c r="I403" s="62" t="n">
        <v>0</v>
      </c>
      <c r="J403" s="62" t="n">
        <v>0</v>
      </c>
      <c r="K403" s="62" t="n">
        <v>0</v>
      </c>
      <c r="L403" s="62" t="n">
        <v>0</v>
      </c>
      <c r="M403" s="61" t="n">
        <v>0.158402881234813</v>
      </c>
    </row>
    <row r="404" customFormat="false" ht="15" hidden="false" customHeight="true" outlineLevel="0" collapsed="false">
      <c r="A404" s="62" t="n">
        <v>378</v>
      </c>
      <c r="B404" s="59" t="n">
        <v>-0.810997895690021</v>
      </c>
      <c r="C404" s="59" t="n">
        <v>1.36110588115472</v>
      </c>
      <c r="D404" s="59" t="n">
        <v>-1.27282943917901</v>
      </c>
      <c r="E404" s="60" t="n">
        <v>-0.000315783891361949</v>
      </c>
      <c r="F404" s="61" t="n">
        <v>0.324375044409484</v>
      </c>
      <c r="G404" s="55" t="n">
        <v>87.276589891268</v>
      </c>
      <c r="H404" s="62" t="n">
        <v>0</v>
      </c>
      <c r="I404" s="62" t="n">
        <v>0</v>
      </c>
      <c r="J404" s="62" t="n">
        <v>0</v>
      </c>
      <c r="K404" s="62" t="n">
        <v>0</v>
      </c>
      <c r="L404" s="62" t="n">
        <v>0</v>
      </c>
      <c r="M404" s="61" t="n">
        <v>0.170132218604753</v>
      </c>
    </row>
    <row r="405" customFormat="false" ht="15" hidden="false" customHeight="true" outlineLevel="0" collapsed="false">
      <c r="A405" s="62" t="n">
        <v>379</v>
      </c>
      <c r="B405" s="59" t="n">
        <v>-0.868716921785147</v>
      </c>
      <c r="C405" s="59" t="n">
        <v>0.419266349786513</v>
      </c>
      <c r="D405" s="59" t="n">
        <v>-0.0406094161537586</v>
      </c>
      <c r="E405" s="60" t="n">
        <v>0.00945044084386229</v>
      </c>
      <c r="F405" s="61" t="n">
        <v>0.336257686604269</v>
      </c>
      <c r="G405" s="55" t="n">
        <v>152.460050219618</v>
      </c>
      <c r="H405" s="62" t="n">
        <v>0</v>
      </c>
      <c r="I405" s="62" t="n">
        <v>0</v>
      </c>
      <c r="J405" s="62" t="n">
        <v>0</v>
      </c>
      <c r="K405" s="62" t="n">
        <v>0</v>
      </c>
      <c r="L405" s="62" t="n">
        <v>0</v>
      </c>
      <c r="M405" s="61" t="n">
        <v>0.158952301850217</v>
      </c>
    </row>
    <row r="406" customFormat="false" ht="15" hidden="false" customHeight="true" outlineLevel="0" collapsed="false">
      <c r="A406" s="62" t="n">
        <v>380</v>
      </c>
      <c r="B406" s="59" t="n">
        <v>-1.34590779720787</v>
      </c>
      <c r="C406" s="59" t="n">
        <v>0.589752512862539</v>
      </c>
      <c r="D406" s="59" t="n">
        <v>-0.555746221764137</v>
      </c>
      <c r="E406" s="60" t="n">
        <v>0.00214205767684624</v>
      </c>
      <c r="F406" s="61" t="n">
        <v>0.440221570595913</v>
      </c>
      <c r="G406" s="55" t="n">
        <v>163.6604884857</v>
      </c>
      <c r="H406" s="62" t="n">
        <v>0</v>
      </c>
      <c r="I406" s="62" t="n">
        <v>0</v>
      </c>
      <c r="J406" s="62" t="n">
        <v>0</v>
      </c>
      <c r="K406" s="62" t="n">
        <v>0</v>
      </c>
      <c r="L406" s="62" t="n">
        <v>0</v>
      </c>
      <c r="M406" s="61" t="n">
        <v>0.213736271913237</v>
      </c>
    </row>
    <row r="407" customFormat="false" ht="15" hidden="false" customHeight="true" outlineLevel="0" collapsed="false">
      <c r="A407" s="62" t="n">
        <v>381</v>
      </c>
      <c r="B407" s="59" t="n">
        <v>0.294988582482176</v>
      </c>
      <c r="C407" s="59" t="n">
        <v>0.0602826902727373</v>
      </c>
      <c r="D407" s="59" t="n">
        <v>0.997574741704927</v>
      </c>
      <c r="E407" s="60" t="n">
        <v>-0.00608069500476834</v>
      </c>
      <c r="F407" s="61" t="n">
        <v>0.148489849436733</v>
      </c>
      <c r="G407" s="55" t="n">
        <v>-19.6884750376784</v>
      </c>
      <c r="H407" s="62" t="n">
        <v>0</v>
      </c>
      <c r="I407" s="62" t="n">
        <v>0</v>
      </c>
      <c r="J407" s="62" t="n">
        <v>0</v>
      </c>
      <c r="K407" s="62" t="n">
        <v>0</v>
      </c>
      <c r="L407" s="62" t="n">
        <v>0</v>
      </c>
      <c r="M407" s="61" t="n">
        <v>0.158402847561654</v>
      </c>
    </row>
    <row r="408" customFormat="false" ht="15" hidden="false" customHeight="true" outlineLevel="0" collapsed="false">
      <c r="A408" s="62" t="n">
        <v>382</v>
      </c>
      <c r="B408" s="59" t="n">
        <v>-2.01058054292302</v>
      </c>
      <c r="C408" s="59" t="n">
        <v>-2.09650716069341</v>
      </c>
      <c r="D408" s="59" t="n">
        <v>-1.47304906776292</v>
      </c>
      <c r="E408" s="60" t="n">
        <v>-0.0143440027005877</v>
      </c>
      <c r="F408" s="61" t="n">
        <v>0.591090829043951</v>
      </c>
      <c r="G408" s="55" t="n">
        <v>639.077416548599</v>
      </c>
      <c r="H408" s="62" t="n">
        <v>12</v>
      </c>
      <c r="I408" s="62" t="n">
        <v>1</v>
      </c>
      <c r="J408" s="62" t="n">
        <v>1</v>
      </c>
      <c r="K408" s="62" t="n">
        <v>1</v>
      </c>
      <c r="L408" s="62" t="n">
        <v>1</v>
      </c>
      <c r="M408" s="61" t="n">
        <v>0.999999999999981</v>
      </c>
    </row>
    <row r="409" customFormat="false" ht="15" hidden="false" customHeight="true" outlineLevel="0" collapsed="false">
      <c r="A409" s="62" t="n">
        <v>383</v>
      </c>
      <c r="B409" s="59" t="n">
        <v>3.44708463312998</v>
      </c>
      <c r="C409" s="59" t="n">
        <v>8.87468885171002</v>
      </c>
      <c r="D409" s="59" t="n">
        <v>-2.64249329113431</v>
      </c>
      <c r="E409" s="60" t="n">
        <v>0.00610024914635872</v>
      </c>
      <c r="F409" s="61" t="n">
        <v>0.00733456718461482</v>
      </c>
      <c r="G409" s="55" t="n">
        <v>73.2009911769187</v>
      </c>
      <c r="H409" s="62" t="n">
        <v>0</v>
      </c>
      <c r="I409" s="62" t="n">
        <v>0</v>
      </c>
      <c r="J409" s="62" t="n">
        <v>0</v>
      </c>
      <c r="K409" s="62" t="n">
        <v>0</v>
      </c>
      <c r="L409" s="62" t="n">
        <v>0</v>
      </c>
      <c r="M409" s="61" t="n">
        <v>0.167214016734624</v>
      </c>
    </row>
    <row r="410" customFormat="false" ht="15" hidden="false" customHeight="true" outlineLevel="0" collapsed="false">
      <c r="A410" s="62" t="n">
        <v>384</v>
      </c>
      <c r="B410" s="59" t="n">
        <v>-0.570635291154511</v>
      </c>
      <c r="C410" s="59" t="n">
        <v>0.296422837815979</v>
      </c>
      <c r="D410" s="59" t="n">
        <v>0.0708722062228706</v>
      </c>
      <c r="E410" s="60" t="n">
        <v>-0.00185854162128679</v>
      </c>
      <c r="F410" s="61" t="n">
        <v>0.277011681494629</v>
      </c>
      <c r="G410" s="55" t="n">
        <v>51.7350211484949</v>
      </c>
      <c r="H410" s="62" t="n">
        <v>0</v>
      </c>
      <c r="I410" s="62" t="n">
        <v>0</v>
      </c>
      <c r="J410" s="62" t="n">
        <v>0</v>
      </c>
      <c r="K410" s="62" t="n">
        <v>0</v>
      </c>
      <c r="L410" s="62" t="n">
        <v>0</v>
      </c>
      <c r="M410" s="61" t="n">
        <v>0.158760795240352</v>
      </c>
    </row>
    <row r="411" customFormat="false" ht="15" hidden="false" customHeight="true" outlineLevel="0" collapsed="false">
      <c r="A411" s="62" t="n">
        <v>385</v>
      </c>
      <c r="B411" s="59" t="n">
        <v>-0.42057140618301</v>
      </c>
      <c r="C411" s="59" t="n">
        <v>-0.180404551678165</v>
      </c>
      <c r="D411" s="59" t="n">
        <v>-0.0374708920114981</v>
      </c>
      <c r="E411" s="60" t="n">
        <v>0.00253408906811146</v>
      </c>
      <c r="F411" s="61" t="n">
        <v>0.24936352540621</v>
      </c>
      <c r="G411" s="55" t="n">
        <v>86.680971967787</v>
      </c>
      <c r="H411" s="62" t="n">
        <v>0</v>
      </c>
      <c r="I411" s="62" t="n">
        <v>0</v>
      </c>
      <c r="J411" s="62" t="n">
        <v>0</v>
      </c>
      <c r="K411" s="62" t="n">
        <v>0</v>
      </c>
      <c r="L411" s="62" t="n">
        <v>1</v>
      </c>
      <c r="M411" s="61" t="n">
        <v>0.362005489738847</v>
      </c>
    </row>
    <row r="412" customFormat="false" ht="15" hidden="false" customHeight="true" outlineLevel="0" collapsed="false">
      <c r="A412" s="62" t="n">
        <v>386</v>
      </c>
      <c r="B412" s="59" t="n">
        <v>-1.49641952022975</v>
      </c>
      <c r="C412" s="59" t="n">
        <v>-2.98026432950645</v>
      </c>
      <c r="D412" s="59" t="n">
        <v>-2.62624741353495</v>
      </c>
      <c r="E412" s="60" t="n">
        <v>-0.016822183665589</v>
      </c>
      <c r="F412" s="61" t="n">
        <v>0.47442199989133</v>
      </c>
      <c r="G412" s="55" t="n">
        <v>789.439293529085</v>
      </c>
      <c r="H412" s="62" t="n">
        <v>12</v>
      </c>
      <c r="I412" s="62" t="n">
        <v>1</v>
      </c>
      <c r="J412" s="62" t="n">
        <v>2</v>
      </c>
      <c r="K412" s="62" t="n">
        <v>1</v>
      </c>
      <c r="L412" s="62" t="n">
        <v>0</v>
      </c>
      <c r="M412" s="61" t="n">
        <v>0.99999999999998</v>
      </c>
    </row>
    <row r="413" customFormat="false" ht="15" hidden="false" customHeight="true" outlineLevel="0" collapsed="false">
      <c r="A413" s="62" t="n">
        <v>387</v>
      </c>
      <c r="B413" s="59" t="n">
        <v>-0.462569476161574</v>
      </c>
      <c r="C413" s="59" t="n">
        <v>0.00976886481870592</v>
      </c>
      <c r="D413" s="59" t="n">
        <v>-0.366990853391154</v>
      </c>
      <c r="E413" s="60" t="n">
        <v>-0.00737879030624517</v>
      </c>
      <c r="F413" s="61" t="n">
        <v>0.256942730566221</v>
      </c>
      <c r="G413" s="55" t="n">
        <v>28.6018529971465</v>
      </c>
      <c r="H413" s="62" t="n">
        <v>0</v>
      </c>
      <c r="I413" s="62" t="n">
        <v>0</v>
      </c>
      <c r="J413" s="62" t="n">
        <v>0</v>
      </c>
      <c r="K413" s="62" t="n">
        <v>0</v>
      </c>
      <c r="L413" s="62" t="n">
        <v>1</v>
      </c>
      <c r="M413" s="61" t="n">
        <v>0.362888552224604</v>
      </c>
    </row>
    <row r="414" customFormat="false" ht="15" hidden="false" customHeight="true" outlineLevel="0" collapsed="false">
      <c r="A414" s="62" t="n">
        <v>388</v>
      </c>
      <c r="B414" s="59" t="n">
        <v>-0.834505575402954</v>
      </c>
      <c r="C414" s="59" t="n">
        <v>-0.563768080916113</v>
      </c>
      <c r="D414" s="59" t="n">
        <v>1.59929780172974</v>
      </c>
      <c r="E414" s="60" t="n">
        <v>0.00174000118303074</v>
      </c>
      <c r="F414" s="61" t="n">
        <v>0.329192513016607</v>
      </c>
      <c r="G414" s="55" t="n">
        <v>99.8074409508898</v>
      </c>
      <c r="H414" s="62" t="n">
        <v>0</v>
      </c>
      <c r="I414" s="62" t="n">
        <v>0</v>
      </c>
      <c r="J414" s="62" t="n">
        <v>0</v>
      </c>
      <c r="K414" s="62" t="n">
        <v>0</v>
      </c>
      <c r="L414" s="62" t="n">
        <v>0</v>
      </c>
      <c r="M414" s="61" t="n">
        <v>0.158889984731485</v>
      </c>
    </row>
    <row r="415" customFormat="false" ht="15" hidden="false" customHeight="true" outlineLevel="0" collapsed="false">
      <c r="A415" s="62" t="n">
        <v>389</v>
      </c>
      <c r="B415" s="59" t="n">
        <v>0.492973747456374</v>
      </c>
      <c r="C415" s="59" t="n">
        <v>0.804230270484262</v>
      </c>
      <c r="D415" s="59" t="n">
        <v>0.60077632225125</v>
      </c>
      <c r="E415" s="60" t="n">
        <v>-0.000961055225613804</v>
      </c>
      <c r="F415" s="61" t="n">
        <v>0.129171739387707</v>
      </c>
      <c r="G415" s="55" t="n">
        <v>10.3278693039479</v>
      </c>
      <c r="H415" s="62" t="n">
        <v>0</v>
      </c>
      <c r="I415" s="62" t="n">
        <v>0</v>
      </c>
      <c r="J415" s="62" t="n">
        <v>0</v>
      </c>
      <c r="K415" s="62" t="n">
        <v>0</v>
      </c>
      <c r="L415" s="62" t="n">
        <v>0</v>
      </c>
      <c r="M415" s="61" t="n">
        <v>0.158402847561654</v>
      </c>
    </row>
    <row r="416" customFormat="false" ht="15" hidden="false" customHeight="true" outlineLevel="0" collapsed="false">
      <c r="A416" s="62" t="n">
        <v>390</v>
      </c>
      <c r="B416" s="59" t="n">
        <v>-0.566886275981386</v>
      </c>
      <c r="C416" s="59" t="n">
        <v>-0.762953924415554</v>
      </c>
      <c r="D416" s="59" t="n">
        <v>-0.231449743529644</v>
      </c>
      <c r="E416" s="60" t="n">
        <v>-0.0063203327101608</v>
      </c>
      <c r="F416" s="61" t="n">
        <v>0.276302099210576</v>
      </c>
      <c r="G416" s="55" t="n">
        <v>32.8555932571772</v>
      </c>
      <c r="H416" s="62" t="n">
        <v>0</v>
      </c>
      <c r="I416" s="62" t="n">
        <v>0</v>
      </c>
      <c r="J416" s="62" t="n">
        <v>0</v>
      </c>
      <c r="K416" s="62" t="n">
        <v>0</v>
      </c>
      <c r="L416" s="62" t="n">
        <v>0</v>
      </c>
      <c r="M416" s="61" t="n">
        <v>0.159128763569051</v>
      </c>
    </row>
    <row r="417" customFormat="false" ht="15" hidden="false" customHeight="true" outlineLevel="0" collapsed="false">
      <c r="A417" s="62" t="n">
        <v>391</v>
      </c>
      <c r="B417" s="59" t="n">
        <v>-0.0481543091193031</v>
      </c>
      <c r="C417" s="59" t="n">
        <v>-0.616631835703872</v>
      </c>
      <c r="D417" s="59" t="n">
        <v>0.96454608135962</v>
      </c>
      <c r="E417" s="60" t="n">
        <v>0.00365527939255785</v>
      </c>
      <c r="F417" s="61" t="n">
        <v>0.187891019561387</v>
      </c>
      <c r="G417" s="55" t="n">
        <v>58.2378940361517</v>
      </c>
      <c r="H417" s="62" t="n">
        <v>0</v>
      </c>
      <c r="I417" s="62" t="n">
        <v>0</v>
      </c>
      <c r="J417" s="62" t="n">
        <v>0</v>
      </c>
      <c r="K417" s="62" t="n">
        <v>0</v>
      </c>
      <c r="L417" s="62" t="n">
        <v>0</v>
      </c>
      <c r="M417" s="61" t="n">
        <v>0.158403332324018</v>
      </c>
    </row>
    <row r="418" customFormat="false" ht="15" hidden="false" customHeight="true" outlineLevel="0" collapsed="false">
      <c r="A418" s="62" t="n">
        <v>392</v>
      </c>
      <c r="B418" s="59" t="n">
        <v>-0.778610888459912</v>
      </c>
      <c r="C418" s="59" t="n">
        <v>0.650727464139444</v>
      </c>
      <c r="D418" s="59" t="n">
        <v>0.362124834515212</v>
      </c>
      <c r="E418" s="60" t="n">
        <v>0.00417763640148785</v>
      </c>
      <c r="F418" s="61" t="n">
        <v>0.31778900265935</v>
      </c>
      <c r="G418" s="55" t="n">
        <v>108.395976027859</v>
      </c>
      <c r="H418" s="62" t="n">
        <v>0</v>
      </c>
      <c r="I418" s="62" t="n">
        <v>0</v>
      </c>
      <c r="J418" s="62" t="n">
        <v>0</v>
      </c>
      <c r="K418" s="62" t="n">
        <v>0</v>
      </c>
      <c r="L418" s="62" t="n">
        <v>0</v>
      </c>
      <c r="M418" s="61" t="n">
        <v>0.158848575313419</v>
      </c>
    </row>
    <row r="419" customFormat="false" ht="15" hidden="false" customHeight="true" outlineLevel="0" collapsed="false">
      <c r="A419" s="62" t="n">
        <v>393</v>
      </c>
      <c r="B419" s="59" t="n">
        <v>-0.0924643742548411</v>
      </c>
      <c r="C419" s="59" t="n">
        <v>-0.24323439007646</v>
      </c>
      <c r="D419" s="59" t="n">
        <v>-0.847154372592887</v>
      </c>
      <c r="E419" s="60" t="n">
        <v>-0.00292866910342406</v>
      </c>
      <c r="F419" s="61" t="n">
        <v>0.194648342255894</v>
      </c>
      <c r="G419" s="55" t="n">
        <v>10.9372956017723</v>
      </c>
      <c r="H419" s="62" t="n">
        <v>0</v>
      </c>
      <c r="I419" s="62" t="n">
        <v>0</v>
      </c>
      <c r="J419" s="62" t="n">
        <v>0</v>
      </c>
      <c r="K419" s="62" t="n">
        <v>0</v>
      </c>
      <c r="L419" s="62" t="n">
        <v>0</v>
      </c>
      <c r="M419" s="61" t="n">
        <v>0.15991804414835</v>
      </c>
    </row>
    <row r="420" customFormat="false" ht="15" hidden="false" customHeight="true" outlineLevel="0" collapsed="false">
      <c r="A420" s="62" t="n">
        <v>394</v>
      </c>
      <c r="B420" s="59" t="n">
        <v>-0.164692795217412</v>
      </c>
      <c r="C420" s="59" t="n">
        <v>4.55246317918451</v>
      </c>
      <c r="D420" s="59" t="n">
        <v>-0.983052744462761</v>
      </c>
      <c r="E420" s="60" t="n">
        <v>0.0135572864551766</v>
      </c>
      <c r="F420" s="61" t="n">
        <v>0.205990470004264</v>
      </c>
      <c r="G420" s="55" t="n">
        <v>123.955044415975</v>
      </c>
      <c r="H420" s="62" t="n">
        <v>0</v>
      </c>
      <c r="I420" s="62" t="n">
        <v>0</v>
      </c>
      <c r="J420" s="62" t="n">
        <v>0</v>
      </c>
      <c r="K420" s="62" t="n">
        <v>0</v>
      </c>
      <c r="L420" s="62" t="n">
        <v>0</v>
      </c>
      <c r="M420" s="61" t="n">
        <v>0.160407433637971</v>
      </c>
    </row>
    <row r="421" customFormat="false" ht="15" hidden="false" customHeight="true" outlineLevel="0" collapsed="false">
      <c r="A421" s="62" t="n">
        <v>395</v>
      </c>
      <c r="B421" s="59" t="n">
        <v>0.0859879760013663</v>
      </c>
      <c r="C421" s="59" t="n">
        <v>0.565615955609908</v>
      </c>
      <c r="D421" s="59" t="n">
        <v>0.417017927561734</v>
      </c>
      <c r="E421" s="60" t="n">
        <v>-0.00382943233340685</v>
      </c>
      <c r="F421" s="61" t="n">
        <v>0.170898040107648</v>
      </c>
      <c r="G421" s="55" t="n">
        <v>-6.64885578210205</v>
      </c>
      <c r="H421" s="62" t="n">
        <v>0</v>
      </c>
      <c r="I421" s="62" t="n">
        <v>0</v>
      </c>
      <c r="J421" s="62" t="n">
        <v>0</v>
      </c>
      <c r="K421" s="62" t="n">
        <v>0</v>
      </c>
      <c r="L421" s="62" t="n">
        <v>0</v>
      </c>
      <c r="M421" s="61" t="n">
        <v>0.158402994771911</v>
      </c>
    </row>
    <row r="422" customFormat="false" ht="15" hidden="false" customHeight="true" outlineLevel="0" collapsed="false">
      <c r="A422" s="62" t="n">
        <v>396</v>
      </c>
      <c r="B422" s="59" t="n">
        <v>-0.926066299774365</v>
      </c>
      <c r="C422" s="59" t="n">
        <v>-0.64785016488536</v>
      </c>
      <c r="D422" s="59" t="n">
        <v>-0.396924992484242</v>
      </c>
      <c r="E422" s="60" t="n">
        <v>0.00875576726039977</v>
      </c>
      <c r="F422" s="61" t="n">
        <v>0.348239893446278</v>
      </c>
      <c r="G422" s="55" t="n">
        <v>158.161672001816</v>
      </c>
      <c r="H422" s="62" t="n">
        <v>0</v>
      </c>
      <c r="I422" s="62" t="n">
        <v>0</v>
      </c>
      <c r="J422" s="62" t="n">
        <v>0</v>
      </c>
      <c r="K422" s="62" t="n">
        <v>0</v>
      </c>
      <c r="L422" s="62" t="n">
        <v>0</v>
      </c>
      <c r="M422" s="61" t="n">
        <v>0.16357575870813</v>
      </c>
    </row>
    <row r="423" customFormat="false" ht="15" hidden="false" customHeight="true" outlineLevel="0" collapsed="false">
      <c r="A423" s="62" t="n">
        <v>397</v>
      </c>
      <c r="B423" s="59" t="n">
        <v>-4.599563594237</v>
      </c>
      <c r="C423" s="59" t="n">
        <v>-0.900145673382226</v>
      </c>
      <c r="D423" s="59" t="n">
        <v>2.71116937428909</v>
      </c>
      <c r="E423" s="60" t="n">
        <v>0.0233221806741862</v>
      </c>
      <c r="F423" s="61" t="n">
        <v>0.926045546855421</v>
      </c>
      <c r="G423" s="55" t="n">
        <v>824.679468756381</v>
      </c>
      <c r="H423" s="62" t="n">
        <v>16</v>
      </c>
      <c r="I423" s="62" t="n">
        <v>1</v>
      </c>
      <c r="J423" s="62" t="n">
        <v>1</v>
      </c>
      <c r="K423" s="62" t="n">
        <v>1</v>
      </c>
      <c r="L423" s="62" t="n">
        <v>0</v>
      </c>
      <c r="M423" s="61" t="n">
        <v>1</v>
      </c>
    </row>
    <row r="424" customFormat="false" ht="15" hidden="false" customHeight="true" outlineLevel="0" collapsed="false">
      <c r="A424" s="62" t="n">
        <v>398</v>
      </c>
      <c r="B424" s="59" t="n">
        <v>-0.416337520015658</v>
      </c>
      <c r="C424" s="59" t="n">
        <v>-0.891389252570099</v>
      </c>
      <c r="D424" s="59" t="n">
        <v>0.0127678339980372</v>
      </c>
      <c r="E424" s="60" t="n">
        <v>0.00169300930575692</v>
      </c>
      <c r="F424" s="61" t="n">
        <v>0.248606452340004</v>
      </c>
      <c r="G424" s="55" t="n">
        <v>75.225303108781</v>
      </c>
      <c r="H424" s="62" t="n">
        <v>0</v>
      </c>
      <c r="I424" s="62" t="n">
        <v>0</v>
      </c>
      <c r="J424" s="62" t="n">
        <v>0</v>
      </c>
      <c r="K424" s="62" t="n">
        <v>0</v>
      </c>
      <c r="L424" s="62" t="n">
        <v>0</v>
      </c>
      <c r="M424" s="61" t="n">
        <v>0.158721319883675</v>
      </c>
    </row>
    <row r="425" customFormat="false" ht="15" hidden="false" customHeight="true" outlineLevel="0" collapsed="false">
      <c r="A425" s="62" t="n">
        <v>399</v>
      </c>
      <c r="B425" s="59" t="n">
        <v>1.54548970880732</v>
      </c>
      <c r="C425" s="59" t="n">
        <v>0.367686864830787</v>
      </c>
      <c r="D425" s="59" t="n">
        <v>0.492183143196833</v>
      </c>
      <c r="E425" s="60" t="n">
        <v>0.0129393151090191</v>
      </c>
      <c r="F425" s="61" t="n">
        <v>0.0553878990574821</v>
      </c>
      <c r="G425" s="55" t="n">
        <v>105.560740599995</v>
      </c>
      <c r="H425" s="62" t="n">
        <v>0</v>
      </c>
      <c r="I425" s="62" t="n">
        <v>0</v>
      </c>
      <c r="J425" s="62" t="n">
        <v>0</v>
      </c>
      <c r="K425" s="62" t="n">
        <v>0</v>
      </c>
      <c r="L425" s="62" t="n">
        <v>0</v>
      </c>
      <c r="M425" s="61" t="n">
        <v>0.158402847561654</v>
      </c>
    </row>
    <row r="426" customFormat="false" ht="15" hidden="false" customHeight="true" outlineLevel="0" collapsed="false">
      <c r="A426" s="62" t="n">
        <v>400</v>
      </c>
      <c r="B426" s="59" t="n">
        <v>-0.365335826050582</v>
      </c>
      <c r="C426" s="59" t="n">
        <v>0.571769775822289</v>
      </c>
      <c r="D426" s="59" t="n">
        <v>0.136426377668376</v>
      </c>
      <c r="E426" s="60" t="n">
        <v>-0.0061957809650987</v>
      </c>
      <c r="F426" s="61" t="n">
        <v>0.239588679192962</v>
      </c>
      <c r="G426" s="55" t="n">
        <v>8.98656043561002</v>
      </c>
      <c r="H426" s="62" t="n">
        <v>0</v>
      </c>
      <c r="I426" s="62" t="n">
        <v>0</v>
      </c>
      <c r="J426" s="62" t="n">
        <v>0</v>
      </c>
      <c r="K426" s="62" t="n">
        <v>0</v>
      </c>
      <c r="L426" s="62" t="n">
        <v>0</v>
      </c>
      <c r="M426" s="61" t="n">
        <v>0.15843519559184</v>
      </c>
    </row>
    <row r="427" customFormat="false" ht="15" hidden="false" customHeight="true" outlineLevel="0" collapsed="false">
      <c r="A427" s="62" t="n">
        <v>401</v>
      </c>
      <c r="B427" s="59" t="n">
        <v>0.391639380394844</v>
      </c>
      <c r="C427" s="59" t="n">
        <v>-0.0800289431180968</v>
      </c>
      <c r="D427" s="59" t="n">
        <v>1.06622005921385</v>
      </c>
      <c r="E427" s="60" t="n">
        <v>0.00270697040579239</v>
      </c>
      <c r="F427" s="61" t="n">
        <v>0.138828835448017</v>
      </c>
      <c r="G427" s="55" t="n">
        <v>36.9196832571785</v>
      </c>
      <c r="H427" s="62" t="n">
        <v>0</v>
      </c>
      <c r="I427" s="62" t="n">
        <v>0</v>
      </c>
      <c r="J427" s="62" t="n">
        <v>0</v>
      </c>
      <c r="K427" s="62" t="n">
        <v>0</v>
      </c>
      <c r="L427" s="62" t="n">
        <v>0</v>
      </c>
      <c r="M427" s="61" t="n">
        <v>0.158402847561654</v>
      </c>
    </row>
    <row r="428" customFormat="false" ht="15" hidden="false" customHeight="true" outlineLevel="0" collapsed="false">
      <c r="A428" s="62" t="n">
        <v>402</v>
      </c>
      <c r="B428" s="59" t="n">
        <v>-1.63650182655232</v>
      </c>
      <c r="C428" s="59" t="n">
        <v>-1.10703466529267</v>
      </c>
      <c r="D428" s="59" t="n">
        <v>-0.0531804920467279</v>
      </c>
      <c r="E428" s="60" t="n">
        <v>-0.00661353629040319</v>
      </c>
      <c r="F428" s="61" t="n">
        <v>0.506482662313447</v>
      </c>
      <c r="G428" s="55" t="n">
        <v>157.851464273771</v>
      </c>
      <c r="H428" s="62" t="n">
        <v>0</v>
      </c>
      <c r="I428" s="62" t="n">
        <v>0</v>
      </c>
      <c r="J428" s="62" t="n">
        <v>0</v>
      </c>
      <c r="K428" s="62" t="n">
        <v>0</v>
      </c>
      <c r="L428" s="62" t="n">
        <v>0</v>
      </c>
      <c r="M428" s="61" t="n">
        <v>0.31305861714671</v>
      </c>
    </row>
    <row r="429" customFormat="false" ht="15" hidden="false" customHeight="true" outlineLevel="0" collapsed="false">
      <c r="A429" s="62" t="n">
        <v>403</v>
      </c>
      <c r="B429" s="59" t="n">
        <v>-0.126939313376752</v>
      </c>
      <c r="C429" s="59" t="n">
        <v>-0.200975946848497</v>
      </c>
      <c r="D429" s="59" t="n">
        <v>-0.335215809045219</v>
      </c>
      <c r="E429" s="60" t="n">
        <v>-0.0182196031544341</v>
      </c>
      <c r="F429" s="61" t="n">
        <v>0.200011552344966</v>
      </c>
      <c r="G429" s="55" t="n">
        <v>-62.1029944594975</v>
      </c>
      <c r="H429" s="62" t="n">
        <v>0</v>
      </c>
      <c r="I429" s="62" t="n">
        <v>0</v>
      </c>
      <c r="J429" s="62" t="n">
        <v>0</v>
      </c>
      <c r="K429" s="62" t="n">
        <v>0</v>
      </c>
      <c r="L429" s="62" t="n">
        <v>1</v>
      </c>
      <c r="M429" s="61" t="n">
        <v>0.362396141155842</v>
      </c>
    </row>
    <row r="430" customFormat="false" ht="15" hidden="false" customHeight="true" outlineLevel="0" collapsed="false">
      <c r="A430" s="62" t="n">
        <v>404</v>
      </c>
      <c r="B430" s="59" t="n">
        <v>-0.207749724662749</v>
      </c>
      <c r="C430" s="59" t="n">
        <v>0.0747790443777756</v>
      </c>
      <c r="D430" s="59" t="n">
        <v>0.0952674568861264</v>
      </c>
      <c r="E430" s="60" t="n">
        <v>0.000227632913819506</v>
      </c>
      <c r="F430" s="61" t="n">
        <v>0.212943326540583</v>
      </c>
      <c r="G430" s="55" t="n">
        <v>34.9694740548376</v>
      </c>
      <c r="H430" s="62" t="n">
        <v>0</v>
      </c>
      <c r="I430" s="62" t="n">
        <v>0</v>
      </c>
      <c r="J430" s="62" t="n">
        <v>0</v>
      </c>
      <c r="K430" s="62" t="n">
        <v>0</v>
      </c>
      <c r="L430" s="62" t="n">
        <v>0</v>
      </c>
      <c r="M430" s="61" t="n">
        <v>0.158404887554752</v>
      </c>
    </row>
    <row r="431" customFormat="false" ht="15" hidden="false" customHeight="true" outlineLevel="0" collapsed="false">
      <c r="A431" s="62" t="n">
        <v>405</v>
      </c>
      <c r="B431" s="59" t="n">
        <v>0.319968241526985</v>
      </c>
      <c r="C431" s="59" t="n">
        <v>0.97857242715697</v>
      </c>
      <c r="D431" s="59" t="n">
        <v>0.0586775345462862</v>
      </c>
      <c r="E431" s="60" t="n">
        <v>-0.0153876427355997</v>
      </c>
      <c r="F431" s="61" t="n">
        <v>0.145950594698515</v>
      </c>
      <c r="G431" s="55" t="n">
        <v>-75.6291457949627</v>
      </c>
      <c r="H431" s="62" t="n">
        <v>0</v>
      </c>
      <c r="I431" s="62" t="n">
        <v>0</v>
      </c>
      <c r="J431" s="62" t="n">
        <v>0</v>
      </c>
      <c r="K431" s="62" t="n">
        <v>0</v>
      </c>
      <c r="L431" s="62" t="n">
        <v>0</v>
      </c>
      <c r="M431" s="61" t="n">
        <v>0.158402847561654</v>
      </c>
    </row>
    <row r="432" customFormat="false" ht="15" hidden="false" customHeight="true" outlineLevel="0" collapsed="false">
      <c r="A432" s="62" t="n">
        <v>406</v>
      </c>
      <c r="B432" s="59" t="n">
        <v>-1.71740993340275</v>
      </c>
      <c r="C432" s="59" t="n">
        <v>-0.350032693862535</v>
      </c>
      <c r="D432" s="59" t="n">
        <v>-0.655228973685451</v>
      </c>
      <c r="E432" s="60" t="n">
        <v>-0.00845338919916158</v>
      </c>
      <c r="F432" s="61" t="n">
        <v>0.525016506830149</v>
      </c>
      <c r="G432" s="55" t="n">
        <v>430.663058099422</v>
      </c>
      <c r="H432" s="62" t="n">
        <v>9</v>
      </c>
      <c r="I432" s="62" t="n">
        <v>0</v>
      </c>
      <c r="J432" s="62" t="n">
        <v>0</v>
      </c>
      <c r="K432" s="62" t="n">
        <v>1</v>
      </c>
      <c r="L432" s="62" t="n">
        <v>0</v>
      </c>
      <c r="M432" s="61" t="n">
        <v>0.99999938767221</v>
      </c>
    </row>
    <row r="433" customFormat="false" ht="15" hidden="false" customHeight="true" outlineLevel="0" collapsed="false">
      <c r="A433" s="62" t="n">
        <v>407</v>
      </c>
      <c r="B433" s="59" t="n">
        <v>0.100828208025179</v>
      </c>
      <c r="C433" s="59" t="n">
        <v>0.0562952427352156</v>
      </c>
      <c r="D433" s="59" t="n">
        <v>0.483439808314381</v>
      </c>
      <c r="E433" s="60" t="n">
        <v>-0.0138495994077157</v>
      </c>
      <c r="F433" s="61" t="n">
        <v>0.169238293362466</v>
      </c>
      <c r="G433" s="55" t="n">
        <v>-65.9438048497317</v>
      </c>
      <c r="H433" s="62" t="n">
        <v>0</v>
      </c>
      <c r="I433" s="62" t="n">
        <v>0</v>
      </c>
      <c r="J433" s="62" t="n">
        <v>0</v>
      </c>
      <c r="K433" s="62" t="n">
        <v>0</v>
      </c>
      <c r="L433" s="62" t="n">
        <v>0</v>
      </c>
      <c r="M433" s="61" t="n">
        <v>0.158402976178784</v>
      </c>
    </row>
    <row r="434" customFormat="false" ht="15" hidden="false" customHeight="true" outlineLevel="0" collapsed="false">
      <c r="A434" s="62" t="n">
        <v>408</v>
      </c>
      <c r="B434" s="59" t="n">
        <v>-0.243681007775412</v>
      </c>
      <c r="C434" s="59" t="n">
        <v>-0.157267007717731</v>
      </c>
      <c r="D434" s="59" t="n">
        <v>-0.673658496069547</v>
      </c>
      <c r="E434" s="60" t="n">
        <v>-0.00342767447490884</v>
      </c>
      <c r="F434" s="61" t="n">
        <v>0.218854097348606</v>
      </c>
      <c r="G434" s="55" t="n">
        <v>17.0265414591162</v>
      </c>
      <c r="H434" s="62" t="n">
        <v>0</v>
      </c>
      <c r="I434" s="62" t="n">
        <v>0</v>
      </c>
      <c r="J434" s="62" t="n">
        <v>0</v>
      </c>
      <c r="K434" s="62" t="n">
        <v>0</v>
      </c>
      <c r="L434" s="62" t="n">
        <v>0</v>
      </c>
      <c r="M434" s="61" t="n">
        <v>0.159688229805981</v>
      </c>
    </row>
    <row r="435" customFormat="false" ht="15" hidden="false" customHeight="true" outlineLevel="0" collapsed="false">
      <c r="A435" s="62" t="n">
        <v>409</v>
      </c>
      <c r="B435" s="59" t="n">
        <v>0.168325888655339</v>
      </c>
      <c r="C435" s="59" t="n">
        <v>0.929641900315511</v>
      </c>
      <c r="D435" s="59" t="n">
        <v>0.742864936904957</v>
      </c>
      <c r="E435" s="60" t="n">
        <v>-0.0137608511872</v>
      </c>
      <c r="F435" s="61" t="n">
        <v>0.161821741009465</v>
      </c>
      <c r="G435" s="55" t="n">
        <v>-65.9285213661428</v>
      </c>
      <c r="H435" s="62" t="n">
        <v>0</v>
      </c>
      <c r="I435" s="62" t="n">
        <v>0</v>
      </c>
      <c r="J435" s="62" t="n">
        <v>0</v>
      </c>
      <c r="K435" s="62" t="n">
        <v>0</v>
      </c>
      <c r="L435" s="62" t="n">
        <v>0</v>
      </c>
      <c r="M435" s="61" t="n">
        <v>0.15840289302002</v>
      </c>
    </row>
    <row r="436" customFormat="false" ht="15" hidden="false" customHeight="true" outlineLevel="0" collapsed="false">
      <c r="A436" s="62" t="n">
        <v>410</v>
      </c>
      <c r="B436" s="59" t="n">
        <v>-0.110474218790446</v>
      </c>
      <c r="C436" s="59" t="n">
        <v>-0.275119707343435</v>
      </c>
      <c r="D436" s="59" t="n">
        <v>0.459821640979265</v>
      </c>
      <c r="E436" s="60" t="n">
        <v>0.00198822483068451</v>
      </c>
      <c r="F436" s="61" t="n">
        <v>0.197438585565088</v>
      </c>
      <c r="G436" s="55" t="n">
        <v>43.300048649915</v>
      </c>
      <c r="H436" s="62" t="n">
        <v>0</v>
      </c>
      <c r="I436" s="62" t="n">
        <v>0</v>
      </c>
      <c r="J436" s="62" t="n">
        <v>0</v>
      </c>
      <c r="K436" s="62" t="n">
        <v>0</v>
      </c>
      <c r="L436" s="62" t="n">
        <v>0</v>
      </c>
      <c r="M436" s="61" t="n">
        <v>0.158403595901575</v>
      </c>
    </row>
    <row r="437" customFormat="false" ht="15" hidden="false" customHeight="true" outlineLevel="0" collapsed="false">
      <c r="A437" s="62" t="n">
        <v>411</v>
      </c>
      <c r="B437" s="59" t="n">
        <v>1.33430374133693</v>
      </c>
      <c r="C437" s="59" t="n">
        <v>-0.730485831780231</v>
      </c>
      <c r="D437" s="59" t="n">
        <v>1.40685841992675</v>
      </c>
      <c r="E437" s="60" t="n">
        <v>-0.00193205196598547</v>
      </c>
      <c r="F437" s="61" t="n">
        <v>0.066617032759292</v>
      </c>
      <c r="G437" s="55" t="n">
        <v>20.9665965021699</v>
      </c>
      <c r="H437" s="62" t="n">
        <v>0</v>
      </c>
      <c r="I437" s="62" t="n">
        <v>0</v>
      </c>
      <c r="J437" s="62" t="n">
        <v>0</v>
      </c>
      <c r="K437" s="62" t="n">
        <v>0</v>
      </c>
      <c r="L437" s="62" t="n">
        <v>0</v>
      </c>
      <c r="M437" s="61" t="n">
        <v>0.158402847561654</v>
      </c>
    </row>
    <row r="438" customFormat="false" ht="15" hidden="false" customHeight="true" outlineLevel="0" collapsed="false">
      <c r="A438" s="62" t="n">
        <v>412</v>
      </c>
      <c r="B438" s="59" t="n">
        <v>-0.0195718521705612</v>
      </c>
      <c r="C438" s="59" t="n">
        <v>1.53320163427324</v>
      </c>
      <c r="D438" s="59" t="n">
        <v>0.354562139878933</v>
      </c>
      <c r="E438" s="60" t="n">
        <v>-0.00180096030268519</v>
      </c>
      <c r="F438" s="61" t="n">
        <v>0.183613566441926</v>
      </c>
      <c r="G438" s="55" t="n">
        <v>6.76023814528413</v>
      </c>
      <c r="H438" s="62" t="n">
        <v>0</v>
      </c>
      <c r="I438" s="62" t="n">
        <v>0</v>
      </c>
      <c r="J438" s="62" t="n">
        <v>0</v>
      </c>
      <c r="K438" s="62" t="n">
        <v>0</v>
      </c>
      <c r="L438" s="62" t="n">
        <v>0</v>
      </c>
      <c r="M438" s="61" t="n">
        <v>0.158403189029842</v>
      </c>
    </row>
    <row r="439" customFormat="false" ht="15" hidden="false" customHeight="true" outlineLevel="0" collapsed="false">
      <c r="A439" s="62" t="n">
        <v>413</v>
      </c>
      <c r="B439" s="59" t="n">
        <v>-0.102292181218807</v>
      </c>
      <c r="C439" s="59" t="n">
        <v>-0.39390553154892</v>
      </c>
      <c r="D439" s="59" t="n">
        <v>0.0237717459529581</v>
      </c>
      <c r="E439" s="60" t="n">
        <v>-0.00370707038048161</v>
      </c>
      <c r="F439" s="61" t="n">
        <v>0.196167825725617</v>
      </c>
      <c r="G439" s="55" t="n">
        <v>9.53616011491829</v>
      </c>
      <c r="H439" s="62" t="n">
        <v>0</v>
      </c>
      <c r="I439" s="62" t="n">
        <v>0</v>
      </c>
      <c r="J439" s="62" t="n">
        <v>0</v>
      </c>
      <c r="K439" s="62" t="n">
        <v>0</v>
      </c>
      <c r="L439" s="62" t="n">
        <v>0</v>
      </c>
      <c r="M439" s="61" t="n">
        <v>0.158403563438489</v>
      </c>
    </row>
    <row r="440" customFormat="false" ht="15" hidden="false" customHeight="true" outlineLevel="0" collapsed="false">
      <c r="A440" s="62" t="n">
        <v>414</v>
      </c>
      <c r="B440" s="59" t="n">
        <v>-2.33812018690112</v>
      </c>
      <c r="C440" s="59" t="n">
        <v>0.910720694815086</v>
      </c>
      <c r="D440" s="59" t="n">
        <v>-1.19073942930041</v>
      </c>
      <c r="E440" s="60" t="n">
        <v>-0.00147770425000157</v>
      </c>
      <c r="F440" s="61" t="n">
        <v>0.648993841583183</v>
      </c>
      <c r="G440" s="55" t="n">
        <v>695.409413201596</v>
      </c>
      <c r="H440" s="62" t="n">
        <v>13</v>
      </c>
      <c r="I440" s="62" t="n">
        <v>1</v>
      </c>
      <c r="J440" s="62" t="n">
        <v>1</v>
      </c>
      <c r="K440" s="62" t="n">
        <v>1</v>
      </c>
      <c r="L440" s="62" t="n">
        <v>0</v>
      </c>
      <c r="M440" s="61" t="n">
        <v>0.999999999999995</v>
      </c>
    </row>
    <row r="441" customFormat="false" ht="15" hidden="false" customHeight="true" outlineLevel="0" collapsed="false">
      <c r="A441" s="62" t="n">
        <v>415</v>
      </c>
      <c r="B441" s="59" t="n">
        <v>-0.753710167309285</v>
      </c>
      <c r="C441" s="59" t="n">
        <v>-0.227327977722623</v>
      </c>
      <c r="D441" s="59" t="n">
        <v>0.532928298283473</v>
      </c>
      <c r="E441" s="60" t="n">
        <v>0.0118162131324789</v>
      </c>
      <c r="F441" s="61" t="n">
        <v>0.312766549324572</v>
      </c>
      <c r="G441" s="55" t="n">
        <v>160.689781310615</v>
      </c>
      <c r="H441" s="62" t="n">
        <v>0</v>
      </c>
      <c r="I441" s="62" t="n">
        <v>0</v>
      </c>
      <c r="J441" s="62" t="n">
        <v>0</v>
      </c>
      <c r="K441" s="62" t="n">
        <v>0</v>
      </c>
      <c r="L441" s="62" t="n">
        <v>0</v>
      </c>
      <c r="M441" s="61" t="n">
        <v>0.158844613033136</v>
      </c>
    </row>
    <row r="442" customFormat="false" ht="15" hidden="false" customHeight="true" outlineLevel="0" collapsed="false">
      <c r="A442" s="62" t="n">
        <v>416</v>
      </c>
      <c r="B442" s="59" t="n">
        <v>-1.75475792487164</v>
      </c>
      <c r="C442" s="59" t="n">
        <v>0.195842965704767</v>
      </c>
      <c r="D442" s="59" t="n">
        <v>-1.16568883379129</v>
      </c>
      <c r="E442" s="60" t="n">
        <v>0.00819204256269928</v>
      </c>
      <c r="F442" s="61" t="n">
        <v>0.533561306129598</v>
      </c>
      <c r="G442" s="55" t="n">
        <v>632.703208176436</v>
      </c>
      <c r="H442" s="62" t="n">
        <v>12</v>
      </c>
      <c r="I442" s="62" t="n">
        <v>1</v>
      </c>
      <c r="J442" s="62" t="n">
        <v>1</v>
      </c>
      <c r="K442" s="62" t="n">
        <v>1</v>
      </c>
      <c r="L442" s="62" t="n">
        <v>0</v>
      </c>
      <c r="M442" s="61" t="n">
        <v>0.999999999999885</v>
      </c>
    </row>
    <row r="443" customFormat="false" ht="15" hidden="false" customHeight="true" outlineLevel="0" collapsed="false">
      <c r="A443" s="62" t="n">
        <v>417</v>
      </c>
      <c r="B443" s="59" t="n">
        <v>-1.08634638546948</v>
      </c>
      <c r="C443" s="59" t="n">
        <v>-0.388604385299246</v>
      </c>
      <c r="D443" s="59" t="n">
        <v>-1.02274064273016</v>
      </c>
      <c r="E443" s="60" t="n">
        <v>-0.00185093863691691</v>
      </c>
      <c r="F443" s="61" t="n">
        <v>0.382565115934868</v>
      </c>
      <c r="G443" s="55" t="n">
        <v>123.624024305995</v>
      </c>
      <c r="H443" s="62" t="n">
        <v>0</v>
      </c>
      <c r="I443" s="62" t="n">
        <v>0</v>
      </c>
      <c r="J443" s="62" t="n">
        <v>0</v>
      </c>
      <c r="K443" s="62" t="n">
        <v>0</v>
      </c>
      <c r="L443" s="62" t="n">
        <v>0</v>
      </c>
      <c r="M443" s="61" t="n">
        <v>0.208739919013765</v>
      </c>
    </row>
    <row r="444" customFormat="false" ht="15" hidden="false" customHeight="true" outlineLevel="0" collapsed="false">
      <c r="A444" s="62" t="n">
        <v>418</v>
      </c>
      <c r="B444" s="59" t="n">
        <v>1.41336304204589</v>
      </c>
      <c r="C444" s="59" t="n">
        <v>2.02903818327341</v>
      </c>
      <c r="D444" s="59" t="n">
        <v>0.251958495736487</v>
      </c>
      <c r="E444" s="60" t="n">
        <v>0.019781403670265</v>
      </c>
      <c r="F444" s="61" t="n">
        <v>0.0622239166558916</v>
      </c>
      <c r="G444" s="55" t="n">
        <v>152.367150879299</v>
      </c>
      <c r="H444" s="62" t="n">
        <v>0</v>
      </c>
      <c r="I444" s="62" t="n">
        <v>0</v>
      </c>
      <c r="J444" s="62" t="n">
        <v>0</v>
      </c>
      <c r="K444" s="62" t="n">
        <v>0</v>
      </c>
      <c r="L444" s="62" t="n">
        <v>0</v>
      </c>
      <c r="M444" s="61" t="n">
        <v>0.158402847561654</v>
      </c>
    </row>
    <row r="445" customFormat="false" ht="15" hidden="false" customHeight="true" outlineLevel="0" collapsed="false">
      <c r="A445" s="62" t="n">
        <v>419</v>
      </c>
      <c r="B445" s="59" t="n">
        <v>0.732626521373706</v>
      </c>
      <c r="C445" s="59" t="n">
        <v>2.34974140869484</v>
      </c>
      <c r="D445" s="59" t="n">
        <v>1.81782778715803</v>
      </c>
      <c r="E445" s="60" t="n">
        <v>0.0164571874399238</v>
      </c>
      <c r="F445" s="61" t="n">
        <v>0.108222086910391</v>
      </c>
      <c r="G445" s="55" t="n">
        <v>129.4171639334</v>
      </c>
      <c r="H445" s="62" t="n">
        <v>0</v>
      </c>
      <c r="I445" s="62" t="n">
        <v>0</v>
      </c>
      <c r="J445" s="62" t="n">
        <v>0</v>
      </c>
      <c r="K445" s="62" t="n">
        <v>0</v>
      </c>
      <c r="L445" s="62" t="n">
        <v>0</v>
      </c>
      <c r="M445" s="61" t="n">
        <v>0.158402847561654</v>
      </c>
    </row>
    <row r="446" customFormat="false" ht="15" hidden="false" customHeight="true" outlineLevel="0" collapsed="false">
      <c r="A446" s="62" t="n">
        <v>420</v>
      </c>
      <c r="B446" s="59" t="n">
        <v>-0.769293009555269</v>
      </c>
      <c r="C446" s="59" t="n">
        <v>-0.61465806417001</v>
      </c>
      <c r="D446" s="59" t="n">
        <v>0.00739798906887311</v>
      </c>
      <c r="E446" s="60" t="n">
        <v>0.00553184662151905</v>
      </c>
      <c r="F446" s="61" t="n">
        <v>0.315905349421799</v>
      </c>
      <c r="G446" s="55" t="n">
        <v>120.927795630896</v>
      </c>
      <c r="H446" s="62" t="n">
        <v>0</v>
      </c>
      <c r="I446" s="62" t="n">
        <v>0</v>
      </c>
      <c r="J446" s="62" t="n">
        <v>0</v>
      </c>
      <c r="K446" s="62" t="n">
        <v>0</v>
      </c>
      <c r="L446" s="62" t="n">
        <v>0</v>
      </c>
      <c r="M446" s="61" t="n">
        <v>0.158862613452564</v>
      </c>
    </row>
    <row r="447" customFormat="false" ht="15" hidden="false" customHeight="true" outlineLevel="0" collapsed="false">
      <c r="A447" s="62" t="n">
        <v>421</v>
      </c>
      <c r="B447" s="59" t="n">
        <v>-4.99046407909383</v>
      </c>
      <c r="C447" s="59" t="n">
        <v>-2.11571130838504</v>
      </c>
      <c r="D447" s="59" t="n">
        <v>-1.2631062785093</v>
      </c>
      <c r="E447" s="60" t="n">
        <v>0.0185285237632971</v>
      </c>
      <c r="F447" s="61" t="n">
        <v>0.948772395137167</v>
      </c>
      <c r="G447" s="55" t="n">
        <v>1022.46994820449</v>
      </c>
      <c r="H447" s="62" t="n">
        <v>17</v>
      </c>
      <c r="I447" s="62" t="n">
        <v>4</v>
      </c>
      <c r="J447" s="62" t="n">
        <v>5</v>
      </c>
      <c r="K447" s="62" t="n">
        <v>1</v>
      </c>
      <c r="L447" s="62" t="n">
        <v>0</v>
      </c>
      <c r="M447" s="61" t="n">
        <v>1</v>
      </c>
    </row>
    <row r="448" customFormat="false" ht="15" hidden="false" customHeight="true" outlineLevel="0" collapsed="false">
      <c r="A448" s="62" t="n">
        <v>422</v>
      </c>
      <c r="B448" s="59" t="n">
        <v>-0.0176910909408815</v>
      </c>
      <c r="C448" s="59" t="n">
        <v>0.388921800040092</v>
      </c>
      <c r="D448" s="59" t="n">
        <v>0.595878529477857</v>
      </c>
      <c r="E448" s="60" t="n">
        <v>-0.00290901782784943</v>
      </c>
      <c r="F448" s="61" t="n">
        <v>0.183334347260516</v>
      </c>
      <c r="G448" s="55" t="n">
        <v>0.369982334428763</v>
      </c>
      <c r="H448" s="62" t="n">
        <v>0</v>
      </c>
      <c r="I448" s="62" t="n">
        <v>0</v>
      </c>
      <c r="J448" s="62" t="n">
        <v>0</v>
      </c>
      <c r="K448" s="62" t="n">
        <v>0</v>
      </c>
      <c r="L448" s="62" t="n">
        <v>0</v>
      </c>
      <c r="M448" s="61" t="n">
        <v>0.158403180904911</v>
      </c>
    </row>
    <row r="449" customFormat="false" ht="15" hidden="false" customHeight="true" outlineLevel="0" collapsed="false">
      <c r="A449" s="62" t="n">
        <v>423</v>
      </c>
      <c r="B449" s="59" t="n">
        <v>-1.31158649404527</v>
      </c>
      <c r="C449" s="59" t="n">
        <v>-0.244412372311184</v>
      </c>
      <c r="D449" s="59" t="n">
        <v>0.0116063392069305</v>
      </c>
      <c r="E449" s="60" t="n">
        <v>0.00651026153170667</v>
      </c>
      <c r="F449" s="61" t="n">
        <v>0.432484503272301</v>
      </c>
      <c r="G449" s="55" t="n">
        <v>172.588849437157</v>
      </c>
      <c r="H449" s="62" t="n">
        <v>0</v>
      </c>
      <c r="I449" s="62" t="n">
        <v>0</v>
      </c>
      <c r="J449" s="62" t="n">
        <v>0</v>
      </c>
      <c r="K449" s="62" t="n">
        <v>0</v>
      </c>
      <c r="L449" s="62" t="n">
        <v>0</v>
      </c>
      <c r="M449" s="61" t="n">
        <v>0.180183444698376</v>
      </c>
    </row>
    <row r="450" customFormat="false" ht="15" hidden="false" customHeight="true" outlineLevel="0" collapsed="false">
      <c r="A450" s="62" t="n">
        <v>424</v>
      </c>
      <c r="B450" s="59" t="n">
        <v>-1.68423863428547</v>
      </c>
      <c r="C450" s="59" t="n">
        <v>-2.20649479534642</v>
      </c>
      <c r="D450" s="59" t="n">
        <v>-0.838471048656403</v>
      </c>
      <c r="E450" s="60" t="n">
        <v>-0.00212608921730595</v>
      </c>
      <c r="F450" s="61" t="n">
        <v>0.517420233894634</v>
      </c>
      <c r="G450" s="55" t="n">
        <v>534.921389181127</v>
      </c>
      <c r="H450" s="62" t="n">
        <v>10</v>
      </c>
      <c r="I450" s="62" t="n">
        <v>1</v>
      </c>
      <c r="J450" s="62" t="n">
        <v>1</v>
      </c>
      <c r="K450" s="62" t="n">
        <v>1</v>
      </c>
      <c r="L450" s="62" t="n">
        <v>0</v>
      </c>
      <c r="M450" s="61" t="n">
        <v>0.9999999999978</v>
      </c>
    </row>
    <row r="451" customFormat="false" ht="15" hidden="false" customHeight="true" outlineLevel="0" collapsed="false">
      <c r="A451" s="62" t="n">
        <v>425</v>
      </c>
      <c r="B451" s="59" t="n">
        <v>6.69740604634611</v>
      </c>
      <c r="C451" s="59" t="n">
        <v>4.99986750925301</v>
      </c>
      <c r="D451" s="59" t="n">
        <v>7.30435093926991</v>
      </c>
      <c r="E451" s="60" t="n">
        <v>0.000277688070482947</v>
      </c>
      <c r="F451" s="61" t="n">
        <v>4.27136808013347E-005</v>
      </c>
      <c r="G451" s="55" t="n">
        <v>17.7553691182439</v>
      </c>
      <c r="H451" s="62" t="n">
        <v>0</v>
      </c>
      <c r="I451" s="62" t="n">
        <v>0</v>
      </c>
      <c r="J451" s="62" t="n">
        <v>0</v>
      </c>
      <c r="K451" s="62" t="n">
        <v>0</v>
      </c>
      <c r="L451" s="62" t="n">
        <v>0</v>
      </c>
      <c r="M451" s="61" t="n">
        <v>0.158402847561654</v>
      </c>
    </row>
    <row r="452" customFormat="false" ht="15" hidden="false" customHeight="true" outlineLevel="0" collapsed="false">
      <c r="A452" s="62" t="n">
        <v>426</v>
      </c>
      <c r="B452" s="59" t="n">
        <v>0.189332148227448</v>
      </c>
      <c r="C452" s="59" t="n">
        <v>-0.120749989531593</v>
      </c>
      <c r="D452" s="59" t="n">
        <v>-0.578847539309642</v>
      </c>
      <c r="E452" s="60" t="n">
        <v>0.001124536036408</v>
      </c>
      <c r="F452" s="61" t="n">
        <v>0.159557907909323</v>
      </c>
      <c r="G452" s="55" t="n">
        <v>26.9638762405966</v>
      </c>
      <c r="H452" s="62" t="n">
        <v>0</v>
      </c>
      <c r="I452" s="62" t="n">
        <v>0</v>
      </c>
      <c r="J452" s="62" t="n">
        <v>0</v>
      </c>
      <c r="K452" s="62" t="n">
        <v>0</v>
      </c>
      <c r="L452" s="62" t="n">
        <v>0</v>
      </c>
      <c r="M452" s="61" t="n">
        <v>0.159046417259038</v>
      </c>
    </row>
    <row r="453" customFormat="false" ht="15" hidden="false" customHeight="true" outlineLevel="0" collapsed="false">
      <c r="A453" s="62" t="n">
        <v>427</v>
      </c>
      <c r="B453" s="59" t="n">
        <v>1.86608897520987</v>
      </c>
      <c r="C453" s="59" t="n">
        <v>0.75130580908295</v>
      </c>
      <c r="D453" s="59" t="n">
        <v>2.66463446167001</v>
      </c>
      <c r="E453" s="60" t="n">
        <v>-0.00399816425507438</v>
      </c>
      <c r="F453" s="61" t="n">
        <v>0.0412435009826551</v>
      </c>
      <c r="G453" s="55" t="n">
        <v>-7.73649458348764</v>
      </c>
      <c r="H453" s="62" t="n">
        <v>0</v>
      </c>
      <c r="I453" s="62" t="n">
        <v>0</v>
      </c>
      <c r="J453" s="62" t="n">
        <v>0</v>
      </c>
      <c r="K453" s="62" t="n">
        <v>0</v>
      </c>
      <c r="L453" s="62" t="n">
        <v>0</v>
      </c>
      <c r="M453" s="61" t="n">
        <v>0.158402847561654</v>
      </c>
    </row>
    <row r="454" customFormat="false" ht="15" hidden="false" customHeight="true" outlineLevel="0" collapsed="false">
      <c r="A454" s="62" t="n">
        <v>428</v>
      </c>
      <c r="B454" s="59" t="n">
        <v>-0.5816612814264</v>
      </c>
      <c r="C454" s="59" t="n">
        <v>-0.257607838488975</v>
      </c>
      <c r="D454" s="59" t="n">
        <v>-0.133532513325561</v>
      </c>
      <c r="E454" s="60" t="n">
        <v>-0.00353358830525381</v>
      </c>
      <c r="F454" s="61" t="n">
        <v>0.279104034630855</v>
      </c>
      <c r="G454" s="55" t="n">
        <v>62.3563168800938</v>
      </c>
      <c r="H454" s="62" t="n">
        <v>0</v>
      </c>
      <c r="I454" s="62" t="n">
        <v>0</v>
      </c>
      <c r="J454" s="62" t="n">
        <v>0</v>
      </c>
      <c r="K454" s="62" t="n">
        <v>0</v>
      </c>
      <c r="L454" s="62" t="n">
        <v>1</v>
      </c>
      <c r="M454" s="61" t="n">
        <v>0.362369516788003</v>
      </c>
    </row>
    <row r="455" customFormat="false" ht="15" hidden="false" customHeight="true" outlineLevel="0" collapsed="false">
      <c r="A455" s="62" t="n">
        <v>429</v>
      </c>
      <c r="B455" s="59" t="n">
        <v>0.673104863818683</v>
      </c>
      <c r="C455" s="59" t="n">
        <v>0.162125837937357</v>
      </c>
      <c r="D455" s="59" t="n">
        <v>0.933918140374436</v>
      </c>
      <c r="E455" s="60" t="n">
        <v>0.00541369452199687</v>
      </c>
      <c r="F455" s="61" t="n">
        <v>0.11318093693433</v>
      </c>
      <c r="G455" s="55" t="n">
        <v>53.783922136623</v>
      </c>
      <c r="H455" s="62" t="n">
        <v>0</v>
      </c>
      <c r="I455" s="62" t="n">
        <v>0</v>
      </c>
      <c r="J455" s="62" t="n">
        <v>0</v>
      </c>
      <c r="K455" s="62" t="n">
        <v>0</v>
      </c>
      <c r="L455" s="62" t="n">
        <v>0</v>
      </c>
      <c r="M455" s="61" t="n">
        <v>0.158402847561654</v>
      </c>
    </row>
    <row r="456" customFormat="false" ht="15" hidden="false" customHeight="true" outlineLevel="0" collapsed="false">
      <c r="A456" s="62" t="n">
        <v>430</v>
      </c>
      <c r="B456" s="59" t="n">
        <v>0.546443967134762</v>
      </c>
      <c r="C456" s="59" t="n">
        <v>0.911539146642999</v>
      </c>
      <c r="D456" s="59" t="n">
        <v>0.841429512863795</v>
      </c>
      <c r="E456" s="60" t="n">
        <v>0.00732306211877022</v>
      </c>
      <c r="F456" s="61" t="n">
        <v>0.124269100598004</v>
      </c>
      <c r="G456" s="55" t="n">
        <v>83.6650723440456</v>
      </c>
      <c r="H456" s="62" t="n">
        <v>0</v>
      </c>
      <c r="I456" s="62" t="n">
        <v>0</v>
      </c>
      <c r="J456" s="62" t="n">
        <v>0</v>
      </c>
      <c r="K456" s="62" t="n">
        <v>0</v>
      </c>
      <c r="L456" s="62" t="n">
        <v>1</v>
      </c>
      <c r="M456" s="61" t="n">
        <v>0.361451923451856</v>
      </c>
    </row>
    <row r="457" customFormat="false" ht="15" hidden="false" customHeight="true" outlineLevel="0" collapsed="false">
      <c r="A457" s="62" t="n">
        <v>431</v>
      </c>
      <c r="B457" s="59" t="n">
        <v>-0.636150525065801</v>
      </c>
      <c r="C457" s="59" t="n">
        <v>-0.652456459753434</v>
      </c>
      <c r="D457" s="59" t="n">
        <v>-0.0953525925657858</v>
      </c>
      <c r="E457" s="60" t="n">
        <v>-0.00708474902924939</v>
      </c>
      <c r="F457" s="61" t="n">
        <v>0.289561969097277</v>
      </c>
      <c r="G457" s="55" t="n">
        <v>30.2553687855114</v>
      </c>
      <c r="H457" s="62" t="n">
        <v>0</v>
      </c>
      <c r="I457" s="62" t="n">
        <v>0</v>
      </c>
      <c r="J457" s="62" t="n">
        <v>0</v>
      </c>
      <c r="K457" s="62" t="n">
        <v>0</v>
      </c>
      <c r="L457" s="62" t="n">
        <v>0</v>
      </c>
      <c r="M457" s="61" t="n">
        <v>0.158942236404032</v>
      </c>
    </row>
    <row r="458" customFormat="false" ht="15" hidden="false" customHeight="true" outlineLevel="0" collapsed="false">
      <c r="A458" s="62" t="n">
        <v>432</v>
      </c>
      <c r="B458" s="59" t="n">
        <v>-0.297072063885677</v>
      </c>
      <c r="C458" s="59" t="n">
        <v>1.71892637520446</v>
      </c>
      <c r="D458" s="59" t="n">
        <v>-0.652242169848987</v>
      </c>
      <c r="E458" s="60" t="n">
        <v>0.00612242440054854</v>
      </c>
      <c r="F458" s="61" t="n">
        <v>0.227817728926886</v>
      </c>
      <c r="G458" s="55" t="n">
        <v>82.5497604025605</v>
      </c>
      <c r="H458" s="62" t="n">
        <v>0</v>
      </c>
      <c r="I458" s="62" t="n">
        <v>0</v>
      </c>
      <c r="J458" s="62" t="n">
        <v>0</v>
      </c>
      <c r="K458" s="62" t="n">
        <v>0</v>
      </c>
      <c r="L458" s="62" t="n">
        <v>0</v>
      </c>
      <c r="M458" s="61" t="n">
        <v>0.15969129969959</v>
      </c>
    </row>
    <row r="459" customFormat="false" ht="15" hidden="false" customHeight="true" outlineLevel="0" collapsed="false">
      <c r="A459" s="62" t="n">
        <v>433</v>
      </c>
      <c r="B459" s="59" t="n">
        <v>0.156942784521172</v>
      </c>
      <c r="C459" s="59" t="n">
        <v>0.872116512060189</v>
      </c>
      <c r="D459" s="59" t="n">
        <v>0.00726219109539503</v>
      </c>
      <c r="E459" s="60" t="n">
        <v>0.00219932531373504</v>
      </c>
      <c r="F459" s="61" t="n">
        <v>0.163057276835666</v>
      </c>
      <c r="G459" s="55" t="n">
        <v>31.2043343287956</v>
      </c>
      <c r="H459" s="62" t="n">
        <v>0</v>
      </c>
      <c r="I459" s="62" t="n">
        <v>0</v>
      </c>
      <c r="J459" s="62" t="n">
        <v>0</v>
      </c>
      <c r="K459" s="62" t="n">
        <v>0</v>
      </c>
      <c r="L459" s="62" t="n">
        <v>0</v>
      </c>
      <c r="M459" s="61" t="n">
        <v>0.158402906882253</v>
      </c>
    </row>
    <row r="460" customFormat="false" ht="15" hidden="false" customHeight="true" outlineLevel="0" collapsed="false">
      <c r="A460" s="62" t="n">
        <v>434</v>
      </c>
      <c r="B460" s="59" t="n">
        <v>1.38937874366796</v>
      </c>
      <c r="C460" s="59" t="n">
        <v>1.07143498876171</v>
      </c>
      <c r="D460" s="59" t="n">
        <v>1.70350567472649</v>
      </c>
      <c r="E460" s="60" t="n">
        <v>-0.031741983434188</v>
      </c>
      <c r="F460" s="61" t="n">
        <v>0.0635322190105473</v>
      </c>
      <c r="G460" s="55" t="n">
        <v>-173.03345463216</v>
      </c>
      <c r="H460" s="62" t="n">
        <v>0</v>
      </c>
      <c r="I460" s="62" t="n">
        <v>0</v>
      </c>
      <c r="J460" s="62" t="n">
        <v>0</v>
      </c>
      <c r="K460" s="62" t="n">
        <v>0</v>
      </c>
      <c r="L460" s="62" t="n">
        <v>0</v>
      </c>
      <c r="M460" s="61" t="n">
        <v>0.158402847561654</v>
      </c>
    </row>
    <row r="461" customFormat="false" ht="15" hidden="false" customHeight="true" outlineLevel="0" collapsed="false">
      <c r="A461" s="62" t="n">
        <v>435</v>
      </c>
      <c r="B461" s="59" t="n">
        <v>1.36466992168709</v>
      </c>
      <c r="C461" s="59" t="n">
        <v>0.17503150691101</v>
      </c>
      <c r="D461" s="59" t="n">
        <v>1.56087916552027</v>
      </c>
      <c r="E461" s="60" t="n">
        <v>0.00118823345738125</v>
      </c>
      <c r="F461" s="61" t="n">
        <v>0.0649022190442454</v>
      </c>
      <c r="G461" s="55" t="n">
        <v>24.6136416188275</v>
      </c>
      <c r="H461" s="62" t="n">
        <v>0</v>
      </c>
      <c r="I461" s="62" t="n">
        <v>0</v>
      </c>
      <c r="J461" s="62" t="n">
        <v>0</v>
      </c>
      <c r="K461" s="62" t="n">
        <v>0</v>
      </c>
      <c r="L461" s="62" t="n">
        <v>0</v>
      </c>
      <c r="M461" s="61" t="n">
        <v>0.158402847561654</v>
      </c>
    </row>
    <row r="462" customFormat="false" ht="15" hidden="false" customHeight="true" outlineLevel="0" collapsed="false">
      <c r="A462" s="62" t="n">
        <v>436</v>
      </c>
      <c r="B462" s="59" t="n">
        <v>-1.28241922155251</v>
      </c>
      <c r="C462" s="59" t="n">
        <v>-1.21791887185504</v>
      </c>
      <c r="D462" s="59" t="n">
        <v>-0.900959986741035</v>
      </c>
      <c r="E462" s="60" t="n">
        <v>-0.0056399876843316</v>
      </c>
      <c r="F462" s="61" t="n">
        <v>0.425932168824232</v>
      </c>
      <c r="G462" s="55" t="n">
        <v>141.136689865513</v>
      </c>
      <c r="H462" s="62" t="n">
        <v>0</v>
      </c>
      <c r="I462" s="62" t="n">
        <v>0</v>
      </c>
      <c r="J462" s="62" t="n">
        <v>0</v>
      </c>
      <c r="K462" s="62" t="n">
        <v>0</v>
      </c>
      <c r="L462" s="62" t="n">
        <v>0</v>
      </c>
      <c r="M462" s="61" t="n">
        <v>0.225139716066987</v>
      </c>
    </row>
    <row r="463" customFormat="false" ht="15" hidden="false" customHeight="true" outlineLevel="0" collapsed="false">
      <c r="A463" s="62" t="n">
        <v>437</v>
      </c>
      <c r="B463" s="59" t="n">
        <v>-0.45377557626481</v>
      </c>
      <c r="C463" s="59" t="n">
        <v>0.109600865396811</v>
      </c>
      <c r="D463" s="59" t="n">
        <v>0.0400749804849829</v>
      </c>
      <c r="E463" s="60" t="n">
        <v>0.0225521464905429</v>
      </c>
      <c r="F463" s="61" t="n">
        <v>0.255345349263943</v>
      </c>
      <c r="G463" s="55" t="n">
        <v>226.485202180458</v>
      </c>
      <c r="H463" s="62" t="n">
        <v>0</v>
      </c>
      <c r="I463" s="62" t="n">
        <v>0</v>
      </c>
      <c r="J463" s="62" t="n">
        <v>0</v>
      </c>
      <c r="K463" s="62" t="n">
        <v>0</v>
      </c>
      <c r="L463" s="62" t="n">
        <v>1</v>
      </c>
      <c r="M463" s="61" t="n">
        <v>0.361945075072397</v>
      </c>
    </row>
    <row r="464" customFormat="false" ht="15" hidden="false" customHeight="true" outlineLevel="0" collapsed="false">
      <c r="A464" s="62" t="n">
        <v>438</v>
      </c>
      <c r="B464" s="59" t="n">
        <v>1.07473722081692</v>
      </c>
      <c r="C464" s="59" t="n">
        <v>0.950480967597039</v>
      </c>
      <c r="D464" s="59" t="n">
        <v>0.848141563878476</v>
      </c>
      <c r="E464" s="60" t="n">
        <v>-0.00212481891816407</v>
      </c>
      <c r="F464" s="61" t="n">
        <v>0.0827302880818203</v>
      </c>
      <c r="G464" s="55" t="n">
        <v>3.35107379125062</v>
      </c>
      <c r="H464" s="62" t="n">
        <v>0</v>
      </c>
      <c r="I464" s="62" t="n">
        <v>0</v>
      </c>
      <c r="J464" s="62" t="n">
        <v>0</v>
      </c>
      <c r="K464" s="62" t="n">
        <v>0</v>
      </c>
      <c r="L464" s="62" t="n">
        <v>0</v>
      </c>
      <c r="M464" s="61" t="n">
        <v>0.158402847561654</v>
      </c>
    </row>
    <row r="465" customFormat="false" ht="15" hidden="false" customHeight="true" outlineLevel="0" collapsed="false">
      <c r="A465" s="62" t="n">
        <v>439</v>
      </c>
      <c r="B465" s="59" t="n">
        <v>-0.536467603066206</v>
      </c>
      <c r="C465" s="59" t="n">
        <v>-1.37855610794406</v>
      </c>
      <c r="D465" s="59" t="n">
        <v>-1.25160211986986</v>
      </c>
      <c r="E465" s="60" t="n">
        <v>0.00739402064338478</v>
      </c>
      <c r="F465" s="61" t="n">
        <v>0.27057973885165</v>
      </c>
      <c r="G465" s="55" t="n">
        <v>140.34194636489</v>
      </c>
      <c r="H465" s="62" t="n">
        <v>0</v>
      </c>
      <c r="I465" s="62" t="n">
        <v>0</v>
      </c>
      <c r="J465" s="62" t="n">
        <v>0</v>
      </c>
      <c r="K465" s="62" t="n">
        <v>0</v>
      </c>
      <c r="L465" s="62" t="n">
        <v>0</v>
      </c>
      <c r="M465" s="61" t="n">
        <v>0.168264317252641</v>
      </c>
    </row>
    <row r="466" customFormat="false" ht="15" hidden="false" customHeight="true" outlineLevel="0" collapsed="false">
      <c r="A466" s="62" t="n">
        <v>440</v>
      </c>
      <c r="B466" s="59" t="n">
        <v>-0.235764606291613</v>
      </c>
      <c r="C466" s="59" t="n">
        <v>0.189455918016417</v>
      </c>
      <c r="D466" s="59" t="n">
        <v>-0.143823218664536</v>
      </c>
      <c r="E466" s="60" t="n">
        <v>0.00979999433186599</v>
      </c>
      <c r="F466" s="61" t="n">
        <v>0.217543390178864</v>
      </c>
      <c r="G466" s="55" t="n">
        <v>103.236564507012</v>
      </c>
      <c r="H466" s="62" t="n">
        <v>0</v>
      </c>
      <c r="I466" s="62" t="n">
        <v>0</v>
      </c>
      <c r="J466" s="62" t="n">
        <v>0</v>
      </c>
      <c r="K466" s="62" t="n">
        <v>0</v>
      </c>
      <c r="L466" s="62" t="n">
        <v>0</v>
      </c>
      <c r="M466" s="61" t="n">
        <v>0.158537559121929</v>
      </c>
    </row>
    <row r="467" customFormat="false" ht="15" hidden="false" customHeight="true" outlineLevel="0" collapsed="false">
      <c r="A467" s="62" t="n">
        <v>441</v>
      </c>
      <c r="B467" s="59" t="n">
        <v>-0.583748480703158</v>
      </c>
      <c r="C467" s="59" t="n">
        <v>-0.710993005713695</v>
      </c>
      <c r="D467" s="59" t="n">
        <v>-0.077604507263273</v>
      </c>
      <c r="E467" s="60" t="n">
        <v>-0.00167167599680474</v>
      </c>
      <c r="F467" s="61" t="n">
        <v>0.279501025190266</v>
      </c>
      <c r="G467" s="55" t="n">
        <v>60.3766653329128</v>
      </c>
      <c r="H467" s="62" t="n">
        <v>0</v>
      </c>
      <c r="I467" s="62" t="n">
        <v>0</v>
      </c>
      <c r="J467" s="62" t="n">
        <v>0</v>
      </c>
      <c r="K467" s="62" t="n">
        <v>0</v>
      </c>
      <c r="L467" s="62" t="n">
        <v>0</v>
      </c>
      <c r="M467" s="61" t="n">
        <v>0.158890600731337</v>
      </c>
    </row>
    <row r="468" customFormat="false" ht="15" hidden="false" customHeight="true" outlineLevel="0" collapsed="false">
      <c r="A468" s="62" t="n">
        <v>442</v>
      </c>
      <c r="B468" s="59" t="n">
        <v>0.030889894615263</v>
      </c>
      <c r="C468" s="59" t="n">
        <v>0.247206917493202</v>
      </c>
      <c r="D468" s="59" t="n">
        <v>-0.305855898543088</v>
      </c>
      <c r="E468" s="60" t="n">
        <v>0.00485041407211203</v>
      </c>
      <c r="F468" s="61" t="n">
        <v>0.177152054832032</v>
      </c>
      <c r="G468" s="55" t="n">
        <v>49.8753806944633</v>
      </c>
      <c r="H468" s="62" t="n">
        <v>0</v>
      </c>
      <c r="I468" s="62" t="n">
        <v>0</v>
      </c>
      <c r="J468" s="62" t="n">
        <v>0</v>
      </c>
      <c r="K468" s="62" t="n">
        <v>0</v>
      </c>
      <c r="L468" s="62" t="n">
        <v>0</v>
      </c>
      <c r="M468" s="61" t="n">
        <v>0.158691563425376</v>
      </c>
    </row>
    <row r="469" customFormat="false" ht="15" hidden="false" customHeight="true" outlineLevel="0" collapsed="false">
      <c r="A469" s="62" t="n">
        <v>443</v>
      </c>
      <c r="B469" s="59" t="n">
        <v>-0.196338184404371</v>
      </c>
      <c r="C469" s="59" t="n">
        <v>0.144262821557371</v>
      </c>
      <c r="D469" s="59" t="n">
        <v>-0.411648399578599</v>
      </c>
      <c r="E469" s="60" t="n">
        <v>0.014711498648787</v>
      </c>
      <c r="F469" s="61" t="n">
        <v>0.2110867279952</v>
      </c>
      <c r="G469" s="55" t="n">
        <v>134.049597569915</v>
      </c>
      <c r="H469" s="62" t="n">
        <v>0</v>
      </c>
      <c r="I469" s="62" t="n">
        <v>0</v>
      </c>
      <c r="J469" s="62" t="n">
        <v>0</v>
      </c>
      <c r="K469" s="62" t="n">
        <v>0</v>
      </c>
      <c r="L469" s="62" t="n">
        <v>0</v>
      </c>
      <c r="M469" s="61" t="n">
        <v>0.159120172600716</v>
      </c>
    </row>
    <row r="470" customFormat="false" ht="15" hidden="false" customHeight="true" outlineLevel="0" collapsed="false">
      <c r="A470" s="62" t="n">
        <v>444</v>
      </c>
      <c r="B470" s="59" t="n">
        <v>0.101296812689933</v>
      </c>
      <c r="C470" s="59" t="n">
        <v>0.795666860325984</v>
      </c>
      <c r="D470" s="59" t="n">
        <v>-0.154720497416845</v>
      </c>
      <c r="E470" s="60" t="n">
        <v>0.00675426149937544</v>
      </c>
      <c r="F470" s="61" t="n">
        <v>0.16918605509131</v>
      </c>
      <c r="G470" s="55" t="n">
        <v>62.6852381700626</v>
      </c>
      <c r="H470" s="62" t="n">
        <v>0</v>
      </c>
      <c r="I470" s="62" t="n">
        <v>0</v>
      </c>
      <c r="J470" s="62" t="n">
        <v>0</v>
      </c>
      <c r="K470" s="62" t="n">
        <v>0</v>
      </c>
      <c r="L470" s="62" t="n">
        <v>0</v>
      </c>
      <c r="M470" s="61" t="n">
        <v>0.158536409184745</v>
      </c>
    </row>
    <row r="471" customFormat="false" ht="15" hidden="false" customHeight="true" outlineLevel="0" collapsed="false">
      <c r="A471" s="62" t="n">
        <v>445</v>
      </c>
      <c r="B471" s="59" t="n">
        <v>-0.271971594830277</v>
      </c>
      <c r="C471" s="59" t="n">
        <v>0.0742898677961843</v>
      </c>
      <c r="D471" s="59" t="n">
        <v>-0.342720410633101</v>
      </c>
      <c r="E471" s="60" t="n">
        <v>-0.00506163920520416</v>
      </c>
      <c r="F471" s="61" t="n">
        <v>0.22357693445629</v>
      </c>
      <c r="G471" s="55" t="n">
        <v>26.0822835359764</v>
      </c>
      <c r="H471" s="62" t="n">
        <v>0</v>
      </c>
      <c r="I471" s="62" t="n">
        <v>0</v>
      </c>
      <c r="J471" s="62" t="n">
        <v>0</v>
      </c>
      <c r="K471" s="62" t="n">
        <v>0</v>
      </c>
      <c r="L471" s="62" t="n">
        <v>1</v>
      </c>
      <c r="M471" s="61" t="n">
        <v>0.362563697565546</v>
      </c>
    </row>
    <row r="472" customFormat="false" ht="15" hidden="false" customHeight="true" outlineLevel="0" collapsed="false">
      <c r="A472" s="62" t="n">
        <v>446</v>
      </c>
      <c r="B472" s="59" t="n">
        <v>-1.01294906065373</v>
      </c>
      <c r="C472" s="59" t="n">
        <v>-0.290463239387499</v>
      </c>
      <c r="D472" s="59" t="n">
        <v>-0.872585939769145</v>
      </c>
      <c r="E472" s="60" t="n">
        <v>-0.006877903890016</v>
      </c>
      <c r="F472" s="61" t="n">
        <v>0.366702541641072</v>
      </c>
      <c r="G472" s="55" t="n">
        <v>65.4839467547284</v>
      </c>
      <c r="H472" s="62" t="n">
        <v>0</v>
      </c>
      <c r="I472" s="62" t="n">
        <v>0</v>
      </c>
      <c r="J472" s="62" t="n">
        <v>0</v>
      </c>
      <c r="K472" s="62" t="n">
        <v>0</v>
      </c>
      <c r="L472" s="62" t="n">
        <v>0</v>
      </c>
      <c r="M472" s="61" t="n">
        <v>0.168404124005598</v>
      </c>
    </row>
    <row r="473" customFormat="false" ht="15" hidden="false" customHeight="true" outlineLevel="0" collapsed="false">
      <c r="A473" s="62" t="n">
        <v>447</v>
      </c>
      <c r="B473" s="59" t="n">
        <v>0.270347635569812</v>
      </c>
      <c r="C473" s="59" t="n">
        <v>-0.152224294910602</v>
      </c>
      <c r="D473" s="59" t="n">
        <v>0.143959817854057</v>
      </c>
      <c r="E473" s="60" t="n">
        <v>0.00220356825991406</v>
      </c>
      <c r="F473" s="61" t="n">
        <v>0.151023669238169</v>
      </c>
      <c r="G473" s="55" t="n">
        <v>34.9556361943333</v>
      </c>
      <c r="H473" s="62" t="n">
        <v>0</v>
      </c>
      <c r="I473" s="62" t="n">
        <v>0</v>
      </c>
      <c r="J473" s="62" t="n">
        <v>0</v>
      </c>
      <c r="K473" s="62" t="n">
        <v>0</v>
      </c>
      <c r="L473" s="62" t="n">
        <v>0</v>
      </c>
      <c r="M473" s="61" t="n">
        <v>0.158402847561654</v>
      </c>
    </row>
    <row r="474" customFormat="false" ht="15" hidden="false" customHeight="true" outlineLevel="0" collapsed="false">
      <c r="A474" s="62" t="n">
        <v>448</v>
      </c>
      <c r="B474" s="59" t="n">
        <v>0.0476863985101738</v>
      </c>
      <c r="C474" s="59" t="n">
        <v>-0.535661830171735</v>
      </c>
      <c r="D474" s="59" t="n">
        <v>0.214352321299295</v>
      </c>
      <c r="E474" s="60" t="n">
        <v>-0.00308958334035306</v>
      </c>
      <c r="F474" s="61" t="n">
        <v>0.175230217523312</v>
      </c>
      <c r="G474" s="55" t="n">
        <v>9.64992712404465</v>
      </c>
      <c r="H474" s="62" t="n">
        <v>0</v>
      </c>
      <c r="I474" s="62" t="n">
        <v>0</v>
      </c>
      <c r="J474" s="62" t="n">
        <v>0</v>
      </c>
      <c r="K474" s="62" t="n">
        <v>0</v>
      </c>
      <c r="L474" s="62" t="n">
        <v>0</v>
      </c>
      <c r="M474" s="61" t="n">
        <v>0.158403059364362</v>
      </c>
    </row>
    <row r="475" customFormat="false" ht="15" hidden="false" customHeight="true" outlineLevel="0" collapsed="false">
      <c r="A475" s="62" t="n">
        <v>449</v>
      </c>
      <c r="B475" s="59" t="n">
        <v>-0.131381787946426</v>
      </c>
      <c r="C475" s="59" t="n">
        <v>-0.130569406496426</v>
      </c>
      <c r="D475" s="59" t="n">
        <v>-0.653944531923215</v>
      </c>
      <c r="E475" s="60" t="n">
        <v>-0.0120267839904877</v>
      </c>
      <c r="F475" s="61" t="n">
        <v>0.200709370813697</v>
      </c>
      <c r="G475" s="55" t="n">
        <v>-43.514319339069</v>
      </c>
      <c r="H475" s="62" t="n">
        <v>0</v>
      </c>
      <c r="I475" s="62" t="n">
        <v>0</v>
      </c>
      <c r="J475" s="62" t="n">
        <v>0</v>
      </c>
      <c r="K475" s="62" t="n">
        <v>0</v>
      </c>
      <c r="L475" s="62" t="n">
        <v>0</v>
      </c>
      <c r="M475" s="61" t="n">
        <v>0.159510785197857</v>
      </c>
    </row>
    <row r="476" customFormat="false" ht="15" hidden="false" customHeight="true" outlineLevel="0" collapsed="false">
      <c r="A476" s="62" t="n">
        <v>450</v>
      </c>
      <c r="B476" s="59" t="n">
        <v>-1.1537642366869</v>
      </c>
      <c r="C476" s="59" t="n">
        <v>-0.577954187581543</v>
      </c>
      <c r="D476" s="59" t="n">
        <v>-1.13497267157501</v>
      </c>
      <c r="E476" s="60" t="n">
        <v>-0.00892750008924196</v>
      </c>
      <c r="F476" s="61" t="n">
        <v>0.397327150344247</v>
      </c>
      <c r="G476" s="55" t="n">
        <v>181.397606722609</v>
      </c>
      <c r="H476" s="62" t="n">
        <v>0</v>
      </c>
      <c r="I476" s="62" t="n">
        <v>0</v>
      </c>
      <c r="J476" s="62" t="n">
        <v>0</v>
      </c>
      <c r="K476" s="62" t="n">
        <v>0</v>
      </c>
      <c r="L476" s="62" t="n">
        <v>1</v>
      </c>
      <c r="M476" s="61" t="n">
        <v>0.503819546958912</v>
      </c>
    </row>
    <row r="477" customFormat="false" ht="15" hidden="false" customHeight="true" outlineLevel="0" collapsed="false">
      <c r="A477" s="62" t="n">
        <v>451</v>
      </c>
      <c r="B477" s="59" t="n">
        <v>0.230795034141581</v>
      </c>
      <c r="C477" s="59" t="n">
        <v>0.606229068335042</v>
      </c>
      <c r="D477" s="59" t="n">
        <v>0.528102715086257</v>
      </c>
      <c r="E477" s="60" t="n">
        <v>-0.000128312278469236</v>
      </c>
      <c r="F477" s="61" t="n">
        <v>0.155151159451844</v>
      </c>
      <c r="G477" s="55" t="n">
        <v>32.4845329239405</v>
      </c>
      <c r="H477" s="62" t="n">
        <v>0</v>
      </c>
      <c r="I477" s="62" t="n">
        <v>0</v>
      </c>
      <c r="J477" s="62" t="n">
        <v>0</v>
      </c>
      <c r="K477" s="62" t="n">
        <v>0</v>
      </c>
      <c r="L477" s="62" t="n">
        <v>1</v>
      </c>
      <c r="M477" s="61" t="n">
        <v>0.361455604441558</v>
      </c>
    </row>
    <row r="478" customFormat="false" ht="15" hidden="false" customHeight="true" outlineLevel="0" collapsed="false">
      <c r="A478" s="62" t="n">
        <v>452</v>
      </c>
      <c r="B478" s="59" t="n">
        <v>0.000800164339771481</v>
      </c>
      <c r="C478" s="59" t="n">
        <v>0.00529549955584593</v>
      </c>
      <c r="D478" s="59" t="n">
        <v>0.323435053538094</v>
      </c>
      <c r="E478" s="60" t="n">
        <v>-0.00136809794412255</v>
      </c>
      <c r="F478" s="61" t="n">
        <v>0.180628446478639</v>
      </c>
      <c r="G478" s="55" t="n">
        <v>8.42777388662748</v>
      </c>
      <c r="H478" s="62" t="n">
        <v>0</v>
      </c>
      <c r="I478" s="62" t="n">
        <v>0</v>
      </c>
      <c r="J478" s="62" t="n">
        <v>0</v>
      </c>
      <c r="K478" s="62" t="n">
        <v>0</v>
      </c>
      <c r="L478" s="62" t="n">
        <v>0</v>
      </c>
      <c r="M478" s="61" t="n">
        <v>0.158403103654139</v>
      </c>
    </row>
    <row r="479" customFormat="false" ht="15" hidden="false" customHeight="true" outlineLevel="0" collapsed="false">
      <c r="A479" s="62" t="n">
        <v>453</v>
      </c>
      <c r="B479" s="59" t="n">
        <v>-2.28230297379917</v>
      </c>
      <c r="C479" s="59" t="n">
        <v>-1.10939739629876</v>
      </c>
      <c r="D479" s="59" t="n">
        <v>-0.803456606742891</v>
      </c>
      <c r="E479" s="60" t="n">
        <v>-0.00868234653607422</v>
      </c>
      <c r="F479" s="61" t="n">
        <v>0.639313440401744</v>
      </c>
      <c r="G479" s="55" t="n">
        <v>587.752418820307</v>
      </c>
      <c r="H479" s="62" t="n">
        <v>12</v>
      </c>
      <c r="I479" s="62" t="n">
        <v>1</v>
      </c>
      <c r="J479" s="62" t="n">
        <v>1</v>
      </c>
      <c r="K479" s="62" t="n">
        <v>1</v>
      </c>
      <c r="L479" s="62" t="n">
        <v>0</v>
      </c>
      <c r="M479" s="61" t="n">
        <v>0.999999999999945</v>
      </c>
    </row>
    <row r="480" customFormat="false" ht="15" hidden="false" customHeight="true" outlineLevel="0" collapsed="false">
      <c r="A480" s="62" t="n">
        <v>454</v>
      </c>
      <c r="B480" s="59" t="n">
        <v>-4.41592682133611</v>
      </c>
      <c r="C480" s="59" t="n">
        <v>-3.32598108955816</v>
      </c>
      <c r="D480" s="59" t="n">
        <v>-2.9878313480826</v>
      </c>
      <c r="E480" s="60" t="n">
        <v>0.0246299080812675</v>
      </c>
      <c r="F480" s="61" t="n">
        <v>0.913041625247817</v>
      </c>
      <c r="G480" s="55" t="n">
        <v>1386.85454483765</v>
      </c>
      <c r="H480" s="62" t="n">
        <v>18</v>
      </c>
      <c r="I480" s="62" t="n">
        <v>9</v>
      </c>
      <c r="J480" s="62" t="n">
        <v>11</v>
      </c>
      <c r="K480" s="62" t="n">
        <v>1</v>
      </c>
      <c r="L480" s="62" t="n">
        <v>0</v>
      </c>
      <c r="M480" s="61" t="n">
        <v>1</v>
      </c>
    </row>
    <row r="481" customFormat="false" ht="15" hidden="false" customHeight="true" outlineLevel="0" collapsed="false">
      <c r="A481" s="62" t="n">
        <v>455</v>
      </c>
      <c r="B481" s="59" t="n">
        <v>-0.129067419415201</v>
      </c>
      <c r="C481" s="59" t="n">
        <v>0.572120565504618</v>
      </c>
      <c r="D481" s="59" t="n">
        <v>0.236104893887081</v>
      </c>
      <c r="E481" s="60" t="n">
        <v>0.0180243595773886</v>
      </c>
      <c r="F481" s="61" t="n">
        <v>0.200345641791575</v>
      </c>
      <c r="G481" s="55" t="n">
        <v>151.024708526348</v>
      </c>
      <c r="H481" s="62" t="n">
        <v>0</v>
      </c>
      <c r="I481" s="62" t="n">
        <v>0</v>
      </c>
      <c r="J481" s="62" t="n">
        <v>0</v>
      </c>
      <c r="K481" s="62" t="n">
        <v>0</v>
      </c>
      <c r="L481" s="62" t="n">
        <v>0</v>
      </c>
      <c r="M481" s="61" t="n">
        <v>0.158403669678107</v>
      </c>
    </row>
    <row r="482" customFormat="false" ht="15" hidden="false" customHeight="true" outlineLevel="0" collapsed="false">
      <c r="A482" s="62" t="n">
        <v>456</v>
      </c>
      <c r="B482" s="59" t="n">
        <v>-1.22883903715785</v>
      </c>
      <c r="C482" s="59" t="n">
        <v>-0.286801028633795</v>
      </c>
      <c r="D482" s="59" t="n">
        <v>-0.505883297071184</v>
      </c>
      <c r="E482" s="60" t="n">
        <v>0.00483988290131699</v>
      </c>
      <c r="F482" s="61" t="n">
        <v>0.413956484641286</v>
      </c>
      <c r="G482" s="55" t="n">
        <v>213.042384501932</v>
      </c>
      <c r="H482" s="62" t="n">
        <v>0</v>
      </c>
      <c r="I482" s="62" t="n">
        <v>0</v>
      </c>
      <c r="J482" s="62" t="n">
        <v>0</v>
      </c>
      <c r="K482" s="62" t="n">
        <v>0</v>
      </c>
      <c r="L482" s="62" t="n">
        <v>1</v>
      </c>
      <c r="M482" s="61" t="n">
        <v>0.426615863288917</v>
      </c>
    </row>
    <row r="483" customFormat="false" ht="15" hidden="false" customHeight="true" outlineLevel="0" collapsed="false">
      <c r="A483" s="62" t="n">
        <v>457</v>
      </c>
      <c r="B483" s="59" t="n">
        <v>-0.311285003909783</v>
      </c>
      <c r="C483" s="59" t="n">
        <v>0.492664246027616</v>
      </c>
      <c r="D483" s="59" t="n">
        <v>0.0378544557281706</v>
      </c>
      <c r="E483" s="60" t="n">
        <v>-0.00569923942585331</v>
      </c>
      <c r="F483" s="61" t="n">
        <v>0.230239983416485</v>
      </c>
      <c r="G483" s="55" t="n">
        <v>24.7353486825385</v>
      </c>
      <c r="H483" s="62" t="n">
        <v>0</v>
      </c>
      <c r="I483" s="62" t="n">
        <v>0</v>
      </c>
      <c r="J483" s="62" t="n">
        <v>0</v>
      </c>
      <c r="K483" s="62" t="n">
        <v>0</v>
      </c>
      <c r="L483" s="62" t="n">
        <v>1</v>
      </c>
      <c r="M483" s="61" t="n">
        <v>0.361850279218233</v>
      </c>
    </row>
    <row r="484" customFormat="false" ht="15" hidden="false" customHeight="true" outlineLevel="0" collapsed="false">
      <c r="A484" s="62" t="n">
        <v>458</v>
      </c>
      <c r="B484" s="59" t="n">
        <v>-1.41113117886627</v>
      </c>
      <c r="C484" s="59" t="n">
        <v>0.437509056564304</v>
      </c>
      <c r="D484" s="59" t="n">
        <v>-0.0968758370771252</v>
      </c>
      <c r="E484" s="60" t="n">
        <v>0.00242908435581205</v>
      </c>
      <c r="F484" s="61" t="n">
        <v>0.454994885912491</v>
      </c>
      <c r="G484" s="55" t="n">
        <v>156.615741804424</v>
      </c>
      <c r="H484" s="62" t="n">
        <v>0</v>
      </c>
      <c r="I484" s="62" t="n">
        <v>0</v>
      </c>
      <c r="J484" s="62" t="n">
        <v>0</v>
      </c>
      <c r="K484" s="62" t="n">
        <v>0</v>
      </c>
      <c r="L484" s="62" t="n">
        <v>0</v>
      </c>
      <c r="M484" s="61" t="n">
        <v>0.197826630221721</v>
      </c>
    </row>
    <row r="485" customFormat="false" ht="15" hidden="false" customHeight="true" outlineLevel="0" collapsed="false">
      <c r="A485" s="62" t="n">
        <v>459</v>
      </c>
      <c r="B485" s="59" t="n">
        <v>-0.223935740357012</v>
      </c>
      <c r="C485" s="59" t="n">
        <v>-0.095240326810697</v>
      </c>
      <c r="D485" s="59" t="n">
        <v>0.0424159771620457</v>
      </c>
      <c r="E485" s="60" t="n">
        <v>0.00570538033429858</v>
      </c>
      <c r="F485" s="61" t="n">
        <v>0.215593782908129</v>
      </c>
      <c r="G485" s="55" t="n">
        <v>74.6271568137051</v>
      </c>
      <c r="H485" s="62" t="n">
        <v>0</v>
      </c>
      <c r="I485" s="62" t="n">
        <v>0</v>
      </c>
      <c r="J485" s="62" t="n">
        <v>0</v>
      </c>
      <c r="K485" s="62" t="n">
        <v>0</v>
      </c>
      <c r="L485" s="62" t="n">
        <v>0</v>
      </c>
      <c r="M485" s="61" t="n">
        <v>0.158405592519712</v>
      </c>
    </row>
    <row r="486" customFormat="false" ht="15" hidden="false" customHeight="true" outlineLevel="0" collapsed="false">
      <c r="A486" s="62" t="n">
        <v>460</v>
      </c>
      <c r="B486" s="59" t="n">
        <v>0.197559339666998</v>
      </c>
      <c r="C486" s="59" t="n">
        <v>0.866285245756644</v>
      </c>
      <c r="D486" s="59" t="n">
        <v>0.595997523251006</v>
      </c>
      <c r="E486" s="60" t="n">
        <v>-0.0059817141487024</v>
      </c>
      <c r="F486" s="61" t="n">
        <v>0.158676997264005</v>
      </c>
      <c r="G486" s="55" t="n">
        <v>-2.47302012297684</v>
      </c>
      <c r="H486" s="62" t="n">
        <v>0</v>
      </c>
      <c r="I486" s="62" t="n">
        <v>0</v>
      </c>
      <c r="J486" s="62" t="n">
        <v>0</v>
      </c>
      <c r="K486" s="62" t="n">
        <v>0</v>
      </c>
      <c r="L486" s="62" t="n">
        <v>1</v>
      </c>
      <c r="M486" s="61" t="n">
        <v>0.361456086129239</v>
      </c>
    </row>
    <row r="487" customFormat="false" ht="15" hidden="false" customHeight="true" outlineLevel="0" collapsed="false">
      <c r="A487" s="62" t="n">
        <v>461</v>
      </c>
      <c r="B487" s="59" t="n">
        <v>-0.475658214483384</v>
      </c>
      <c r="C487" s="59" t="n">
        <v>-0.646478628241441</v>
      </c>
      <c r="D487" s="59" t="n">
        <v>0.0764573739763023</v>
      </c>
      <c r="E487" s="60" t="n">
        <v>-0.00596671048778764</v>
      </c>
      <c r="F487" s="61" t="n">
        <v>0.259330361867335</v>
      </c>
      <c r="G487" s="55" t="n">
        <v>26.1984213534478</v>
      </c>
      <c r="H487" s="62" t="n">
        <v>0</v>
      </c>
      <c r="I487" s="62" t="n">
        <v>0</v>
      </c>
      <c r="J487" s="62" t="n">
        <v>0</v>
      </c>
      <c r="K487" s="62" t="n">
        <v>0</v>
      </c>
      <c r="L487" s="62" t="n">
        <v>0</v>
      </c>
      <c r="M487" s="61" t="n">
        <v>0.158739204301059</v>
      </c>
    </row>
    <row r="488" customFormat="false" ht="15" hidden="false" customHeight="true" outlineLevel="0" collapsed="false">
      <c r="A488" s="62" t="n">
        <v>462</v>
      </c>
      <c r="B488" s="59" t="n">
        <v>-0.433882026025937</v>
      </c>
      <c r="C488" s="59" t="n">
        <v>-0.470861143515213</v>
      </c>
      <c r="D488" s="59" t="n">
        <v>0.166713246239295</v>
      </c>
      <c r="E488" s="60" t="n">
        <v>-0.0139131584920321</v>
      </c>
      <c r="F488" s="61" t="n">
        <v>0.251752015445408</v>
      </c>
      <c r="G488" s="55" t="n">
        <v>-27.7956022344171</v>
      </c>
      <c r="H488" s="62" t="n">
        <v>0</v>
      </c>
      <c r="I488" s="62" t="n">
        <v>0</v>
      </c>
      <c r="J488" s="62" t="n">
        <v>0</v>
      </c>
      <c r="K488" s="62" t="n">
        <v>0</v>
      </c>
      <c r="L488" s="62" t="n">
        <v>0</v>
      </c>
      <c r="M488" s="61" t="n">
        <v>0.158717898301364</v>
      </c>
    </row>
    <row r="489" customFormat="false" ht="15" hidden="false" customHeight="true" outlineLevel="0" collapsed="false">
      <c r="A489" s="62" t="n">
        <v>463</v>
      </c>
      <c r="B489" s="59" t="n">
        <v>-0.0351236601598786</v>
      </c>
      <c r="C489" s="59" t="n">
        <v>0.277495691935865</v>
      </c>
      <c r="D489" s="59" t="n">
        <v>0.0728093324989193</v>
      </c>
      <c r="E489" s="60" t="n">
        <v>0.00390331389573238</v>
      </c>
      <c r="F489" s="61" t="n">
        <v>0.185933013654605</v>
      </c>
      <c r="G489" s="55" t="n">
        <v>46.121467207849</v>
      </c>
      <c r="H489" s="62" t="n">
        <v>0</v>
      </c>
      <c r="I489" s="62" t="n">
        <v>0</v>
      </c>
      <c r="J489" s="62" t="n">
        <v>0</v>
      </c>
      <c r="K489" s="62" t="n">
        <v>0</v>
      </c>
      <c r="L489" s="62" t="n">
        <v>0</v>
      </c>
      <c r="M489" s="61" t="n">
        <v>0.158403256382795</v>
      </c>
    </row>
    <row r="490" customFormat="false" ht="15" hidden="false" customHeight="true" outlineLevel="0" collapsed="false">
      <c r="A490" s="62" t="n">
        <v>464</v>
      </c>
      <c r="B490" s="59" t="n">
        <v>-0.563018182760702</v>
      </c>
      <c r="C490" s="59" t="n">
        <v>0.629820283620603</v>
      </c>
      <c r="D490" s="59" t="n">
        <v>-0.146036119719219</v>
      </c>
      <c r="E490" s="60" t="n">
        <v>-0.0187707033299055</v>
      </c>
      <c r="F490" s="61" t="n">
        <v>0.275570967163127</v>
      </c>
      <c r="G490" s="55" t="n">
        <v>-49.7307355192164</v>
      </c>
      <c r="H490" s="62" t="n">
        <v>0</v>
      </c>
      <c r="I490" s="62" t="n">
        <v>0</v>
      </c>
      <c r="J490" s="62" t="n">
        <v>0</v>
      </c>
      <c r="K490" s="62" t="n">
        <v>0</v>
      </c>
      <c r="L490" s="62" t="n">
        <v>0</v>
      </c>
      <c r="M490" s="61" t="n">
        <v>0.158955475912913</v>
      </c>
    </row>
    <row r="491" customFormat="false" ht="15" hidden="false" customHeight="true" outlineLevel="0" collapsed="false">
      <c r="A491" s="62" t="n">
        <v>465</v>
      </c>
      <c r="B491" s="59" t="n">
        <v>-0.163617672240832</v>
      </c>
      <c r="C491" s="59" t="n">
        <v>-0.053724339416955</v>
      </c>
      <c r="D491" s="59" t="n">
        <v>-0.240096250788857</v>
      </c>
      <c r="E491" s="60" t="n">
        <v>0.00164729055744881</v>
      </c>
      <c r="F491" s="61" t="n">
        <v>0.205818682757419</v>
      </c>
      <c r="G491" s="55" t="n">
        <v>41.5595766537185</v>
      </c>
      <c r="H491" s="62" t="n">
        <v>0</v>
      </c>
      <c r="I491" s="62" t="n">
        <v>0</v>
      </c>
      <c r="J491" s="62" t="n">
        <v>0</v>
      </c>
      <c r="K491" s="62" t="n">
        <v>0</v>
      </c>
      <c r="L491" s="62" t="n">
        <v>0</v>
      </c>
      <c r="M491" s="61" t="n">
        <v>0.158632364899208</v>
      </c>
    </row>
    <row r="492" customFormat="false" ht="15" hidden="false" customHeight="true" outlineLevel="0" collapsed="false">
      <c r="A492" s="62" t="n">
        <v>466</v>
      </c>
      <c r="B492" s="59" t="n">
        <v>1.43379984243414</v>
      </c>
      <c r="C492" s="59" t="n">
        <v>1.84945364123758</v>
      </c>
      <c r="D492" s="59" t="n">
        <v>0.962705183089769</v>
      </c>
      <c r="E492" s="60" t="n">
        <v>-0.00730941909699193</v>
      </c>
      <c r="F492" s="61" t="n">
        <v>0.0611257081309165</v>
      </c>
      <c r="G492" s="55" t="n">
        <v>-27.6551981708782</v>
      </c>
      <c r="H492" s="62" t="n">
        <v>0</v>
      </c>
      <c r="I492" s="62" t="n">
        <v>0</v>
      </c>
      <c r="J492" s="62" t="n">
        <v>0</v>
      </c>
      <c r="K492" s="62" t="n">
        <v>0</v>
      </c>
      <c r="L492" s="62" t="n">
        <v>0</v>
      </c>
      <c r="M492" s="61" t="n">
        <v>0.158402847561654</v>
      </c>
    </row>
    <row r="493" customFormat="false" ht="15" hidden="false" customHeight="true" outlineLevel="0" collapsed="false">
      <c r="A493" s="62" t="n">
        <v>467</v>
      </c>
      <c r="B493" s="59" t="n">
        <v>0.14730234926254</v>
      </c>
      <c r="C493" s="59" t="n">
        <v>-0.00711808889059939</v>
      </c>
      <c r="D493" s="59" t="n">
        <v>0.572515330175318</v>
      </c>
      <c r="E493" s="60" t="n">
        <v>-0.0006539036466727</v>
      </c>
      <c r="F493" s="61" t="n">
        <v>0.164108491422585</v>
      </c>
      <c r="G493" s="55" t="n">
        <v>12.8329796149038</v>
      </c>
      <c r="H493" s="62" t="n">
        <v>0</v>
      </c>
      <c r="I493" s="62" t="n">
        <v>0</v>
      </c>
      <c r="J493" s="62" t="n">
        <v>0</v>
      </c>
      <c r="K493" s="62" t="n">
        <v>0</v>
      </c>
      <c r="L493" s="62" t="n">
        <v>0</v>
      </c>
      <c r="M493" s="61" t="n">
        <v>0.15840291887919</v>
      </c>
    </row>
    <row r="494" customFormat="false" ht="15" hidden="false" customHeight="true" outlineLevel="0" collapsed="false">
      <c r="A494" s="62" t="n">
        <v>468</v>
      </c>
      <c r="B494" s="59" t="n">
        <v>0.0550755865443882</v>
      </c>
      <c r="C494" s="59" t="n">
        <v>0.302473081302207</v>
      </c>
      <c r="D494" s="59" t="n">
        <v>0.567796667285689</v>
      </c>
      <c r="E494" s="60" t="n">
        <v>0.00488645751424626</v>
      </c>
      <c r="F494" s="61" t="n">
        <v>0.174389008669957</v>
      </c>
      <c r="G494" s="55" t="n">
        <v>50.0344785451289</v>
      </c>
      <c r="H494" s="62" t="n">
        <v>0</v>
      </c>
      <c r="I494" s="62" t="n">
        <v>0</v>
      </c>
      <c r="J494" s="62" t="n">
        <v>0</v>
      </c>
      <c r="K494" s="62" t="n">
        <v>0</v>
      </c>
      <c r="L494" s="62" t="n">
        <v>0</v>
      </c>
      <c r="M494" s="61" t="n">
        <v>0.158403033859217</v>
      </c>
    </row>
    <row r="495" customFormat="false" ht="15" hidden="false" customHeight="true" outlineLevel="0" collapsed="false">
      <c r="A495" s="62" t="n">
        <v>469</v>
      </c>
      <c r="B495" s="59" t="n">
        <v>0.349504821102556</v>
      </c>
      <c r="C495" s="59" t="n">
        <v>0.23237616493771</v>
      </c>
      <c r="D495" s="59" t="n">
        <v>0.124963111198127</v>
      </c>
      <c r="E495" s="60" t="n">
        <v>0.000589417754927026</v>
      </c>
      <c r="F495" s="61" t="n">
        <v>0.142986236613096</v>
      </c>
      <c r="G495" s="55" t="n">
        <v>20.4343036127246</v>
      </c>
      <c r="H495" s="62" t="n">
        <v>0</v>
      </c>
      <c r="I495" s="62" t="n">
        <v>0</v>
      </c>
      <c r="J495" s="62" t="n">
        <v>0</v>
      </c>
      <c r="K495" s="62" t="n">
        <v>0</v>
      </c>
      <c r="L495" s="62" t="n">
        <v>0</v>
      </c>
      <c r="M495" s="61" t="n">
        <v>0.158402847561654</v>
      </c>
    </row>
    <row r="496" customFormat="false" ht="15" hidden="false" customHeight="true" outlineLevel="0" collapsed="false">
      <c r="A496" s="62" t="n">
        <v>470</v>
      </c>
      <c r="B496" s="59" t="n">
        <v>1.8436968560865</v>
      </c>
      <c r="C496" s="59" t="n">
        <v>1.10823799668452</v>
      </c>
      <c r="D496" s="59" t="n">
        <v>0.791419527776714</v>
      </c>
      <c r="E496" s="60" t="n">
        <v>-0.00344881224845033</v>
      </c>
      <c r="F496" s="61" t="n">
        <v>0.0421261767774983</v>
      </c>
      <c r="G496" s="55" t="n">
        <v>-4.57283692957332</v>
      </c>
      <c r="H496" s="62" t="n">
        <v>0</v>
      </c>
      <c r="I496" s="62" t="n">
        <v>0</v>
      </c>
      <c r="J496" s="62" t="n">
        <v>0</v>
      </c>
      <c r="K496" s="62" t="n">
        <v>0</v>
      </c>
      <c r="L496" s="62" t="n">
        <v>0</v>
      </c>
      <c r="M496" s="61" t="n">
        <v>0.158402847561654</v>
      </c>
    </row>
    <row r="497" customFormat="false" ht="15" hidden="false" customHeight="true" outlineLevel="0" collapsed="false">
      <c r="A497" s="62" t="n">
        <v>471</v>
      </c>
      <c r="B497" s="59" t="n">
        <v>0.636053831765757</v>
      </c>
      <c r="C497" s="59" t="n">
        <v>-1.2897076386133</v>
      </c>
      <c r="D497" s="59" t="n">
        <v>0.412829742635557</v>
      </c>
      <c r="E497" s="60" t="n">
        <v>-0.00770421623326161</v>
      </c>
      <c r="F497" s="61" t="n">
        <v>0.116348596301399</v>
      </c>
      <c r="G497" s="55" t="n">
        <v>0.326337404030799</v>
      </c>
      <c r="H497" s="62" t="n">
        <v>0</v>
      </c>
      <c r="I497" s="62" t="n">
        <v>0</v>
      </c>
      <c r="J497" s="62" t="n">
        <v>0</v>
      </c>
      <c r="K497" s="62" t="n">
        <v>0</v>
      </c>
      <c r="L497" s="62" t="n">
        <v>0</v>
      </c>
      <c r="M497" s="61" t="n">
        <v>0.158402847561654</v>
      </c>
    </row>
    <row r="498" customFormat="false" ht="15" hidden="false" customHeight="true" outlineLevel="0" collapsed="false">
      <c r="A498" s="62" t="n">
        <v>472</v>
      </c>
      <c r="B498" s="59" t="n">
        <v>-0.277367106876357</v>
      </c>
      <c r="C498" s="59" t="n">
        <v>0.0257876174357516</v>
      </c>
      <c r="D498" s="59" t="n">
        <v>0.353704995898738</v>
      </c>
      <c r="E498" s="60" t="n">
        <v>-0.0036180906467618</v>
      </c>
      <c r="F498" s="61" t="n">
        <v>0.224484525093348</v>
      </c>
      <c r="G498" s="55" t="n">
        <v>17.5712966025164</v>
      </c>
      <c r="H498" s="62" t="n">
        <v>0</v>
      </c>
      <c r="I498" s="62" t="n">
        <v>0</v>
      </c>
      <c r="J498" s="62" t="n">
        <v>0</v>
      </c>
      <c r="K498" s="62" t="n">
        <v>0</v>
      </c>
      <c r="L498" s="62" t="n">
        <v>0</v>
      </c>
      <c r="M498" s="61" t="n">
        <v>0.158407600947597</v>
      </c>
    </row>
    <row r="499" customFormat="false" ht="15" hidden="false" customHeight="true" outlineLevel="0" collapsed="false">
      <c r="A499" s="62" t="n">
        <v>473</v>
      </c>
      <c r="B499" s="59" t="n">
        <v>-1.26484404240682</v>
      </c>
      <c r="C499" s="59" t="n">
        <v>0.967865966306138</v>
      </c>
      <c r="D499" s="59" t="n">
        <v>-0.691823145772611</v>
      </c>
      <c r="E499" s="60" t="n">
        <v>-0.0122218916716704</v>
      </c>
      <c r="F499" s="61" t="n">
        <v>0.421994900479207</v>
      </c>
      <c r="G499" s="55" t="n">
        <v>69.7051661229711</v>
      </c>
      <c r="H499" s="62" t="n">
        <v>0</v>
      </c>
      <c r="I499" s="62" t="n">
        <v>0</v>
      </c>
      <c r="J499" s="62" t="n">
        <v>0</v>
      </c>
      <c r="K499" s="62" t="n">
        <v>0</v>
      </c>
      <c r="L499" s="62" t="n">
        <v>0</v>
      </c>
      <c r="M499" s="61" t="n">
        <v>0.21317748881259</v>
      </c>
    </row>
    <row r="500" customFormat="false" ht="15" hidden="false" customHeight="true" outlineLevel="0" collapsed="false">
      <c r="A500" s="62" t="n">
        <v>474</v>
      </c>
      <c r="B500" s="59" t="n">
        <v>-0.243070706354414</v>
      </c>
      <c r="C500" s="59" t="n">
        <v>-0.365037525353995</v>
      </c>
      <c r="D500" s="59" t="n">
        <v>-0.169887952990167</v>
      </c>
      <c r="E500" s="60" t="n">
        <v>0.0062901749460443</v>
      </c>
      <c r="F500" s="61" t="n">
        <v>0.218752881319669</v>
      </c>
      <c r="G500" s="55" t="n">
        <v>83.6484872343181</v>
      </c>
      <c r="H500" s="62" t="n">
        <v>0</v>
      </c>
      <c r="I500" s="62" t="n">
        <v>0</v>
      </c>
      <c r="J500" s="62" t="n">
        <v>0</v>
      </c>
      <c r="K500" s="62" t="n">
        <v>0</v>
      </c>
      <c r="L500" s="62" t="n">
        <v>0</v>
      </c>
      <c r="M500" s="61" t="n">
        <v>0.158579471343603</v>
      </c>
    </row>
    <row r="501" customFormat="false" ht="15" hidden="false" customHeight="true" outlineLevel="0" collapsed="false">
      <c r="A501" s="62" t="n">
        <v>475</v>
      </c>
      <c r="B501" s="59" t="n">
        <v>-0.812576862551706</v>
      </c>
      <c r="C501" s="59" t="n">
        <v>0.285063568950585</v>
      </c>
      <c r="D501" s="59" t="n">
        <v>0.400201940841867</v>
      </c>
      <c r="E501" s="60" t="n">
        <v>0.00615093371471329</v>
      </c>
      <c r="F501" s="61" t="n">
        <v>0.324697657720477</v>
      </c>
      <c r="G501" s="55" t="n">
        <v>125.00040581666</v>
      </c>
      <c r="H501" s="62" t="n">
        <v>0</v>
      </c>
      <c r="I501" s="62" t="n">
        <v>0</v>
      </c>
      <c r="J501" s="62" t="n">
        <v>0</v>
      </c>
      <c r="K501" s="62" t="n">
        <v>0</v>
      </c>
      <c r="L501" s="62" t="n">
        <v>0</v>
      </c>
      <c r="M501" s="61" t="n">
        <v>0.158863371012353</v>
      </c>
    </row>
    <row r="502" customFormat="false" ht="15" hidden="false" customHeight="true" outlineLevel="0" collapsed="false">
      <c r="A502" s="62" t="n">
        <v>476</v>
      </c>
      <c r="B502" s="59" t="n">
        <v>-0.318846412701038</v>
      </c>
      <c r="C502" s="59" t="n">
        <v>-0.0260943197514778</v>
      </c>
      <c r="D502" s="59" t="n">
        <v>-0.276349592738581</v>
      </c>
      <c r="E502" s="60" t="n">
        <v>0.0015257689389555</v>
      </c>
      <c r="F502" s="61" t="n">
        <v>0.231534787066646</v>
      </c>
      <c r="G502" s="55" t="n">
        <v>53.270789279302</v>
      </c>
      <c r="H502" s="62" t="n">
        <v>0</v>
      </c>
      <c r="I502" s="62" t="n">
        <v>0</v>
      </c>
      <c r="J502" s="62" t="n">
        <v>0</v>
      </c>
      <c r="K502" s="62" t="n">
        <v>0</v>
      </c>
      <c r="L502" s="62" t="n">
        <v>0</v>
      </c>
      <c r="M502" s="61" t="n">
        <v>0.158998439341572</v>
      </c>
    </row>
    <row r="503" customFormat="false" ht="15" hidden="false" customHeight="true" outlineLevel="0" collapsed="false">
      <c r="A503" s="62" t="n">
        <v>477</v>
      </c>
      <c r="B503" s="59" t="n">
        <v>-0.118267652681479</v>
      </c>
      <c r="C503" s="59" t="n">
        <v>-0.671913055134424</v>
      </c>
      <c r="D503" s="59" t="n">
        <v>-0.124530848724604</v>
      </c>
      <c r="E503" s="60" t="n">
        <v>-0.00800892040450201</v>
      </c>
      <c r="F503" s="61" t="n">
        <v>0.198653827193837</v>
      </c>
      <c r="G503" s="55" t="n">
        <v>-8.80789393901373</v>
      </c>
      <c r="H503" s="62" t="n">
        <v>0</v>
      </c>
      <c r="I503" s="62" t="n">
        <v>0</v>
      </c>
      <c r="J503" s="62" t="n">
        <v>0</v>
      </c>
      <c r="K503" s="62" t="n">
        <v>0</v>
      </c>
      <c r="L503" s="62" t="n">
        <v>0</v>
      </c>
      <c r="M503" s="61" t="n">
        <v>0.158513259929467</v>
      </c>
    </row>
    <row r="504" customFormat="false" ht="15" hidden="false" customHeight="true" outlineLevel="0" collapsed="false">
      <c r="A504" s="62" t="n">
        <v>478</v>
      </c>
      <c r="B504" s="59" t="n">
        <v>-0.433147112322504</v>
      </c>
      <c r="C504" s="59" t="n">
        <v>0.529976536419307</v>
      </c>
      <c r="D504" s="59" t="n">
        <v>1.14563593036718</v>
      </c>
      <c r="E504" s="60" t="n">
        <v>0.000793101198636363</v>
      </c>
      <c r="F504" s="61" t="n">
        <v>0.251619809803883</v>
      </c>
      <c r="G504" s="55" t="n">
        <v>56.9167190589867</v>
      </c>
      <c r="H504" s="62" t="n">
        <v>0</v>
      </c>
      <c r="I504" s="62" t="n">
        <v>0</v>
      </c>
      <c r="J504" s="62" t="n">
        <v>0</v>
      </c>
      <c r="K504" s="62" t="n">
        <v>0</v>
      </c>
      <c r="L504" s="62" t="n">
        <v>0</v>
      </c>
      <c r="M504" s="61" t="n">
        <v>0.158705493089878</v>
      </c>
    </row>
    <row r="505" customFormat="false" ht="15" hidden="false" customHeight="true" outlineLevel="0" collapsed="false">
      <c r="A505" s="62" t="n">
        <v>479</v>
      </c>
      <c r="B505" s="59" t="n">
        <v>-1.85961819809998</v>
      </c>
      <c r="C505" s="59" t="n">
        <v>-0.68539280219497</v>
      </c>
      <c r="D505" s="59" t="n">
        <v>0.677935623609404</v>
      </c>
      <c r="E505" s="60" t="n">
        <v>-0.0132831212521199</v>
      </c>
      <c r="F505" s="61" t="n">
        <v>0.557473710390002</v>
      </c>
      <c r="G505" s="55" t="n">
        <v>334.197153714547</v>
      </c>
      <c r="H505" s="62" t="n">
        <v>4</v>
      </c>
      <c r="I505" s="62" t="n">
        <v>0</v>
      </c>
      <c r="J505" s="62" t="n">
        <v>0</v>
      </c>
      <c r="K505" s="62" t="n">
        <v>1</v>
      </c>
      <c r="L505" s="62" t="n">
        <v>0</v>
      </c>
      <c r="M505" s="61" t="n">
        <v>0.999649719284184</v>
      </c>
    </row>
    <row r="506" customFormat="false" ht="15" hidden="false" customHeight="true" outlineLevel="0" collapsed="false">
      <c r="A506" s="62" t="n">
        <v>480</v>
      </c>
      <c r="B506" s="59" t="n">
        <v>0.985390689594987</v>
      </c>
      <c r="C506" s="59" t="n">
        <v>1.60088830232672</v>
      </c>
      <c r="D506" s="59" t="n">
        <v>0.349944773469435</v>
      </c>
      <c r="E506" s="60" t="n">
        <v>-0.000427689968981193</v>
      </c>
      <c r="F506" s="61" t="n">
        <v>0.0889053468003625</v>
      </c>
      <c r="G506" s="55" t="n">
        <v>13.3407240855329</v>
      </c>
      <c r="H506" s="62" t="n">
        <v>0</v>
      </c>
      <c r="I506" s="62" t="n">
        <v>0</v>
      </c>
      <c r="J506" s="62" t="n">
        <v>0</v>
      </c>
      <c r="K506" s="62" t="n">
        <v>0</v>
      </c>
      <c r="L506" s="62" t="n">
        <v>0</v>
      </c>
      <c r="M506" s="61" t="n">
        <v>0.158402847561654</v>
      </c>
    </row>
    <row r="507" customFormat="false" ht="15" hidden="false" customHeight="true" outlineLevel="0" collapsed="false">
      <c r="A507" s="62" t="n">
        <v>481</v>
      </c>
      <c r="B507" s="59" t="n">
        <v>-0.197928307942877</v>
      </c>
      <c r="C507" s="59" t="n">
        <v>-0.0521374189498751</v>
      </c>
      <c r="D507" s="59" t="n">
        <v>-0.168204907295066</v>
      </c>
      <c r="E507" s="60" t="n">
        <v>-0.00163730351624301</v>
      </c>
      <c r="F507" s="61" t="n">
        <v>0.211344834849714</v>
      </c>
      <c r="G507" s="55" t="n">
        <v>40.4029674601286</v>
      </c>
      <c r="H507" s="62" t="n">
        <v>0</v>
      </c>
      <c r="I507" s="62" t="n">
        <v>0</v>
      </c>
      <c r="J507" s="62" t="n">
        <v>0</v>
      </c>
      <c r="K507" s="62" t="n">
        <v>0</v>
      </c>
      <c r="L507" s="62" t="n">
        <v>1</v>
      </c>
      <c r="M507" s="61" t="n">
        <v>0.362089619251575</v>
      </c>
    </row>
    <row r="508" customFormat="false" ht="15" hidden="false" customHeight="true" outlineLevel="0" collapsed="false">
      <c r="A508" s="62" t="n">
        <v>482</v>
      </c>
      <c r="B508" s="59" t="n">
        <v>-0.0811222334709537</v>
      </c>
      <c r="C508" s="59" t="n">
        <v>0.0984818278859725</v>
      </c>
      <c r="D508" s="59" t="n">
        <v>0.449016882655302</v>
      </c>
      <c r="E508" s="60" t="n">
        <v>0.004466880340889</v>
      </c>
      <c r="F508" s="61" t="n">
        <v>0.192904073529335</v>
      </c>
      <c r="G508" s="55" t="n">
        <v>53.8995277823729</v>
      </c>
      <c r="H508" s="62" t="n">
        <v>0</v>
      </c>
      <c r="I508" s="62" t="n">
        <v>0</v>
      </c>
      <c r="J508" s="62" t="n">
        <v>0</v>
      </c>
      <c r="K508" s="62" t="n">
        <v>0</v>
      </c>
      <c r="L508" s="62" t="n">
        <v>0</v>
      </c>
      <c r="M508" s="61" t="n">
        <v>0.158403457364968</v>
      </c>
    </row>
    <row r="509" customFormat="false" ht="15" hidden="false" customHeight="true" outlineLevel="0" collapsed="false">
      <c r="A509" s="62" t="n">
        <v>483</v>
      </c>
      <c r="B509" s="59" t="n">
        <v>-0.467280731114834</v>
      </c>
      <c r="C509" s="59" t="n">
        <v>-0.384896068131124</v>
      </c>
      <c r="D509" s="59" t="n">
        <v>0.180186941173717</v>
      </c>
      <c r="E509" s="60" t="n">
        <v>-0.00401606426253398</v>
      </c>
      <c r="F509" s="61" t="n">
        <v>0.257800761722825</v>
      </c>
      <c r="G509" s="55" t="n">
        <v>32.7524349276656</v>
      </c>
      <c r="H509" s="62" t="n">
        <v>0</v>
      </c>
      <c r="I509" s="62" t="n">
        <v>0</v>
      </c>
      <c r="J509" s="62" t="n">
        <v>0</v>
      </c>
      <c r="K509" s="62" t="n">
        <v>0</v>
      </c>
      <c r="L509" s="62" t="n">
        <v>0</v>
      </c>
      <c r="M509" s="61" t="n">
        <v>0.15872910760943</v>
      </c>
    </row>
    <row r="510" customFormat="false" ht="15" hidden="false" customHeight="true" outlineLevel="0" collapsed="false">
      <c r="A510" s="62" t="n">
        <v>484</v>
      </c>
      <c r="B510" s="59" t="n">
        <v>0.561682599304135</v>
      </c>
      <c r="C510" s="59" t="n">
        <v>0.936294301365674</v>
      </c>
      <c r="D510" s="59" t="n">
        <v>0.90687480090274</v>
      </c>
      <c r="E510" s="60" t="n">
        <v>-0.00315387695335101</v>
      </c>
      <c r="F510" s="61" t="n">
        <v>0.122896123650115</v>
      </c>
      <c r="G510" s="55" t="n">
        <v>-2.77222238934871</v>
      </c>
      <c r="H510" s="62" t="n">
        <v>0</v>
      </c>
      <c r="I510" s="62" t="n">
        <v>0</v>
      </c>
      <c r="J510" s="62" t="n">
        <v>0</v>
      </c>
      <c r="K510" s="62" t="n">
        <v>0</v>
      </c>
      <c r="L510" s="62" t="n">
        <v>0</v>
      </c>
      <c r="M510" s="61" t="n">
        <v>0.158402847561654</v>
      </c>
    </row>
    <row r="511" customFormat="false" ht="15" hidden="false" customHeight="true" outlineLevel="0" collapsed="false">
      <c r="A511" s="62" t="n">
        <v>485</v>
      </c>
      <c r="B511" s="59" t="n">
        <v>0.436477100790732</v>
      </c>
      <c r="C511" s="59" t="n">
        <v>0.338210241093509</v>
      </c>
      <c r="D511" s="59" t="n">
        <v>0.371879739954323</v>
      </c>
      <c r="E511" s="60" t="n">
        <v>0.0063180026598281</v>
      </c>
      <c r="F511" s="61" t="n">
        <v>0.13449649887905</v>
      </c>
      <c r="G511" s="55" t="n">
        <v>59.8880816522151</v>
      </c>
      <c r="H511" s="62" t="n">
        <v>0</v>
      </c>
      <c r="I511" s="62" t="n">
        <v>0</v>
      </c>
      <c r="J511" s="62" t="n">
        <v>0</v>
      </c>
      <c r="K511" s="62" t="n">
        <v>0</v>
      </c>
      <c r="L511" s="62" t="n">
        <v>0</v>
      </c>
      <c r="M511" s="61" t="n">
        <v>0.158402847561654</v>
      </c>
    </row>
    <row r="512" customFormat="false" ht="15" hidden="false" customHeight="true" outlineLevel="0" collapsed="false">
      <c r="A512" s="62" t="n">
        <v>486</v>
      </c>
      <c r="B512" s="59" t="n">
        <v>-0.800389180266428</v>
      </c>
      <c r="C512" s="59" t="n">
        <v>-0.401174227479757</v>
      </c>
      <c r="D512" s="59" t="n">
        <v>-0.214008773529512</v>
      </c>
      <c r="E512" s="60" t="n">
        <v>0.00192519195416158</v>
      </c>
      <c r="F512" s="61" t="n">
        <v>0.322211128609738</v>
      </c>
      <c r="G512" s="55" t="n">
        <v>97.7193593268323</v>
      </c>
      <c r="H512" s="62" t="n">
        <v>0</v>
      </c>
      <c r="I512" s="62" t="n">
        <v>0</v>
      </c>
      <c r="J512" s="62" t="n">
        <v>0</v>
      </c>
      <c r="K512" s="62" t="n">
        <v>0</v>
      </c>
      <c r="L512" s="62" t="n">
        <v>0</v>
      </c>
      <c r="M512" s="61" t="n">
        <v>0.159244894889221</v>
      </c>
    </row>
    <row r="513" customFormat="false" ht="15" hidden="false" customHeight="true" outlineLevel="0" collapsed="false">
      <c r="A513" s="62" t="n">
        <v>487</v>
      </c>
      <c r="B513" s="59" t="n">
        <v>0.734244192475129</v>
      </c>
      <c r="C513" s="59" t="n">
        <v>0.485453734764464</v>
      </c>
      <c r="D513" s="59" t="n">
        <v>0.564571877243299</v>
      </c>
      <c r="E513" s="60" t="n">
        <v>0.00143041595073821</v>
      </c>
      <c r="F513" s="61" t="n">
        <v>0.108089537610943</v>
      </c>
      <c r="G513" s="55" t="n">
        <v>26.0672780125293</v>
      </c>
      <c r="H513" s="62" t="n">
        <v>0</v>
      </c>
      <c r="I513" s="62" t="n">
        <v>0</v>
      </c>
      <c r="J513" s="62" t="n">
        <v>0</v>
      </c>
      <c r="K513" s="62" t="n">
        <v>0</v>
      </c>
      <c r="L513" s="62" t="n">
        <v>0</v>
      </c>
      <c r="M513" s="61" t="n">
        <v>0.158402847561654</v>
      </c>
    </row>
    <row r="514" customFormat="false" ht="15" hidden="false" customHeight="true" outlineLevel="0" collapsed="false">
      <c r="A514" s="62" t="n">
        <v>488</v>
      </c>
      <c r="B514" s="59" t="n">
        <v>0.227120860666049</v>
      </c>
      <c r="C514" s="59" t="n">
        <v>0.671583722860072</v>
      </c>
      <c r="D514" s="59" t="n">
        <v>0.513167461347028</v>
      </c>
      <c r="E514" s="60" t="n">
        <v>0.00394847224121048</v>
      </c>
      <c r="F514" s="61" t="n">
        <v>0.155538352354449</v>
      </c>
      <c r="G514" s="55" t="n">
        <v>43.3509138276971</v>
      </c>
      <c r="H514" s="62" t="n">
        <v>0</v>
      </c>
      <c r="I514" s="62" t="n">
        <v>0</v>
      </c>
      <c r="J514" s="62" t="n">
        <v>0</v>
      </c>
      <c r="K514" s="62" t="n">
        <v>0</v>
      </c>
      <c r="L514" s="62" t="n">
        <v>0</v>
      </c>
      <c r="M514" s="61" t="n">
        <v>0.158402847561654</v>
      </c>
    </row>
    <row r="515" customFormat="false" ht="15" hidden="false" customHeight="true" outlineLevel="0" collapsed="false">
      <c r="A515" s="62" t="n">
        <v>489</v>
      </c>
      <c r="B515" s="59" t="n">
        <v>-1.02559363030418</v>
      </c>
      <c r="C515" s="59" t="n">
        <v>-0.107688226656376</v>
      </c>
      <c r="D515" s="59" t="n">
        <v>0.564242636970657</v>
      </c>
      <c r="E515" s="60" t="n">
        <v>-0.0118554263817162</v>
      </c>
      <c r="F515" s="61" t="n">
        <v>0.369418714432873</v>
      </c>
      <c r="G515" s="55" t="n">
        <v>30.4136287778894</v>
      </c>
      <c r="H515" s="62" t="n">
        <v>0</v>
      </c>
      <c r="I515" s="62" t="n">
        <v>0</v>
      </c>
      <c r="J515" s="62" t="n">
        <v>0</v>
      </c>
      <c r="K515" s="62" t="n">
        <v>0</v>
      </c>
      <c r="L515" s="62" t="n">
        <v>0</v>
      </c>
      <c r="M515" s="61" t="n">
        <v>0.159592753767651</v>
      </c>
    </row>
    <row r="516" customFormat="false" ht="15" hidden="false" customHeight="true" outlineLevel="0" collapsed="false">
      <c r="A516" s="62" t="n">
        <v>490</v>
      </c>
      <c r="B516" s="59" t="n">
        <v>-0.151682854331913</v>
      </c>
      <c r="C516" s="59" t="n">
        <v>0.547250923324749</v>
      </c>
      <c r="D516" s="59" t="n">
        <v>-0.109596759171455</v>
      </c>
      <c r="E516" s="60" t="n">
        <v>-0.00460563808794137</v>
      </c>
      <c r="F516" s="61" t="n">
        <v>0.203917680858591</v>
      </c>
      <c r="G516" s="55" t="n">
        <v>1.09073208784038</v>
      </c>
      <c r="H516" s="62" t="n">
        <v>0</v>
      </c>
      <c r="I516" s="62" t="n">
        <v>0</v>
      </c>
      <c r="J516" s="62" t="n">
        <v>0</v>
      </c>
      <c r="K516" s="62" t="n">
        <v>0</v>
      </c>
      <c r="L516" s="62" t="n">
        <v>0</v>
      </c>
      <c r="M516" s="61" t="n">
        <v>0.158498992751712</v>
      </c>
    </row>
    <row r="517" customFormat="false" ht="15" hidden="false" customHeight="true" outlineLevel="0" collapsed="false">
      <c r="A517" s="62" t="n">
        <v>491</v>
      </c>
      <c r="B517" s="59" t="n">
        <v>-0.570904885725078</v>
      </c>
      <c r="C517" s="59" t="n">
        <v>-1.07861738389132</v>
      </c>
      <c r="D517" s="59" t="n">
        <v>-0.61818382342486</v>
      </c>
      <c r="E517" s="60" t="n">
        <v>0.0118269096805384</v>
      </c>
      <c r="F517" s="61" t="n">
        <v>0.277062744392303</v>
      </c>
      <c r="G517" s="55" t="n">
        <v>160.640220223109</v>
      </c>
      <c r="H517" s="62" t="n">
        <v>0</v>
      </c>
      <c r="I517" s="62" t="n">
        <v>0</v>
      </c>
      <c r="J517" s="62" t="n">
        <v>0</v>
      </c>
      <c r="K517" s="62" t="n">
        <v>0</v>
      </c>
      <c r="L517" s="62" t="n">
        <v>0</v>
      </c>
      <c r="M517" s="61" t="n">
        <v>0.160059666419286</v>
      </c>
    </row>
    <row r="518" customFormat="false" ht="15" hidden="false" customHeight="true" outlineLevel="0" collapsed="false">
      <c r="A518" s="62" t="n">
        <v>492</v>
      </c>
      <c r="B518" s="59" t="n">
        <v>0.883209834362699</v>
      </c>
      <c r="C518" s="59" t="n">
        <v>2.1331889990161</v>
      </c>
      <c r="D518" s="59" t="n">
        <v>1.78575187963816</v>
      </c>
      <c r="E518" s="60" t="n">
        <v>0.0152464982446305</v>
      </c>
      <c r="F518" s="61" t="n">
        <v>0.0963801170088</v>
      </c>
      <c r="G518" s="55" t="n">
        <v>121.068464402803</v>
      </c>
      <c r="H518" s="62" t="n">
        <v>0</v>
      </c>
      <c r="I518" s="62" t="n">
        <v>0</v>
      </c>
      <c r="J518" s="62" t="n">
        <v>0</v>
      </c>
      <c r="K518" s="62" t="n">
        <v>0</v>
      </c>
      <c r="L518" s="62" t="n">
        <v>0</v>
      </c>
      <c r="M518" s="61" t="n">
        <v>0.158402847561654</v>
      </c>
    </row>
    <row r="519" customFormat="false" ht="15" hidden="false" customHeight="true" outlineLevel="0" collapsed="false">
      <c r="A519" s="62" t="n">
        <v>493</v>
      </c>
      <c r="B519" s="59" t="n">
        <v>-0.14260206701511</v>
      </c>
      <c r="C519" s="59" t="n">
        <v>-0.0197005036818274</v>
      </c>
      <c r="D519" s="59" t="n">
        <v>0.2314863165343</v>
      </c>
      <c r="E519" s="60" t="n">
        <v>0.00188545724790478</v>
      </c>
      <c r="F519" s="61" t="n">
        <v>0.202478643908681</v>
      </c>
      <c r="G519" s="55" t="n">
        <v>41.2778125963876</v>
      </c>
      <c r="H519" s="62" t="n">
        <v>0</v>
      </c>
      <c r="I519" s="62" t="n">
        <v>0</v>
      </c>
      <c r="J519" s="62" t="n">
        <v>0</v>
      </c>
      <c r="K519" s="62" t="n">
        <v>0</v>
      </c>
      <c r="L519" s="62" t="n">
        <v>0</v>
      </c>
      <c r="M519" s="61" t="n">
        <v>0.158403730786316</v>
      </c>
    </row>
    <row r="520" customFormat="false" ht="15" hidden="false" customHeight="true" outlineLevel="0" collapsed="false">
      <c r="A520" s="62" t="n">
        <v>494</v>
      </c>
      <c r="B520" s="59" t="n">
        <v>-0.419763989001304</v>
      </c>
      <c r="C520" s="59" t="n">
        <v>-0.151939287257668</v>
      </c>
      <c r="D520" s="59" t="n">
        <v>-0.0995835994029582</v>
      </c>
      <c r="E520" s="60" t="n">
        <v>0.00668664402808022</v>
      </c>
      <c r="F520" s="61" t="n">
        <v>0.249219049403986</v>
      </c>
      <c r="G520" s="55" t="n">
        <v>97.6839176235336</v>
      </c>
      <c r="H520" s="62" t="n">
        <v>0</v>
      </c>
      <c r="I520" s="62" t="n">
        <v>0</v>
      </c>
      <c r="J520" s="62" t="n">
        <v>0</v>
      </c>
      <c r="K520" s="62" t="n">
        <v>0</v>
      </c>
      <c r="L520" s="62" t="n">
        <v>0</v>
      </c>
      <c r="M520" s="61" t="n">
        <v>0.158819918786781</v>
      </c>
    </row>
    <row r="521" customFormat="false" ht="15" hidden="false" customHeight="true" outlineLevel="0" collapsed="false">
      <c r="A521" s="62" t="n">
        <v>495</v>
      </c>
      <c r="B521" s="59" t="n">
        <v>0.367006115056522</v>
      </c>
      <c r="C521" s="59" t="n">
        <v>1.51852582737549</v>
      </c>
      <c r="D521" s="59" t="n">
        <v>0.733047577533767</v>
      </c>
      <c r="E521" s="60" t="n">
        <v>-0.0127129259209277</v>
      </c>
      <c r="F521" s="61" t="n">
        <v>0.141249222000905</v>
      </c>
      <c r="G521" s="55" t="n">
        <v>-59.8020188499324</v>
      </c>
      <c r="H521" s="62" t="n">
        <v>0</v>
      </c>
      <c r="I521" s="62" t="n">
        <v>0</v>
      </c>
      <c r="J521" s="62" t="n">
        <v>0</v>
      </c>
      <c r="K521" s="62" t="n">
        <v>0</v>
      </c>
      <c r="L521" s="62" t="n">
        <v>0</v>
      </c>
      <c r="M521" s="61" t="n">
        <v>0.158402847561654</v>
      </c>
    </row>
    <row r="522" customFormat="false" ht="15" hidden="false" customHeight="true" outlineLevel="0" collapsed="false">
      <c r="A522" s="62" t="n">
        <v>496</v>
      </c>
      <c r="B522" s="59" t="n">
        <v>-0.576207278243716</v>
      </c>
      <c r="C522" s="59" t="n">
        <v>-0.449664635774883</v>
      </c>
      <c r="D522" s="59" t="n">
        <v>-0.566243979645911</v>
      </c>
      <c r="E522" s="60" t="n">
        <v>0.00446835790480506</v>
      </c>
      <c r="F522" s="61" t="n">
        <v>0.278068038598866</v>
      </c>
      <c r="G522" s="55" t="n">
        <v>97.2077373321398</v>
      </c>
      <c r="H522" s="62" t="n">
        <v>0</v>
      </c>
      <c r="I522" s="62" t="n">
        <v>0</v>
      </c>
      <c r="J522" s="62" t="n">
        <v>0</v>
      </c>
      <c r="K522" s="62" t="n">
        <v>0</v>
      </c>
      <c r="L522" s="62" t="n">
        <v>0</v>
      </c>
      <c r="M522" s="61" t="n">
        <v>0.159867965336113</v>
      </c>
    </row>
    <row r="523" customFormat="false" ht="15" hidden="false" customHeight="true" outlineLevel="0" collapsed="false">
      <c r="A523" s="62" t="n">
        <v>497</v>
      </c>
      <c r="B523" s="59" t="n">
        <v>-0.0842789749111758</v>
      </c>
      <c r="C523" s="59" t="n">
        <v>0.51058204944126</v>
      </c>
      <c r="D523" s="59" t="n">
        <v>-0.292859519401667</v>
      </c>
      <c r="E523" s="60" t="n">
        <v>-0.0107266485947412</v>
      </c>
      <c r="F523" s="61" t="n">
        <v>0.193388531415554</v>
      </c>
      <c r="G523" s="55" t="n">
        <v>-23.5697959771149</v>
      </c>
      <c r="H523" s="62" t="n">
        <v>0</v>
      </c>
      <c r="I523" s="62" t="n">
        <v>0</v>
      </c>
      <c r="J523" s="62" t="n">
        <v>0</v>
      </c>
      <c r="K523" s="62" t="n">
        <v>0</v>
      </c>
      <c r="L523" s="62" t="n">
        <v>1</v>
      </c>
      <c r="M523" s="61" t="n">
        <v>0.36224584441812</v>
      </c>
    </row>
    <row r="524" customFormat="false" ht="15" hidden="false" customHeight="true" outlineLevel="0" collapsed="false">
      <c r="A524" s="62" t="n">
        <v>498</v>
      </c>
      <c r="B524" s="59" t="n">
        <v>-0.679221433505632</v>
      </c>
      <c r="C524" s="59" t="n">
        <v>-0.250576252390546</v>
      </c>
      <c r="D524" s="59" t="n">
        <v>-0.569382634472574</v>
      </c>
      <c r="E524" s="60" t="n">
        <v>0.0189460925688026</v>
      </c>
      <c r="F524" s="61" t="n">
        <v>0.297963979061908</v>
      </c>
      <c r="G524" s="55" t="n">
        <v>204.767009424193</v>
      </c>
      <c r="H524" s="62" t="n">
        <v>0</v>
      </c>
      <c r="I524" s="62" t="n">
        <v>0</v>
      </c>
      <c r="J524" s="62" t="n">
        <v>0</v>
      </c>
      <c r="K524" s="62" t="n">
        <v>0</v>
      </c>
      <c r="L524" s="62" t="n">
        <v>0</v>
      </c>
      <c r="M524" s="61" t="n">
        <v>0.15999550831632</v>
      </c>
    </row>
    <row r="525" customFormat="false" ht="15" hidden="false" customHeight="true" outlineLevel="0" collapsed="false">
      <c r="A525" s="62" t="n">
        <v>499</v>
      </c>
      <c r="B525" s="59" t="n">
        <v>-0.602956941243263</v>
      </c>
      <c r="C525" s="59" t="n">
        <v>-0.630068662507036</v>
      </c>
      <c r="D525" s="59" t="n">
        <v>-0.79633675251558</v>
      </c>
      <c r="E525" s="60" t="n">
        <v>0.000599318793767032</v>
      </c>
      <c r="F525" s="61" t="n">
        <v>0.283168069573037</v>
      </c>
      <c r="G525" s="55" t="n">
        <v>75.6728152550316</v>
      </c>
      <c r="H525" s="62" t="n">
        <v>0</v>
      </c>
      <c r="I525" s="62" t="n">
        <v>0</v>
      </c>
      <c r="J525" s="62" t="n">
        <v>0</v>
      </c>
      <c r="K525" s="62" t="n">
        <v>0</v>
      </c>
      <c r="L525" s="62" t="n">
        <v>0</v>
      </c>
      <c r="M525" s="61" t="n">
        <v>0.163806812967775</v>
      </c>
    </row>
    <row r="526" customFormat="false" ht="15" hidden="false" customHeight="true" outlineLevel="0" collapsed="false">
      <c r="A526" s="62" t="n">
        <v>500</v>
      </c>
      <c r="B526" s="59" t="n">
        <v>-0.457897007590151</v>
      </c>
      <c r="C526" s="59" t="n">
        <v>-0.609983118436472</v>
      </c>
      <c r="D526" s="59" t="n">
        <v>-0.663921658129206</v>
      </c>
      <c r="E526" s="60" t="n">
        <v>-0.00418522384616855</v>
      </c>
      <c r="F526" s="61" t="n">
        <v>0.256093311581089</v>
      </c>
      <c r="G526" s="55" t="n">
        <v>35.1194626957068</v>
      </c>
      <c r="H526" s="62" t="n">
        <v>0</v>
      </c>
      <c r="I526" s="62" t="n">
        <v>0</v>
      </c>
      <c r="J526" s="62" t="n">
        <v>0</v>
      </c>
      <c r="K526" s="62" t="n">
        <v>0</v>
      </c>
      <c r="L526" s="62" t="n">
        <v>0</v>
      </c>
      <c r="M526" s="61" t="n">
        <v>0.159992005758875</v>
      </c>
    </row>
    <row r="527" customFormat="false" ht="15" hidden="false" customHeight="true" outlineLevel="0" collapsed="false">
      <c r="A527" s="62" t="n">
        <v>501</v>
      </c>
      <c r="B527" s="59" t="n">
        <v>0.533466612630486</v>
      </c>
      <c r="C527" s="59" t="n">
        <v>0.266335366634521</v>
      </c>
      <c r="D527" s="59" t="n">
        <v>1.0730209961884</v>
      </c>
      <c r="E527" s="60" t="n">
        <v>-0.000912958284187008</v>
      </c>
      <c r="F527" s="61" t="n">
        <v>0.125446801279922</v>
      </c>
      <c r="G527" s="55" t="n">
        <v>10.9044191959103</v>
      </c>
      <c r="H527" s="62" t="n">
        <v>0</v>
      </c>
      <c r="I527" s="62" t="n">
        <v>0</v>
      </c>
      <c r="J527" s="62" t="n">
        <v>0</v>
      </c>
      <c r="K527" s="62" t="n">
        <v>0</v>
      </c>
      <c r="L527" s="62" t="n">
        <v>0</v>
      </c>
      <c r="M527" s="61" t="n">
        <v>0.158402847561654</v>
      </c>
    </row>
    <row r="528" customFormat="false" ht="15" hidden="false" customHeight="true" outlineLevel="0" collapsed="false">
      <c r="A528" s="62" t="n">
        <v>502</v>
      </c>
      <c r="B528" s="59" t="n">
        <v>-1.15631070655243</v>
      </c>
      <c r="C528" s="59" t="n">
        <v>0.318710068780146</v>
      </c>
      <c r="D528" s="59" t="n">
        <v>-1.2470788179339</v>
      </c>
      <c r="E528" s="60" t="n">
        <v>-0.00449070218904746</v>
      </c>
      <c r="F528" s="61" t="n">
        <v>0.397888054760406</v>
      </c>
      <c r="G528" s="55" t="n">
        <v>135.452816909743</v>
      </c>
      <c r="H528" s="62" t="n">
        <v>0</v>
      </c>
      <c r="I528" s="62" t="n">
        <v>0</v>
      </c>
      <c r="J528" s="62" t="n">
        <v>0</v>
      </c>
      <c r="K528" s="62" t="n">
        <v>0</v>
      </c>
      <c r="L528" s="62" t="n">
        <v>0</v>
      </c>
      <c r="M528" s="61" t="n">
        <v>0.237252940860905</v>
      </c>
    </row>
    <row r="529" customFormat="false" ht="15" hidden="false" customHeight="true" outlineLevel="0" collapsed="false">
      <c r="A529" s="62" t="n">
        <v>503</v>
      </c>
      <c r="B529" s="59" t="n">
        <v>-1.26515810561562</v>
      </c>
      <c r="C529" s="59" t="n">
        <v>-0.810133999694787</v>
      </c>
      <c r="D529" s="59" t="n">
        <v>-1.09481504532986</v>
      </c>
      <c r="E529" s="60" t="n">
        <v>0.00779346939623289</v>
      </c>
      <c r="F529" s="61" t="n">
        <v>0.42206518310467</v>
      </c>
      <c r="G529" s="55" t="n">
        <v>236.857430873244</v>
      </c>
      <c r="H529" s="62" t="n">
        <v>0</v>
      </c>
      <c r="I529" s="62" t="n">
        <v>0</v>
      </c>
      <c r="J529" s="62" t="n">
        <v>0</v>
      </c>
      <c r="K529" s="62" t="n">
        <v>0</v>
      </c>
      <c r="L529" s="62" t="n">
        <v>0</v>
      </c>
      <c r="M529" s="61" t="n">
        <v>0.238137832614716</v>
      </c>
    </row>
    <row r="530" customFormat="false" ht="15" hidden="false" customHeight="true" outlineLevel="0" collapsed="false">
      <c r="A530" s="62" t="n">
        <v>504</v>
      </c>
      <c r="B530" s="59" t="n">
        <v>-0.0645055955380877</v>
      </c>
      <c r="C530" s="59" t="n">
        <v>0.308331693912039</v>
      </c>
      <c r="D530" s="59" t="n">
        <v>0.564109673324421</v>
      </c>
      <c r="E530" s="60" t="n">
        <v>-0.0116388167117392</v>
      </c>
      <c r="F530" s="61" t="n">
        <v>0.190366766674671</v>
      </c>
      <c r="G530" s="55" t="n">
        <v>-47.7513875523741</v>
      </c>
      <c r="H530" s="62" t="n">
        <v>0</v>
      </c>
      <c r="I530" s="62" t="n">
        <v>0</v>
      </c>
      <c r="J530" s="62" t="n">
        <v>0</v>
      </c>
      <c r="K530" s="62" t="n">
        <v>0</v>
      </c>
      <c r="L530" s="62" t="n">
        <v>0</v>
      </c>
      <c r="M530" s="61" t="n">
        <v>0.158403384456167</v>
      </c>
    </row>
    <row r="531" customFormat="false" ht="15" hidden="false" customHeight="true" outlineLevel="0" collapsed="false">
      <c r="A531" s="62" t="n">
        <v>505</v>
      </c>
      <c r="B531" s="59" t="n">
        <v>0.156749530611256</v>
      </c>
      <c r="C531" s="59" t="n">
        <v>-0.235461953443006</v>
      </c>
      <c r="D531" s="59" t="n">
        <v>0.345658849613336</v>
      </c>
      <c r="E531" s="60" t="n">
        <v>-0.00299481733934936</v>
      </c>
      <c r="F531" s="61" t="n">
        <v>0.163078306161905</v>
      </c>
      <c r="G531" s="55" t="n">
        <v>3.67737477582196</v>
      </c>
      <c r="H531" s="62" t="n">
        <v>0</v>
      </c>
      <c r="I531" s="62" t="n">
        <v>0</v>
      </c>
      <c r="J531" s="62" t="n">
        <v>0</v>
      </c>
      <c r="K531" s="62" t="n">
        <v>0</v>
      </c>
      <c r="L531" s="62" t="n">
        <v>0</v>
      </c>
      <c r="M531" s="61" t="n">
        <v>0.158402913929279</v>
      </c>
    </row>
    <row r="532" customFormat="false" ht="15" hidden="false" customHeight="true" outlineLevel="0" collapsed="false">
      <c r="A532" s="62" t="n">
        <v>506</v>
      </c>
      <c r="B532" s="59" t="n">
        <v>-1.17633056104504</v>
      </c>
      <c r="C532" s="59" t="n">
        <v>0.0135208650821435</v>
      </c>
      <c r="D532" s="59" t="n">
        <v>-0.727532385163143</v>
      </c>
      <c r="E532" s="60" t="n">
        <v>-0.0024719933943885</v>
      </c>
      <c r="F532" s="61" t="n">
        <v>0.402305745802137</v>
      </c>
      <c r="G532" s="55" t="n">
        <v>113.992189650294</v>
      </c>
      <c r="H532" s="62" t="n">
        <v>0</v>
      </c>
      <c r="I532" s="62" t="n">
        <v>0</v>
      </c>
      <c r="J532" s="62" t="n">
        <v>0</v>
      </c>
      <c r="K532" s="62" t="n">
        <v>0</v>
      </c>
      <c r="L532" s="62" t="n">
        <v>0</v>
      </c>
      <c r="M532" s="61" t="n">
        <v>0.200952502288364</v>
      </c>
    </row>
    <row r="533" customFormat="false" ht="15" hidden="false" customHeight="true" outlineLevel="0" collapsed="false">
      <c r="A533" s="62" t="n">
        <v>507</v>
      </c>
      <c r="B533" s="59" t="n">
        <v>0.0524079388031074</v>
      </c>
      <c r="C533" s="59" t="n">
        <v>-0.370127966569373</v>
      </c>
      <c r="D533" s="59" t="n">
        <v>0.816913519796712</v>
      </c>
      <c r="E533" s="60" t="n">
        <v>0.00597228879262176</v>
      </c>
      <c r="F533" s="61" t="n">
        <v>0.174692402368232</v>
      </c>
      <c r="G533" s="55" t="n">
        <v>65.6170973054283</v>
      </c>
      <c r="H533" s="62" t="n">
        <v>0</v>
      </c>
      <c r="I533" s="62" t="n">
        <v>0</v>
      </c>
      <c r="J533" s="62" t="n">
        <v>0</v>
      </c>
      <c r="K533" s="62" t="n">
        <v>0</v>
      </c>
      <c r="L533" s="62" t="n">
        <v>0</v>
      </c>
      <c r="M533" s="61" t="n">
        <v>0.158403048339744</v>
      </c>
    </row>
    <row r="534" customFormat="false" ht="15" hidden="false" customHeight="true" outlineLevel="0" collapsed="false">
      <c r="A534" s="62" t="n">
        <v>508</v>
      </c>
      <c r="B534" s="59" t="n">
        <v>0.0433089924480183</v>
      </c>
      <c r="C534" s="59" t="n">
        <v>0.41065467713787</v>
      </c>
      <c r="D534" s="59" t="n">
        <v>0.17143396739727</v>
      </c>
      <c r="E534" s="60" t="n">
        <v>0.00505664306626949</v>
      </c>
      <c r="F534" s="61" t="n">
        <v>0.175729781634004</v>
      </c>
      <c r="G534" s="55" t="n">
        <v>68.2517002502936</v>
      </c>
      <c r="H534" s="62" t="n">
        <v>0</v>
      </c>
      <c r="I534" s="62" t="n">
        <v>0</v>
      </c>
      <c r="J534" s="62" t="n">
        <v>0</v>
      </c>
      <c r="K534" s="62" t="n">
        <v>0</v>
      </c>
      <c r="L534" s="62" t="n">
        <v>1</v>
      </c>
      <c r="M534" s="61" t="n">
        <v>0.361458522133652</v>
      </c>
    </row>
    <row r="535" customFormat="false" ht="15" hidden="false" customHeight="true" outlineLevel="0" collapsed="false">
      <c r="A535" s="62" t="n">
        <v>509</v>
      </c>
      <c r="B535" s="59" t="n">
        <v>-1.49207866107358</v>
      </c>
      <c r="C535" s="59" t="n">
        <v>0.159298195274442</v>
      </c>
      <c r="D535" s="59" t="n">
        <v>0.0572242317560794</v>
      </c>
      <c r="E535" s="60" t="n">
        <v>0.0149038603285411</v>
      </c>
      <c r="F535" s="61" t="n">
        <v>0.473430890704897</v>
      </c>
      <c r="G535" s="55" t="n">
        <v>458.198350373122</v>
      </c>
      <c r="H535" s="62" t="n">
        <v>8</v>
      </c>
      <c r="I535" s="62" t="n">
        <v>0</v>
      </c>
      <c r="J535" s="62" t="n">
        <v>0</v>
      </c>
      <c r="K535" s="62" t="n">
        <v>1</v>
      </c>
      <c r="L535" s="62" t="n">
        <v>0</v>
      </c>
      <c r="M535" s="61" t="n">
        <v>0.999995484107839</v>
      </c>
    </row>
    <row r="536" customFormat="false" ht="15" hidden="false" customHeight="true" outlineLevel="0" collapsed="false">
      <c r="A536" s="62" t="n">
        <v>510</v>
      </c>
      <c r="B536" s="59" t="n">
        <v>-1.73026515803214</v>
      </c>
      <c r="C536" s="59" t="n">
        <v>-1.27655958139955</v>
      </c>
      <c r="D536" s="59" t="n">
        <v>-2.26089705505845</v>
      </c>
      <c r="E536" s="60" t="n">
        <v>-0.00768968491595898</v>
      </c>
      <c r="F536" s="61" t="n">
        <v>0.527958772746279</v>
      </c>
      <c r="G536" s="55" t="n">
        <v>768.731246202169</v>
      </c>
      <c r="H536" s="62" t="n">
        <v>13</v>
      </c>
      <c r="I536" s="62" t="n">
        <v>1</v>
      </c>
      <c r="J536" s="62" t="n">
        <v>2</v>
      </c>
      <c r="K536" s="62" t="n">
        <v>1</v>
      </c>
      <c r="L536" s="62" t="n">
        <v>0</v>
      </c>
      <c r="M536" s="61" t="n">
        <v>0.999999999999994</v>
      </c>
    </row>
    <row r="537" customFormat="false" ht="15" hidden="false" customHeight="true" outlineLevel="0" collapsed="false">
      <c r="A537" s="62" t="n">
        <v>511</v>
      </c>
      <c r="B537" s="59" t="n">
        <v>-0.360960879183467</v>
      </c>
      <c r="C537" s="59" t="n">
        <v>0.210466343506287</v>
      </c>
      <c r="D537" s="59" t="n">
        <v>-0.0205211703661845</v>
      </c>
      <c r="E537" s="60" t="n">
        <v>0.00325820439558235</v>
      </c>
      <c r="F537" s="61" t="n">
        <v>0.238823964689425</v>
      </c>
      <c r="G537" s="55" t="n">
        <v>68.2462317154835</v>
      </c>
      <c r="H537" s="62" t="n">
        <v>0</v>
      </c>
      <c r="I537" s="62" t="n">
        <v>0</v>
      </c>
      <c r="J537" s="62" t="n">
        <v>0</v>
      </c>
      <c r="K537" s="62" t="n">
        <v>0</v>
      </c>
      <c r="L537" s="62" t="n">
        <v>0</v>
      </c>
      <c r="M537" s="61" t="n">
        <v>0.158454397543615</v>
      </c>
    </row>
    <row r="538" customFormat="false" ht="15" hidden="false" customHeight="true" outlineLevel="0" collapsed="false">
      <c r="A538" s="62" t="n">
        <v>512</v>
      </c>
      <c r="B538" s="59" t="n">
        <v>-0.0625163208195912</v>
      </c>
      <c r="C538" s="59" t="n">
        <v>0.166808832504773</v>
      </c>
      <c r="D538" s="59" t="n">
        <v>0.980902300943268</v>
      </c>
      <c r="E538" s="60" t="n">
        <v>-0.00183851543558044</v>
      </c>
      <c r="F538" s="61" t="n">
        <v>0.190064454941927</v>
      </c>
      <c r="G538" s="55" t="n">
        <v>10.5531756301532</v>
      </c>
      <c r="H538" s="62" t="n">
        <v>0</v>
      </c>
      <c r="I538" s="62" t="n">
        <v>0</v>
      </c>
      <c r="J538" s="62" t="n">
        <v>0</v>
      </c>
      <c r="K538" s="62" t="n">
        <v>0</v>
      </c>
      <c r="L538" s="62" t="n">
        <v>0</v>
      </c>
      <c r="M538" s="61" t="n">
        <v>0.158403375751016</v>
      </c>
    </row>
    <row r="539" customFormat="false" ht="15" hidden="false" customHeight="true" outlineLevel="0" collapsed="false">
      <c r="A539" s="62" t="n">
        <v>513</v>
      </c>
      <c r="B539" s="59" t="n">
        <v>-0.184250054553099</v>
      </c>
      <c r="C539" s="59" t="n">
        <v>-1.49425525279105</v>
      </c>
      <c r="D539" s="59" t="n">
        <v>-1.89311517697959</v>
      </c>
      <c r="E539" s="60" t="n">
        <v>0.00150842157644147</v>
      </c>
      <c r="F539" s="61" t="n">
        <v>0.209130938788484</v>
      </c>
      <c r="G539" s="55" t="n">
        <v>85.8519506928689</v>
      </c>
      <c r="H539" s="62" t="n">
        <v>0</v>
      </c>
      <c r="I539" s="62" t="n">
        <v>0</v>
      </c>
      <c r="J539" s="62" t="n">
        <v>0</v>
      </c>
      <c r="K539" s="62" t="n">
        <v>0</v>
      </c>
      <c r="L539" s="62" t="n">
        <v>0</v>
      </c>
      <c r="M539" s="61" t="n">
        <v>0.181714513351245</v>
      </c>
    </row>
    <row r="540" customFormat="false" ht="15" hidden="false" customHeight="true" outlineLevel="0" collapsed="false">
      <c r="A540" s="62" t="n">
        <v>514</v>
      </c>
      <c r="B540" s="59" t="n">
        <v>-1.60965035010063</v>
      </c>
      <c r="C540" s="59" t="n">
        <v>0.918854005753662</v>
      </c>
      <c r="D540" s="59" t="n">
        <v>-0.0401368936343166</v>
      </c>
      <c r="E540" s="60" t="n">
        <v>0.0081899641877237</v>
      </c>
      <c r="F540" s="61" t="n">
        <v>0.500330167110978</v>
      </c>
      <c r="G540" s="55" t="n">
        <v>442.218153724894</v>
      </c>
      <c r="H540" s="62" t="n">
        <v>9</v>
      </c>
      <c r="I540" s="62" t="n">
        <v>0</v>
      </c>
      <c r="J540" s="62" t="n">
        <v>0</v>
      </c>
      <c r="K540" s="62" t="n">
        <v>1</v>
      </c>
      <c r="L540" s="62" t="n">
        <v>0</v>
      </c>
      <c r="M540" s="61" t="n">
        <v>0.999998440247813</v>
      </c>
    </row>
    <row r="541" customFormat="false" ht="15" hidden="false" customHeight="true" outlineLevel="0" collapsed="false">
      <c r="A541" s="62" t="n">
        <v>515</v>
      </c>
      <c r="B541" s="59" t="n">
        <v>0.100644251683798</v>
      </c>
      <c r="C541" s="59" t="n">
        <v>0.411708180091518</v>
      </c>
      <c r="D541" s="59" t="n">
        <v>1.92216279579394</v>
      </c>
      <c r="E541" s="60" t="n">
        <v>0.0178607925555465</v>
      </c>
      <c r="F541" s="61" t="n">
        <v>0.169258802978709</v>
      </c>
      <c r="G541" s="55" t="n">
        <v>139.494676382347</v>
      </c>
      <c r="H541" s="62" t="n">
        <v>0</v>
      </c>
      <c r="I541" s="62" t="n">
        <v>0</v>
      </c>
      <c r="J541" s="62" t="n">
        <v>0</v>
      </c>
      <c r="K541" s="62" t="n">
        <v>0</v>
      </c>
      <c r="L541" s="62" t="n">
        <v>0</v>
      </c>
      <c r="M541" s="61" t="n">
        <v>0.158402976408578</v>
      </c>
    </row>
    <row r="542" customFormat="false" ht="15" hidden="false" customHeight="true" outlineLevel="0" collapsed="false">
      <c r="A542" s="62" t="n">
        <v>516</v>
      </c>
      <c r="B542" s="59" t="n">
        <v>-0.450056829015509</v>
      </c>
      <c r="C542" s="59" t="n">
        <v>-0.540889500102264</v>
      </c>
      <c r="D542" s="59" t="n">
        <v>0.0376618664056175</v>
      </c>
      <c r="E542" s="60" t="n">
        <v>-0.000592071627793906</v>
      </c>
      <c r="F542" s="61" t="n">
        <v>0.254671499929133</v>
      </c>
      <c r="G542" s="55" t="n">
        <v>54.1400712961146</v>
      </c>
      <c r="H542" s="62" t="n">
        <v>0</v>
      </c>
      <c r="I542" s="62" t="n">
        <v>0</v>
      </c>
      <c r="J542" s="62" t="n">
        <v>0</v>
      </c>
      <c r="K542" s="62" t="n">
        <v>0</v>
      </c>
      <c r="L542" s="62" t="n">
        <v>0</v>
      </c>
      <c r="M542" s="61" t="n">
        <v>0.15872616546173</v>
      </c>
    </row>
    <row r="543" customFormat="false" ht="15" hidden="false" customHeight="true" outlineLevel="0" collapsed="false">
      <c r="A543" s="62" t="n">
        <v>517</v>
      </c>
      <c r="B543" s="59" t="n">
        <v>-0.397850612158255</v>
      </c>
      <c r="C543" s="59" t="n">
        <v>-0.200238435138945</v>
      </c>
      <c r="D543" s="59" t="n">
        <v>-0.226199955518849</v>
      </c>
      <c r="E543" s="60" t="n">
        <v>-0.00306363785400819</v>
      </c>
      <c r="F543" s="61" t="n">
        <v>0.245315901094038</v>
      </c>
      <c r="G543" s="55" t="n">
        <v>49.5233541631353</v>
      </c>
      <c r="H543" s="62" t="n">
        <v>0</v>
      </c>
      <c r="I543" s="62" t="n">
        <v>0</v>
      </c>
      <c r="J543" s="62" t="n">
        <v>0</v>
      </c>
      <c r="K543" s="62" t="n">
        <v>0</v>
      </c>
      <c r="L543" s="62" t="n">
        <v>1</v>
      </c>
      <c r="M543" s="61" t="n">
        <v>0.362420563884933</v>
      </c>
    </row>
    <row r="544" customFormat="false" ht="15" hidden="false" customHeight="true" outlineLevel="0" collapsed="false">
      <c r="A544" s="62" t="n">
        <v>518</v>
      </c>
      <c r="B544" s="59" t="n">
        <v>0.0465130614956003</v>
      </c>
      <c r="C544" s="59" t="n">
        <v>1.05071152109213</v>
      </c>
      <c r="D544" s="59" t="n">
        <v>-0.57494942676345</v>
      </c>
      <c r="E544" s="60" t="n">
        <v>-0.00586933958586355</v>
      </c>
      <c r="F544" s="61" t="n">
        <v>0.175364033149324</v>
      </c>
      <c r="G544" s="55" t="n">
        <v>-18.8587582915904</v>
      </c>
      <c r="H544" s="62" t="n">
        <v>0</v>
      </c>
      <c r="I544" s="62" t="n">
        <v>0</v>
      </c>
      <c r="J544" s="62" t="n">
        <v>0</v>
      </c>
      <c r="K544" s="62" t="n">
        <v>0</v>
      </c>
      <c r="L544" s="62" t="n">
        <v>0</v>
      </c>
      <c r="M544" s="61" t="n">
        <v>0.159043537055078</v>
      </c>
    </row>
    <row r="545" customFormat="false" ht="15" hidden="false" customHeight="true" outlineLevel="0" collapsed="false">
      <c r="A545" s="62" t="n">
        <v>519</v>
      </c>
      <c r="B545" s="59" t="n">
        <v>-1.07347622858018</v>
      </c>
      <c r="C545" s="59" t="n">
        <v>3.1938751784398</v>
      </c>
      <c r="D545" s="59" t="n">
        <v>-0.764612420130249</v>
      </c>
      <c r="E545" s="60" t="n">
        <v>-0.0103300420006244</v>
      </c>
      <c r="F545" s="61" t="n">
        <v>0.379767223738036</v>
      </c>
      <c r="G545" s="55" t="n">
        <v>46.5445941418984</v>
      </c>
      <c r="H545" s="62" t="n">
        <v>0</v>
      </c>
      <c r="I545" s="62" t="n">
        <v>0</v>
      </c>
      <c r="J545" s="62" t="n">
        <v>0</v>
      </c>
      <c r="K545" s="62" t="n">
        <v>0</v>
      </c>
      <c r="L545" s="62" t="n">
        <v>0</v>
      </c>
      <c r="M545" s="61" t="n">
        <v>0.167778722390979</v>
      </c>
    </row>
    <row r="546" customFormat="false" ht="15" hidden="false" customHeight="true" outlineLevel="0" collapsed="false">
      <c r="A546" s="62" t="n">
        <v>520</v>
      </c>
      <c r="B546" s="59" t="n">
        <v>-0.472643679081452</v>
      </c>
      <c r="C546" s="59" t="n">
        <v>0.367906675955095</v>
      </c>
      <c r="D546" s="59" t="n">
        <v>-0.218923887872638</v>
      </c>
      <c r="E546" s="60" t="n">
        <v>-0.00148988840260809</v>
      </c>
      <c r="F546" s="61" t="n">
        <v>0.258779385323956</v>
      </c>
      <c r="G546" s="55" t="n">
        <v>45.9646948485002</v>
      </c>
      <c r="H546" s="62" t="n">
        <v>0</v>
      </c>
      <c r="I546" s="62" t="n">
        <v>0</v>
      </c>
      <c r="J546" s="62" t="n">
        <v>0</v>
      </c>
      <c r="K546" s="62" t="n">
        <v>0</v>
      </c>
      <c r="L546" s="62" t="n">
        <v>0</v>
      </c>
      <c r="M546" s="61" t="n">
        <v>0.159011715350311</v>
      </c>
    </row>
    <row r="547" customFormat="false" ht="15" hidden="false" customHeight="true" outlineLevel="0" collapsed="false">
      <c r="A547" s="62" t="n">
        <v>521</v>
      </c>
      <c r="B547" s="59" t="n">
        <v>-0.726561654039456</v>
      </c>
      <c r="C547" s="59" t="n">
        <v>-0.586925857091568</v>
      </c>
      <c r="D547" s="59" t="n">
        <v>-0.563685114477836</v>
      </c>
      <c r="E547" s="60" t="n">
        <v>-0.0175411213540353</v>
      </c>
      <c r="F547" s="61" t="n">
        <v>0.307332518306566</v>
      </c>
      <c r="G547" s="55" t="n">
        <v>-2.36269266414951</v>
      </c>
      <c r="H547" s="62" t="n">
        <v>0</v>
      </c>
      <c r="I547" s="62" t="n">
        <v>0</v>
      </c>
      <c r="J547" s="62" t="n">
        <v>0</v>
      </c>
      <c r="K547" s="62" t="n">
        <v>0</v>
      </c>
      <c r="L547" s="62" t="n">
        <v>1</v>
      </c>
      <c r="M547" s="61" t="n">
        <v>0.369431058062113</v>
      </c>
    </row>
    <row r="548" customFormat="false" ht="15" hidden="false" customHeight="true" outlineLevel="0" collapsed="false">
      <c r="A548" s="62" t="n">
        <v>522</v>
      </c>
      <c r="B548" s="59" t="n">
        <v>-1.66058159717301</v>
      </c>
      <c r="C548" s="59" t="n">
        <v>-1.31317176702133</v>
      </c>
      <c r="D548" s="59" t="n">
        <v>-0.960866374289847</v>
      </c>
      <c r="E548" s="60" t="n">
        <v>-0.00621143224229299</v>
      </c>
      <c r="F548" s="61" t="n">
        <v>0.51200031278078</v>
      </c>
      <c r="G548" s="55" t="n">
        <v>490.43838293145</v>
      </c>
      <c r="H548" s="62" t="n">
        <v>10</v>
      </c>
      <c r="I548" s="62" t="n">
        <v>0</v>
      </c>
      <c r="J548" s="62" t="n">
        <v>0</v>
      </c>
      <c r="K548" s="62" t="n">
        <v>1</v>
      </c>
      <c r="L548" s="62" t="n">
        <v>0</v>
      </c>
      <c r="M548" s="61" t="n">
        <v>0.999999906259563</v>
      </c>
    </row>
    <row r="549" customFormat="false" ht="15" hidden="false" customHeight="true" outlineLevel="0" collapsed="false">
      <c r="A549" s="62" t="n">
        <v>523</v>
      </c>
      <c r="B549" s="59" t="n">
        <v>-0.593361430971081</v>
      </c>
      <c r="C549" s="59" t="n">
        <v>-0.137595382029769</v>
      </c>
      <c r="D549" s="59" t="n">
        <v>0.0902759797516688</v>
      </c>
      <c r="E549" s="60" t="n">
        <v>0.00316782901357495</v>
      </c>
      <c r="F549" s="61" t="n">
        <v>0.281333164251823</v>
      </c>
      <c r="G549" s="55" t="n">
        <v>87.4545256962345</v>
      </c>
      <c r="H549" s="62" t="n">
        <v>0</v>
      </c>
      <c r="I549" s="62" t="n">
        <v>0</v>
      </c>
      <c r="J549" s="62" t="n">
        <v>0</v>
      </c>
      <c r="K549" s="62" t="n">
        <v>0</v>
      </c>
      <c r="L549" s="62" t="n">
        <v>0</v>
      </c>
      <c r="M549" s="61" t="n">
        <v>0.158773991333885</v>
      </c>
    </row>
    <row r="550" customFormat="false" ht="15" hidden="false" customHeight="true" outlineLevel="0" collapsed="false">
      <c r="A550" s="62" t="n">
        <v>524</v>
      </c>
      <c r="B550" s="59" t="n">
        <v>-0.563623720362569</v>
      </c>
      <c r="C550" s="59" t="n">
        <v>0.337649901854346</v>
      </c>
      <c r="D550" s="59" t="n">
        <v>-0.461625495831614</v>
      </c>
      <c r="E550" s="60" t="n">
        <v>0.00446980183384897</v>
      </c>
      <c r="F550" s="61" t="n">
        <v>0.275685357187562</v>
      </c>
      <c r="G550" s="55" t="n">
        <v>93.2554372442987</v>
      </c>
      <c r="H550" s="62" t="n">
        <v>0</v>
      </c>
      <c r="I550" s="62" t="n">
        <v>0</v>
      </c>
      <c r="J550" s="62" t="n">
        <v>0</v>
      </c>
      <c r="K550" s="62" t="n">
        <v>0</v>
      </c>
      <c r="L550" s="62" t="n">
        <v>0</v>
      </c>
      <c r="M550" s="61" t="n">
        <v>0.159555160046411</v>
      </c>
    </row>
    <row r="551" customFormat="false" ht="15" hidden="false" customHeight="true" outlineLevel="0" collapsed="false">
      <c r="A551" s="62" t="n">
        <v>525</v>
      </c>
      <c r="B551" s="59" t="n">
        <v>-0.74349415910386</v>
      </c>
      <c r="C551" s="59" t="n">
        <v>-0.781519994360713</v>
      </c>
      <c r="D551" s="59" t="n">
        <v>-0.738116840304734</v>
      </c>
      <c r="E551" s="60" t="n">
        <v>-0.0108508011585126</v>
      </c>
      <c r="F551" s="61" t="n">
        <v>0.310716553472483</v>
      </c>
      <c r="G551" s="55" t="n">
        <v>20.1580674710123</v>
      </c>
      <c r="H551" s="62" t="n">
        <v>0</v>
      </c>
      <c r="I551" s="62" t="n">
        <v>0</v>
      </c>
      <c r="J551" s="62" t="n">
        <v>0</v>
      </c>
      <c r="K551" s="62" t="n">
        <v>0</v>
      </c>
      <c r="L551" s="62" t="n">
        <v>0</v>
      </c>
      <c r="M551" s="61" t="n">
        <v>0.16466979236191</v>
      </c>
    </row>
    <row r="552" customFormat="false" ht="15" hidden="false" customHeight="true" outlineLevel="0" collapsed="false">
      <c r="A552" s="62" t="n">
        <v>526</v>
      </c>
      <c r="B552" s="59" t="n">
        <v>-0.556506469206308</v>
      </c>
      <c r="C552" s="59" t="n">
        <v>-0.5662435637554</v>
      </c>
      <c r="D552" s="59" t="n">
        <v>0.226394175449855</v>
      </c>
      <c r="E552" s="60" t="n">
        <v>0.00386309261737119</v>
      </c>
      <c r="F552" s="61" t="n">
        <v>0.274342421342624</v>
      </c>
      <c r="G552" s="55" t="n">
        <v>91.8811550128488</v>
      </c>
      <c r="H552" s="62" t="n">
        <v>0</v>
      </c>
      <c r="I552" s="62" t="n">
        <v>0</v>
      </c>
      <c r="J552" s="62" t="n">
        <v>0</v>
      </c>
      <c r="K552" s="62" t="n">
        <v>0</v>
      </c>
      <c r="L552" s="62" t="n">
        <v>0</v>
      </c>
      <c r="M552" s="61" t="n">
        <v>0.158770346667394</v>
      </c>
    </row>
    <row r="553" customFormat="false" ht="15" hidden="false" customHeight="true" outlineLevel="0" collapsed="false">
      <c r="A553" s="62" t="n">
        <v>527</v>
      </c>
      <c r="B553" s="59" t="n">
        <v>-0.849380785160103</v>
      </c>
      <c r="C553" s="59" t="n">
        <v>-0.706673168547964</v>
      </c>
      <c r="D553" s="59" t="n">
        <v>-0.608387051959646</v>
      </c>
      <c r="E553" s="60" t="n">
        <v>0.00575134009173846</v>
      </c>
      <c r="F553" s="61" t="n">
        <v>0.332256679049812</v>
      </c>
      <c r="G553" s="55" t="n">
        <v>132.059031600794</v>
      </c>
      <c r="H553" s="62" t="n">
        <v>0</v>
      </c>
      <c r="I553" s="62" t="n">
        <v>0</v>
      </c>
      <c r="J553" s="62" t="n">
        <v>0</v>
      </c>
      <c r="K553" s="62" t="n">
        <v>0</v>
      </c>
      <c r="L553" s="62" t="n">
        <v>0</v>
      </c>
      <c r="M553" s="61" t="n">
        <v>0.16428534667676</v>
      </c>
    </row>
    <row r="554" customFormat="false" ht="15" hidden="false" customHeight="true" outlineLevel="0" collapsed="false">
      <c r="A554" s="62" t="n">
        <v>528</v>
      </c>
      <c r="B554" s="59" t="n">
        <v>-0.364887139276474</v>
      </c>
      <c r="C554" s="59" t="n">
        <v>0.400435140850927</v>
      </c>
      <c r="D554" s="59" t="n">
        <v>0.0649942560964129</v>
      </c>
      <c r="E554" s="60" t="n">
        <v>0.00147368379800962</v>
      </c>
      <c r="F554" s="61" t="n">
        <v>0.239510186812168</v>
      </c>
      <c r="G554" s="55" t="n">
        <v>56.1091532002799</v>
      </c>
      <c r="H554" s="62" t="n">
        <v>0</v>
      </c>
      <c r="I554" s="62" t="n">
        <v>0</v>
      </c>
      <c r="J554" s="62" t="n">
        <v>0</v>
      </c>
      <c r="K554" s="62" t="n">
        <v>0</v>
      </c>
      <c r="L554" s="62" t="n">
        <v>0</v>
      </c>
      <c r="M554" s="61" t="n">
        <v>0.15843503893679</v>
      </c>
    </row>
    <row r="555" customFormat="false" ht="15" hidden="false" customHeight="true" outlineLevel="0" collapsed="false">
      <c r="A555" s="62" t="n">
        <v>529</v>
      </c>
      <c r="B555" s="59" t="n">
        <v>-0.585636705198192</v>
      </c>
      <c r="C555" s="59" t="n">
        <v>-0.573782941598819</v>
      </c>
      <c r="D555" s="59" t="n">
        <v>-0.104969922312984</v>
      </c>
      <c r="E555" s="60" t="n">
        <v>-0.0131343627368591</v>
      </c>
      <c r="F555" s="61" t="n">
        <v>0.279860419670248</v>
      </c>
      <c r="G555" s="55" t="n">
        <v>-10.6750136934583</v>
      </c>
      <c r="H555" s="62" t="n">
        <v>0</v>
      </c>
      <c r="I555" s="62" t="n">
        <v>0</v>
      </c>
      <c r="J555" s="62" t="n">
        <v>0</v>
      </c>
      <c r="K555" s="62" t="n">
        <v>0</v>
      </c>
      <c r="L555" s="62" t="n">
        <v>0</v>
      </c>
      <c r="M555" s="61" t="n">
        <v>0.158927120991414</v>
      </c>
    </row>
    <row r="556" customFormat="false" ht="15" hidden="false" customHeight="true" outlineLevel="0" collapsed="false">
      <c r="A556" s="62" t="n">
        <v>530</v>
      </c>
      <c r="B556" s="59" t="n">
        <v>-0.571087725610686</v>
      </c>
      <c r="C556" s="59" t="n">
        <v>0.720402042442414</v>
      </c>
      <c r="D556" s="59" t="n">
        <v>0.60617187294731</v>
      </c>
      <c r="E556" s="60" t="n">
        <v>0.000480431960294105</v>
      </c>
      <c r="F556" s="61" t="n">
        <v>0.277097378178775</v>
      </c>
      <c r="G556" s="55" t="n">
        <v>65.9181593537596</v>
      </c>
      <c r="H556" s="62" t="n">
        <v>0</v>
      </c>
      <c r="I556" s="62" t="n">
        <v>0</v>
      </c>
      <c r="J556" s="62" t="n">
        <v>0</v>
      </c>
      <c r="K556" s="62" t="n">
        <v>0</v>
      </c>
      <c r="L556" s="62" t="n">
        <v>0</v>
      </c>
      <c r="M556" s="61" t="n">
        <v>0.158760980734878</v>
      </c>
    </row>
    <row r="557" customFormat="false" ht="15" hidden="false" customHeight="true" outlineLevel="0" collapsed="false">
      <c r="A557" s="62" t="n">
        <v>531</v>
      </c>
      <c r="B557" s="59" t="n">
        <v>-0.298258482186173</v>
      </c>
      <c r="C557" s="59" t="n">
        <v>-0.00153058556029008</v>
      </c>
      <c r="D557" s="59" t="n">
        <v>0.483294626097192</v>
      </c>
      <c r="E557" s="60" t="n">
        <v>0.00868825775924742</v>
      </c>
      <c r="F557" s="61" t="n">
        <v>0.228019347692353</v>
      </c>
      <c r="G557" s="55" t="n">
        <v>100.806717330338</v>
      </c>
      <c r="H557" s="62" t="n">
        <v>0</v>
      </c>
      <c r="I557" s="62" t="n">
        <v>0</v>
      </c>
      <c r="J557" s="62" t="n">
        <v>0</v>
      </c>
      <c r="K557" s="62" t="n">
        <v>0</v>
      </c>
      <c r="L557" s="62" t="n">
        <v>0</v>
      </c>
      <c r="M557" s="61" t="n">
        <v>0.158412822329503</v>
      </c>
    </row>
    <row r="558" customFormat="false" ht="15" hidden="false" customHeight="true" outlineLevel="0" collapsed="false">
      <c r="A558" s="62" t="n">
        <v>532</v>
      </c>
      <c r="B558" s="59" t="n">
        <v>-0.0372906769637279</v>
      </c>
      <c r="C558" s="59" t="n">
        <v>-0.000998432542426165</v>
      </c>
      <c r="D558" s="59" t="n">
        <v>-0.0308845171403885</v>
      </c>
      <c r="E558" s="60" t="n">
        <v>0.00355344320345667</v>
      </c>
      <c r="F558" s="61" t="n">
        <v>0.186257712295526</v>
      </c>
      <c r="G558" s="55" t="n">
        <v>44.1395913753253</v>
      </c>
      <c r="H558" s="62" t="n">
        <v>0</v>
      </c>
      <c r="I558" s="62" t="n">
        <v>0</v>
      </c>
      <c r="J558" s="62" t="n">
        <v>0</v>
      </c>
      <c r="K558" s="62" t="n">
        <v>0</v>
      </c>
      <c r="L558" s="62" t="n">
        <v>0</v>
      </c>
      <c r="M558" s="61" t="n">
        <v>0.158428155898717</v>
      </c>
    </row>
    <row r="559" customFormat="false" ht="15" hidden="false" customHeight="true" outlineLevel="0" collapsed="false">
      <c r="A559" s="62" t="n">
        <v>533</v>
      </c>
      <c r="B559" s="59" t="n">
        <v>-0.126076035712491</v>
      </c>
      <c r="C559" s="59" t="n">
        <v>0.461815916442763</v>
      </c>
      <c r="D559" s="59" t="n">
        <v>-0.458784062284242</v>
      </c>
      <c r="E559" s="60" t="n">
        <v>-0.00535148939151438</v>
      </c>
      <c r="F559" s="61" t="n">
        <v>0.199876127251981</v>
      </c>
      <c r="G559" s="55" t="n">
        <v>-5.28402790085427</v>
      </c>
      <c r="H559" s="62" t="n">
        <v>0</v>
      </c>
      <c r="I559" s="62" t="n">
        <v>0</v>
      </c>
      <c r="J559" s="62" t="n">
        <v>0</v>
      </c>
      <c r="K559" s="62" t="n">
        <v>0</v>
      </c>
      <c r="L559" s="62" t="n">
        <v>0</v>
      </c>
      <c r="M559" s="61" t="n">
        <v>0.159150471662677</v>
      </c>
    </row>
    <row r="560" customFormat="false" ht="15" hidden="false" customHeight="true" outlineLevel="0" collapsed="false">
      <c r="A560" s="62" t="n">
        <v>534</v>
      </c>
      <c r="B560" s="59" t="n">
        <v>0.431767426571466</v>
      </c>
      <c r="C560" s="59" t="n">
        <v>0.871702973780098</v>
      </c>
      <c r="D560" s="59" t="n">
        <v>-0.212526632035468</v>
      </c>
      <c r="E560" s="60" t="n">
        <v>0.008648383979742</v>
      </c>
      <c r="F560" s="61" t="n">
        <v>0.134947123409089</v>
      </c>
      <c r="G560" s="55" t="n">
        <v>75.7394619116926</v>
      </c>
      <c r="H560" s="62" t="n">
        <v>0</v>
      </c>
      <c r="I560" s="62" t="n">
        <v>0</v>
      </c>
      <c r="J560" s="62" t="n">
        <v>0</v>
      </c>
      <c r="K560" s="62" t="n">
        <v>0</v>
      </c>
      <c r="L560" s="62" t="n">
        <v>0</v>
      </c>
      <c r="M560" s="61" t="n">
        <v>0.158591904440174</v>
      </c>
    </row>
    <row r="561" customFormat="false" ht="15" hidden="false" customHeight="true" outlineLevel="0" collapsed="false">
      <c r="A561" s="62" t="n">
        <v>535</v>
      </c>
      <c r="B561" s="59" t="n">
        <v>-0.489443741545784</v>
      </c>
      <c r="C561" s="59" t="n">
        <v>-0.16913705256013</v>
      </c>
      <c r="D561" s="59" t="n">
        <v>-1.17310853913219</v>
      </c>
      <c r="E561" s="60" t="n">
        <v>-0.000565178933016036</v>
      </c>
      <c r="F561" s="61" t="n">
        <v>0.261858105764723</v>
      </c>
      <c r="G561" s="55" t="n">
        <v>57.7100911348257</v>
      </c>
      <c r="H561" s="62" t="n">
        <v>0</v>
      </c>
      <c r="I561" s="62" t="n">
        <v>0</v>
      </c>
      <c r="J561" s="62" t="n">
        <v>0</v>
      </c>
      <c r="K561" s="62" t="n">
        <v>0</v>
      </c>
      <c r="L561" s="62" t="n">
        <v>0</v>
      </c>
      <c r="M561" s="61" t="n">
        <v>0.166222496832401</v>
      </c>
    </row>
    <row r="562" customFormat="false" ht="15" hidden="false" customHeight="true" outlineLevel="0" collapsed="false">
      <c r="A562" s="62" t="n">
        <v>536</v>
      </c>
      <c r="B562" s="59" t="n">
        <v>7.61932496786244</v>
      </c>
      <c r="C562" s="59" t="n">
        <v>4.54785055876057</v>
      </c>
      <c r="D562" s="59" t="n">
        <v>1.70246707585989</v>
      </c>
      <c r="E562" s="60" t="n">
        <v>-0.0155523098004617</v>
      </c>
      <c r="F562" s="61" t="n">
        <v>6.47619776324015E-006</v>
      </c>
      <c r="G562" s="55" t="n">
        <v>-76.7657224999645</v>
      </c>
      <c r="H562" s="62" t="n">
        <v>0</v>
      </c>
      <c r="I562" s="62" t="n">
        <v>0</v>
      </c>
      <c r="J562" s="62" t="n">
        <v>0</v>
      </c>
      <c r="K562" s="62" t="n">
        <v>0</v>
      </c>
      <c r="L562" s="62" t="n">
        <v>0</v>
      </c>
      <c r="M562" s="61" t="n">
        <v>0.158402847561654</v>
      </c>
    </row>
    <row r="563" customFormat="false" ht="15" hidden="false" customHeight="true" outlineLevel="0" collapsed="false">
      <c r="A563" s="62" t="n">
        <v>537</v>
      </c>
      <c r="B563" s="59" t="n">
        <v>0.0840588041074454</v>
      </c>
      <c r="C563" s="59" t="n">
        <v>-2.42879964927879</v>
      </c>
      <c r="D563" s="59" t="n">
        <v>0.0172863363702376</v>
      </c>
      <c r="E563" s="60" t="n">
        <v>0.000776453542707172</v>
      </c>
      <c r="F563" s="61" t="n">
        <v>0.17111457154545</v>
      </c>
      <c r="G563" s="55" t="n">
        <v>84.5175396616104</v>
      </c>
      <c r="H563" s="62" t="n">
        <v>0</v>
      </c>
      <c r="I563" s="62" t="n">
        <v>0</v>
      </c>
      <c r="J563" s="62" t="n">
        <v>0</v>
      </c>
      <c r="K563" s="62" t="n">
        <v>0</v>
      </c>
      <c r="L563" s="62" t="n">
        <v>0</v>
      </c>
      <c r="M563" s="61" t="n">
        <v>0.158403634631357</v>
      </c>
    </row>
    <row r="564" customFormat="false" ht="15" hidden="false" customHeight="true" outlineLevel="0" collapsed="false">
      <c r="A564" s="62" t="n">
        <v>538</v>
      </c>
      <c r="B564" s="59" t="n">
        <v>0.882565753256922</v>
      </c>
      <c r="C564" s="59" t="n">
        <v>0.286842474048959</v>
      </c>
      <c r="D564" s="59" t="n">
        <v>-0.079246404527152</v>
      </c>
      <c r="E564" s="60" t="n">
        <v>0.00856016519594527</v>
      </c>
      <c r="F564" s="61" t="n">
        <v>0.0964286536582038</v>
      </c>
      <c r="G564" s="55" t="n">
        <v>75.4079993162546</v>
      </c>
      <c r="H564" s="62" t="n">
        <v>0</v>
      </c>
      <c r="I564" s="62" t="n">
        <v>0</v>
      </c>
      <c r="J564" s="62" t="n">
        <v>0</v>
      </c>
      <c r="K564" s="62" t="n">
        <v>0</v>
      </c>
      <c r="L564" s="62" t="n">
        <v>0</v>
      </c>
      <c r="M564" s="61" t="n">
        <v>0.158467680890998</v>
      </c>
    </row>
    <row r="565" customFormat="false" ht="15" hidden="false" customHeight="true" outlineLevel="0" collapsed="false">
      <c r="A565" s="62" t="n">
        <v>539</v>
      </c>
      <c r="B565" s="59" t="n">
        <v>-2.27012023406365</v>
      </c>
      <c r="C565" s="59" t="n">
        <v>-0.633041892016239</v>
      </c>
      <c r="D565" s="59" t="n">
        <v>-1.5033680587001</v>
      </c>
      <c r="E565" s="60" t="n">
        <v>0.00233929098577492</v>
      </c>
      <c r="F565" s="61" t="n">
        <v>0.637189125146539</v>
      </c>
      <c r="G565" s="55" t="n">
        <v>781.023986394101</v>
      </c>
      <c r="H565" s="62" t="n">
        <v>13</v>
      </c>
      <c r="I565" s="62" t="n">
        <v>1</v>
      </c>
      <c r="J565" s="62" t="n">
        <v>2</v>
      </c>
      <c r="K565" s="62" t="n">
        <v>1</v>
      </c>
      <c r="L565" s="62" t="n">
        <v>0</v>
      </c>
      <c r="M565" s="61" t="n">
        <v>0.999999999999997</v>
      </c>
    </row>
    <row r="566" customFormat="false" ht="15" hidden="false" customHeight="true" outlineLevel="0" collapsed="false">
      <c r="A566" s="62" t="n">
        <v>540</v>
      </c>
      <c r="B566" s="59" t="n">
        <v>-0.0988680573829566</v>
      </c>
      <c r="C566" s="59" t="n">
        <v>-0.288407037065351</v>
      </c>
      <c r="D566" s="59" t="n">
        <v>1.25484944738932</v>
      </c>
      <c r="E566" s="60" t="n">
        <v>-0.0113169559481413</v>
      </c>
      <c r="F566" s="61" t="n">
        <v>0.195637566775679</v>
      </c>
      <c r="G566" s="55" t="n">
        <v>-38.2812225248316</v>
      </c>
      <c r="H566" s="62" t="n">
        <v>0</v>
      </c>
      <c r="I566" s="62" t="n">
        <v>0</v>
      </c>
      <c r="J566" s="62" t="n">
        <v>0</v>
      </c>
      <c r="K566" s="62" t="n">
        <v>0</v>
      </c>
      <c r="L566" s="62" t="n">
        <v>0</v>
      </c>
      <c r="M566" s="61" t="n">
        <v>0.158403544882982</v>
      </c>
    </row>
    <row r="567" customFormat="false" ht="15" hidden="false" customHeight="true" outlineLevel="0" collapsed="false">
      <c r="A567" s="62" t="n">
        <v>541</v>
      </c>
      <c r="B567" s="59" t="n">
        <v>-0.054248630782391</v>
      </c>
      <c r="C567" s="59" t="n">
        <v>0.424297715952423</v>
      </c>
      <c r="D567" s="59" t="n">
        <v>0.0699794139395874</v>
      </c>
      <c r="E567" s="60" t="n">
        <v>0.0139638153970699</v>
      </c>
      <c r="F567" s="61" t="n">
        <v>0.188811318529762</v>
      </c>
      <c r="G567" s="55" t="n">
        <v>117.001956971496</v>
      </c>
      <c r="H567" s="62" t="n">
        <v>0</v>
      </c>
      <c r="I567" s="62" t="n">
        <v>0</v>
      </c>
      <c r="J567" s="62" t="n">
        <v>0</v>
      </c>
      <c r="K567" s="62" t="n">
        <v>0</v>
      </c>
      <c r="L567" s="62" t="n">
        <v>0</v>
      </c>
      <c r="M567" s="61" t="n">
        <v>0.158403339624318</v>
      </c>
    </row>
    <row r="568" customFormat="false" ht="15" hidden="false" customHeight="true" outlineLevel="0" collapsed="false">
      <c r="A568" s="62" t="n">
        <v>542</v>
      </c>
      <c r="B568" s="59" t="n">
        <v>-0.0573788438093256</v>
      </c>
      <c r="C568" s="59" t="n">
        <v>-0.119069429704304</v>
      </c>
      <c r="D568" s="59" t="n">
        <v>0.10286521189638</v>
      </c>
      <c r="E568" s="60" t="n">
        <v>0.00873428587564037</v>
      </c>
      <c r="F568" s="61" t="n">
        <v>0.189285137842095</v>
      </c>
      <c r="G568" s="55" t="n">
        <v>83.078610363371</v>
      </c>
      <c r="H568" s="62" t="n">
        <v>0</v>
      </c>
      <c r="I568" s="62" t="n">
        <v>0</v>
      </c>
      <c r="J568" s="62" t="n">
        <v>0</v>
      </c>
      <c r="K568" s="62" t="n">
        <v>0</v>
      </c>
      <c r="L568" s="62" t="n">
        <v>0</v>
      </c>
      <c r="M568" s="61" t="n">
        <v>0.1584033570304</v>
      </c>
    </row>
    <row r="569" customFormat="false" ht="15" hidden="false" customHeight="true" outlineLevel="0" collapsed="false">
      <c r="A569" s="62" t="n">
        <v>543</v>
      </c>
      <c r="B569" s="59" t="n">
        <v>-0.32435072016172</v>
      </c>
      <c r="C569" s="59" t="n">
        <v>0.0306639852163605</v>
      </c>
      <c r="D569" s="59" t="n">
        <v>-0.298214264005158</v>
      </c>
      <c r="E569" s="60" t="n">
        <v>-2.77512908992222E-005</v>
      </c>
      <c r="F569" s="61" t="n">
        <v>0.232480012185206</v>
      </c>
      <c r="G569" s="55" t="n">
        <v>42.8765049495329</v>
      </c>
      <c r="H569" s="62" t="n">
        <v>0</v>
      </c>
      <c r="I569" s="62" t="n">
        <v>0</v>
      </c>
      <c r="J569" s="62" t="n">
        <v>0</v>
      </c>
      <c r="K569" s="62" t="n">
        <v>0</v>
      </c>
      <c r="L569" s="62" t="n">
        <v>0</v>
      </c>
      <c r="M569" s="61" t="n">
        <v>0.159033687718465</v>
      </c>
    </row>
    <row r="570" customFormat="false" ht="15" hidden="false" customHeight="true" outlineLevel="0" collapsed="false">
      <c r="A570" s="62" t="n">
        <v>544</v>
      </c>
      <c r="B570" s="59" t="n">
        <v>-0.783454123550621</v>
      </c>
      <c r="C570" s="59" t="n">
        <v>0.370808255574153</v>
      </c>
      <c r="D570" s="59" t="n">
        <v>-0.6430213606949</v>
      </c>
      <c r="E570" s="60" t="n">
        <v>0.0049053437597687</v>
      </c>
      <c r="F570" s="61" t="n">
        <v>0.318770074171583</v>
      </c>
      <c r="G570" s="55" t="n">
        <v>115.856774931768</v>
      </c>
      <c r="H570" s="62" t="n">
        <v>0</v>
      </c>
      <c r="I570" s="62" t="n">
        <v>0</v>
      </c>
      <c r="J570" s="62" t="n">
        <v>0</v>
      </c>
      <c r="K570" s="62" t="n">
        <v>0</v>
      </c>
      <c r="L570" s="62" t="n">
        <v>0</v>
      </c>
      <c r="M570" s="61" t="n">
        <v>0.164230591554996</v>
      </c>
    </row>
    <row r="571" customFormat="false" ht="15" hidden="false" customHeight="true" outlineLevel="0" collapsed="false">
      <c r="A571" s="62" t="n">
        <v>545</v>
      </c>
      <c r="B571" s="59" t="n">
        <v>0.152227469182723</v>
      </c>
      <c r="C571" s="59" t="n">
        <v>0.921604306737015</v>
      </c>
      <c r="D571" s="59" t="n">
        <v>0.243337471191957</v>
      </c>
      <c r="E571" s="60" t="n">
        <v>0.00618150762434834</v>
      </c>
      <c r="F571" s="61" t="n">
        <v>0.163570891861171</v>
      </c>
      <c r="G571" s="55" t="n">
        <v>75.7848115970008</v>
      </c>
      <c r="H571" s="62" t="n">
        <v>0</v>
      </c>
      <c r="I571" s="62" t="n">
        <v>0</v>
      </c>
      <c r="J571" s="62" t="n">
        <v>0</v>
      </c>
      <c r="K571" s="62" t="n">
        <v>0</v>
      </c>
      <c r="L571" s="62" t="n">
        <v>1</v>
      </c>
      <c r="M571" s="61" t="n">
        <v>0.361456753403817</v>
      </c>
    </row>
    <row r="572" customFormat="false" ht="15" hidden="false" customHeight="true" outlineLevel="0" collapsed="false">
      <c r="A572" s="62" t="n">
        <v>546</v>
      </c>
      <c r="B572" s="59" t="n">
        <v>-1.34136451595128</v>
      </c>
      <c r="C572" s="59" t="n">
        <v>-1.15047129792638</v>
      </c>
      <c r="D572" s="59" t="n">
        <v>-0.865082835695907</v>
      </c>
      <c r="E572" s="60" t="n">
        <v>0.00883756124172857</v>
      </c>
      <c r="F572" s="61" t="n">
        <v>0.439195803056059</v>
      </c>
      <c r="G572" s="55" t="n">
        <v>501.967194461134</v>
      </c>
      <c r="H572" s="62" t="n">
        <v>10</v>
      </c>
      <c r="I572" s="62" t="n">
        <v>0</v>
      </c>
      <c r="J572" s="62" t="n">
        <v>0</v>
      </c>
      <c r="K572" s="62" t="n">
        <v>1</v>
      </c>
      <c r="L572" s="62" t="n">
        <v>0</v>
      </c>
      <c r="M572" s="61" t="n">
        <v>0.999999689104848</v>
      </c>
    </row>
    <row r="573" customFormat="false" ht="15" hidden="false" customHeight="true" outlineLevel="0" collapsed="false">
      <c r="A573" s="62" t="n">
        <v>547</v>
      </c>
      <c r="B573" s="59" t="n">
        <v>-0.759827831146405</v>
      </c>
      <c r="C573" s="59" t="n">
        <v>-0.824997242685956</v>
      </c>
      <c r="D573" s="59" t="n">
        <v>-0.794447557187323</v>
      </c>
      <c r="E573" s="60" t="n">
        <v>-0.00167517022924968</v>
      </c>
      <c r="F573" s="61" t="n">
        <v>0.313997108166397</v>
      </c>
      <c r="G573" s="55" t="n">
        <v>77.3397651360335</v>
      </c>
      <c r="H573" s="62" t="n">
        <v>0</v>
      </c>
      <c r="I573" s="62" t="n">
        <v>0</v>
      </c>
      <c r="J573" s="62" t="n">
        <v>0</v>
      </c>
      <c r="K573" s="62" t="n">
        <v>0</v>
      </c>
      <c r="L573" s="62" t="n">
        <v>0</v>
      </c>
      <c r="M573" s="61" t="n">
        <v>0.164989415265188</v>
      </c>
    </row>
    <row r="574" customFormat="false" ht="15" hidden="false" customHeight="true" outlineLevel="0" collapsed="false">
      <c r="A574" s="62" t="n">
        <v>548</v>
      </c>
      <c r="B574" s="59" t="n">
        <v>0.697420527297674</v>
      </c>
      <c r="C574" s="59" t="n">
        <v>-0.314593456169123</v>
      </c>
      <c r="D574" s="59" t="n">
        <v>0.72377283788044</v>
      </c>
      <c r="E574" s="60" t="n">
        <v>-0.0129604687430232</v>
      </c>
      <c r="F574" s="61" t="n">
        <v>0.111135882676688</v>
      </c>
      <c r="G574" s="55" t="n">
        <v>-53.9694370460614</v>
      </c>
      <c r="H574" s="62" t="n">
        <v>0</v>
      </c>
      <c r="I574" s="62" t="n">
        <v>0</v>
      </c>
      <c r="J574" s="62" t="n">
        <v>0</v>
      </c>
      <c r="K574" s="62" t="n">
        <v>0</v>
      </c>
      <c r="L574" s="62" t="n">
        <v>0</v>
      </c>
      <c r="M574" s="61" t="n">
        <v>0.158402847561654</v>
      </c>
    </row>
    <row r="575" customFormat="false" ht="15" hidden="false" customHeight="true" outlineLevel="0" collapsed="false">
      <c r="A575" s="62" t="n">
        <v>549</v>
      </c>
      <c r="B575" s="59" t="n">
        <v>-1.10295657676572</v>
      </c>
      <c r="C575" s="59" t="n">
        <v>-0.414015401450429</v>
      </c>
      <c r="D575" s="59" t="n">
        <v>-0.940877033791936</v>
      </c>
      <c r="E575" s="60" t="n">
        <v>-0.00183392163998626</v>
      </c>
      <c r="F575" s="61" t="n">
        <v>0.386185911219529</v>
      </c>
      <c r="G575" s="55" t="n">
        <v>124.500275126338</v>
      </c>
      <c r="H575" s="62" t="n">
        <v>0</v>
      </c>
      <c r="I575" s="62" t="n">
        <v>0</v>
      </c>
      <c r="J575" s="62" t="n">
        <v>0</v>
      </c>
      <c r="K575" s="62" t="n">
        <v>0</v>
      </c>
      <c r="L575" s="62" t="n">
        <v>0</v>
      </c>
      <c r="M575" s="61" t="n">
        <v>0.21758923201097</v>
      </c>
    </row>
    <row r="576" customFormat="false" ht="15" hidden="false" customHeight="true" outlineLevel="0" collapsed="false">
      <c r="A576" s="62" t="n">
        <v>550</v>
      </c>
      <c r="B576" s="59" t="n">
        <v>-1.09089720950954</v>
      </c>
      <c r="C576" s="59" t="n">
        <v>-0.182995903399016</v>
      </c>
      <c r="D576" s="59" t="n">
        <v>0.170963591352767</v>
      </c>
      <c r="E576" s="60" t="n">
        <v>0.00951356783012916</v>
      </c>
      <c r="F576" s="61" t="n">
        <v>0.383556040703878</v>
      </c>
      <c r="G576" s="55" t="n">
        <v>172.953182816297</v>
      </c>
      <c r="H576" s="62" t="n">
        <v>0</v>
      </c>
      <c r="I576" s="62" t="n">
        <v>0</v>
      </c>
      <c r="J576" s="62" t="n">
        <v>0</v>
      </c>
      <c r="K576" s="62" t="n">
        <v>0</v>
      </c>
      <c r="L576" s="62" t="n">
        <v>0</v>
      </c>
      <c r="M576" s="61" t="n">
        <v>0.162587427888133</v>
      </c>
    </row>
    <row r="577" customFormat="false" ht="15" hidden="false" customHeight="true" outlineLevel="0" collapsed="false">
      <c r="A577" s="62" t="n">
        <v>551</v>
      </c>
      <c r="B577" s="59" t="n">
        <v>0.628029616242103</v>
      </c>
      <c r="C577" s="59" t="n">
        <v>0.721130368206585</v>
      </c>
      <c r="D577" s="59" t="n">
        <v>-0.112078512761335</v>
      </c>
      <c r="E577" s="60" t="n">
        <v>-0.00625357164288761</v>
      </c>
      <c r="F577" s="61" t="n">
        <v>0.117042849797777</v>
      </c>
      <c r="G577" s="55" t="n">
        <v>-21.1389445269708</v>
      </c>
      <c r="H577" s="62" t="n">
        <v>0</v>
      </c>
      <c r="I577" s="62" t="n">
        <v>0</v>
      </c>
      <c r="J577" s="62" t="n">
        <v>0</v>
      </c>
      <c r="K577" s="62" t="n">
        <v>0</v>
      </c>
      <c r="L577" s="62" t="n">
        <v>0</v>
      </c>
      <c r="M577" s="61" t="n">
        <v>0.158496513857135</v>
      </c>
    </row>
    <row r="578" customFormat="false" ht="15" hidden="false" customHeight="true" outlineLevel="0" collapsed="false">
      <c r="A578" s="62" t="n">
        <v>552</v>
      </c>
      <c r="B578" s="59" t="n">
        <v>-0.570544663358514</v>
      </c>
      <c r="C578" s="59" t="n">
        <v>-1.27986396375203</v>
      </c>
      <c r="D578" s="59" t="n">
        <v>-0.284654018474661</v>
      </c>
      <c r="E578" s="60" t="n">
        <v>-0.00909784220082264</v>
      </c>
      <c r="F578" s="61" t="n">
        <v>0.276994517116047</v>
      </c>
      <c r="G578" s="55" t="n">
        <v>29.3039711868846</v>
      </c>
      <c r="H578" s="62" t="n">
        <v>0</v>
      </c>
      <c r="I578" s="62" t="n">
        <v>0</v>
      </c>
      <c r="J578" s="62" t="n">
        <v>0</v>
      </c>
      <c r="K578" s="62" t="n">
        <v>0</v>
      </c>
      <c r="L578" s="62" t="n">
        <v>0</v>
      </c>
      <c r="M578" s="61" t="n">
        <v>0.159253218597521</v>
      </c>
    </row>
    <row r="579" customFormat="false" ht="15" hidden="false" customHeight="true" outlineLevel="0" collapsed="false">
      <c r="A579" s="62" t="n">
        <v>553</v>
      </c>
      <c r="B579" s="59" t="n">
        <v>0.37082987959275</v>
      </c>
      <c r="C579" s="59" t="n">
        <v>-0.400677949373013</v>
      </c>
      <c r="D579" s="59" t="n">
        <v>0.568859880833893</v>
      </c>
      <c r="E579" s="60" t="n">
        <v>0.000904653735971614</v>
      </c>
      <c r="F579" s="61" t="n">
        <v>0.140871635369345</v>
      </c>
      <c r="G579" s="55" t="n">
        <v>31.3112673072518</v>
      </c>
      <c r="H579" s="62" t="n">
        <v>0</v>
      </c>
      <c r="I579" s="62" t="n">
        <v>0</v>
      </c>
      <c r="J579" s="62" t="n">
        <v>0</v>
      </c>
      <c r="K579" s="62" t="n">
        <v>0</v>
      </c>
      <c r="L579" s="62" t="n">
        <v>0</v>
      </c>
      <c r="M579" s="61" t="n">
        <v>0.158402847561654</v>
      </c>
    </row>
    <row r="580" customFormat="false" ht="15" hidden="false" customHeight="true" outlineLevel="0" collapsed="false">
      <c r="A580" s="62" t="n">
        <v>554</v>
      </c>
      <c r="B580" s="59" t="n">
        <v>0.262284217019638</v>
      </c>
      <c r="C580" s="59" t="n">
        <v>1.20255557913391</v>
      </c>
      <c r="D580" s="59" t="n">
        <v>0.295773441317153</v>
      </c>
      <c r="E580" s="60" t="n">
        <v>-0.0150804567180424</v>
      </c>
      <c r="F580" s="61" t="n">
        <v>0.151859088418515</v>
      </c>
      <c r="G580" s="55" t="n">
        <v>-73.8520778469006</v>
      </c>
      <c r="H580" s="62" t="n">
        <v>0</v>
      </c>
      <c r="I580" s="62" t="n">
        <v>0</v>
      </c>
      <c r="J580" s="62" t="n">
        <v>0</v>
      </c>
      <c r="K580" s="62" t="n">
        <v>0</v>
      </c>
      <c r="L580" s="62" t="n">
        <v>0</v>
      </c>
      <c r="M580" s="61" t="n">
        <v>0.158402847561654</v>
      </c>
    </row>
    <row r="581" customFormat="false" ht="15" hidden="false" customHeight="true" outlineLevel="0" collapsed="false">
      <c r="A581" s="62" t="n">
        <v>555</v>
      </c>
      <c r="B581" s="59" t="n">
        <v>-2.43018011260129</v>
      </c>
      <c r="C581" s="59" t="n">
        <v>-2.80018091817813</v>
      </c>
      <c r="D581" s="59" t="n">
        <v>-1.77712111151741</v>
      </c>
      <c r="E581" s="60" t="n">
        <v>0.00658485133604997</v>
      </c>
      <c r="F581" s="61" t="n">
        <v>0.664759559755167</v>
      </c>
      <c r="G581" s="55" t="n">
        <v>937.548583870175</v>
      </c>
      <c r="H581" s="62" t="n">
        <v>16</v>
      </c>
      <c r="I581" s="62" t="n">
        <v>3</v>
      </c>
      <c r="J581" s="62" t="n">
        <v>4</v>
      </c>
      <c r="K581" s="62" t="n">
        <v>1</v>
      </c>
      <c r="L581" s="62" t="n">
        <v>1</v>
      </c>
      <c r="M581" s="61" t="n">
        <v>1</v>
      </c>
    </row>
    <row r="582" customFormat="false" ht="15" hidden="false" customHeight="true" outlineLevel="0" collapsed="false">
      <c r="A582" s="62" t="n">
        <v>556</v>
      </c>
      <c r="B582" s="59" t="n">
        <v>0.228516683810321</v>
      </c>
      <c r="C582" s="59" t="n">
        <v>1.2510122594638</v>
      </c>
      <c r="D582" s="59" t="n">
        <v>-0.601189748705508</v>
      </c>
      <c r="E582" s="60" t="n">
        <v>-0.00371174367103456</v>
      </c>
      <c r="F582" s="61" t="n">
        <v>0.155391181620044</v>
      </c>
      <c r="G582" s="55" t="n">
        <v>-6.04626298656818</v>
      </c>
      <c r="H582" s="62" t="n">
        <v>0</v>
      </c>
      <c r="I582" s="62" t="n">
        <v>0</v>
      </c>
      <c r="J582" s="62" t="n">
        <v>0</v>
      </c>
      <c r="K582" s="62" t="n">
        <v>0</v>
      </c>
      <c r="L582" s="62" t="n">
        <v>0</v>
      </c>
      <c r="M582" s="61" t="n">
        <v>0.15907873350152</v>
      </c>
    </row>
    <row r="583" customFormat="false" ht="15" hidden="false" customHeight="true" outlineLevel="0" collapsed="false">
      <c r="A583" s="62" t="n">
        <v>557</v>
      </c>
      <c r="B583" s="59" t="n">
        <v>-0.142385844568154</v>
      </c>
      <c r="C583" s="59" t="n">
        <v>0.0459956075811345</v>
      </c>
      <c r="D583" s="59" t="n">
        <v>0.144715634834055</v>
      </c>
      <c r="E583" s="60" t="n">
        <v>0.0101303372953624</v>
      </c>
      <c r="F583" s="61" t="n">
        <v>0.202444456737423</v>
      </c>
      <c r="G583" s="55" t="n">
        <v>115.160669715264</v>
      </c>
      <c r="H583" s="62" t="n">
        <v>0</v>
      </c>
      <c r="I583" s="62" t="n">
        <v>0</v>
      </c>
      <c r="J583" s="62" t="n">
        <v>0</v>
      </c>
      <c r="K583" s="62" t="n">
        <v>0</v>
      </c>
      <c r="L583" s="62" t="n">
        <v>1</v>
      </c>
      <c r="M583" s="61" t="n">
        <v>0.361753173166837</v>
      </c>
    </row>
    <row r="584" customFormat="false" ht="15" hidden="false" customHeight="true" outlineLevel="0" collapsed="false">
      <c r="A584" s="62" t="n">
        <v>558</v>
      </c>
      <c r="B584" s="59" t="n">
        <v>-0.741006159880703</v>
      </c>
      <c r="C584" s="59" t="n">
        <v>-0.224825614079442</v>
      </c>
      <c r="D584" s="59" t="n">
        <v>0.109152823442595</v>
      </c>
      <c r="E584" s="60" t="n">
        <v>0.00092592146870129</v>
      </c>
      <c r="F584" s="61" t="n">
        <v>0.31021823920772</v>
      </c>
      <c r="G584" s="55" t="n">
        <v>84.4872763401487</v>
      </c>
      <c r="H584" s="62" t="n">
        <v>0</v>
      </c>
      <c r="I584" s="62" t="n">
        <v>0</v>
      </c>
      <c r="J584" s="62" t="n">
        <v>0</v>
      </c>
      <c r="K584" s="62" t="n">
        <v>0</v>
      </c>
      <c r="L584" s="62" t="n">
        <v>0</v>
      </c>
      <c r="M584" s="61" t="n">
        <v>0.158839038744559</v>
      </c>
    </row>
    <row r="585" customFormat="false" ht="15" hidden="false" customHeight="true" outlineLevel="0" collapsed="false">
      <c r="A585" s="62" t="n">
        <v>559</v>
      </c>
      <c r="B585" s="59" t="n">
        <v>-1.26088588226658</v>
      </c>
      <c r="C585" s="59" t="n">
        <v>-1.17921373056463</v>
      </c>
      <c r="D585" s="59" t="n">
        <v>-1.21809792653214</v>
      </c>
      <c r="E585" s="60" t="n">
        <v>0.00645320160019118</v>
      </c>
      <c r="F585" s="61" t="n">
        <v>0.421109362575634</v>
      </c>
      <c r="G585" s="55" t="n">
        <v>530.980701793446</v>
      </c>
      <c r="H585" s="62" t="n">
        <v>10</v>
      </c>
      <c r="I585" s="62" t="n">
        <v>1</v>
      </c>
      <c r="J585" s="62" t="n">
        <v>1</v>
      </c>
      <c r="K585" s="62" t="n">
        <v>1</v>
      </c>
      <c r="L585" s="62" t="n">
        <v>1</v>
      </c>
      <c r="M585" s="61" t="n">
        <v>0.99999999999453</v>
      </c>
    </row>
    <row r="586" customFormat="false" ht="15" hidden="false" customHeight="true" outlineLevel="0" collapsed="false">
      <c r="A586" s="62" t="n">
        <v>560</v>
      </c>
      <c r="B586" s="59" t="n">
        <v>-0.012367823198626</v>
      </c>
      <c r="C586" s="59" t="n">
        <v>0.236354024001042</v>
      </c>
      <c r="D586" s="59" t="n">
        <v>1.63397871184098</v>
      </c>
      <c r="E586" s="60" t="n">
        <v>-0.0264006604044149</v>
      </c>
      <c r="F586" s="61" t="n">
        <v>0.18254555317071</v>
      </c>
      <c r="G586" s="55" t="n">
        <v>-139.832301461573</v>
      </c>
      <c r="H586" s="62" t="n">
        <v>0</v>
      </c>
      <c r="I586" s="62" t="n">
        <v>0</v>
      </c>
      <c r="J586" s="62" t="n">
        <v>0</v>
      </c>
      <c r="K586" s="62" t="n">
        <v>0</v>
      </c>
      <c r="L586" s="62" t="n">
        <v>0</v>
      </c>
      <c r="M586" s="61" t="n">
        <v>0.158403157932124</v>
      </c>
    </row>
    <row r="587" customFormat="false" ht="15" hidden="false" customHeight="true" outlineLevel="0" collapsed="false">
      <c r="A587" s="62" t="n">
        <v>561</v>
      </c>
      <c r="B587" s="59" t="n">
        <v>-0.466173210168645</v>
      </c>
      <c r="C587" s="59" t="n">
        <v>-0.396211172304932</v>
      </c>
      <c r="D587" s="59" t="n">
        <v>-0.0321585955790458</v>
      </c>
      <c r="E587" s="60" t="n">
        <v>-0.00545187740071366</v>
      </c>
      <c r="F587" s="61" t="n">
        <v>0.257598915149223</v>
      </c>
      <c r="G587" s="55" t="n">
        <v>41.8010800371556</v>
      </c>
      <c r="H587" s="62" t="n">
        <v>0</v>
      </c>
      <c r="I587" s="62" t="n">
        <v>0</v>
      </c>
      <c r="J587" s="62" t="n">
        <v>0</v>
      </c>
      <c r="K587" s="62" t="n">
        <v>0</v>
      </c>
      <c r="L587" s="62" t="n">
        <v>1</v>
      </c>
      <c r="M587" s="61" t="n">
        <v>0.362038580426846</v>
      </c>
    </row>
    <row r="588" customFormat="false" ht="15" hidden="false" customHeight="true" outlineLevel="0" collapsed="false">
      <c r="A588" s="62" t="n">
        <v>562</v>
      </c>
      <c r="B588" s="59" t="n">
        <v>0.566810919115851</v>
      </c>
      <c r="C588" s="59" t="n">
        <v>0.221053105565609</v>
      </c>
      <c r="D588" s="59" t="n">
        <v>1.98577636997197</v>
      </c>
      <c r="E588" s="60" t="n">
        <v>0.00527137200443685</v>
      </c>
      <c r="F588" s="61" t="n">
        <v>0.1224364796957</v>
      </c>
      <c r="G588" s="55" t="n">
        <v>52.7527369006441</v>
      </c>
      <c r="H588" s="62" t="n">
        <v>0</v>
      </c>
      <c r="I588" s="62" t="n">
        <v>0</v>
      </c>
      <c r="J588" s="62" t="n">
        <v>0</v>
      </c>
      <c r="K588" s="62" t="n">
        <v>0</v>
      </c>
      <c r="L588" s="62" t="n">
        <v>0</v>
      </c>
      <c r="M588" s="61" t="n">
        <v>0.158402847561654</v>
      </c>
    </row>
    <row r="589" customFormat="false" ht="15" hidden="false" customHeight="true" outlineLevel="0" collapsed="false">
      <c r="A589" s="62" t="n">
        <v>563</v>
      </c>
      <c r="B589" s="59" t="n">
        <v>-0.805216088340473</v>
      </c>
      <c r="C589" s="59" t="n">
        <v>-0.627231191923303</v>
      </c>
      <c r="D589" s="59" t="n">
        <v>-0.380801490331357</v>
      </c>
      <c r="E589" s="60" t="n">
        <v>-4.5878326087692E-005</v>
      </c>
      <c r="F589" s="61" t="n">
        <v>0.323194909230932</v>
      </c>
      <c r="G589" s="55" t="n">
        <v>86.6260695441401</v>
      </c>
      <c r="H589" s="62" t="n">
        <v>0</v>
      </c>
      <c r="I589" s="62" t="n">
        <v>0</v>
      </c>
      <c r="J589" s="62" t="n">
        <v>0</v>
      </c>
      <c r="K589" s="62" t="n">
        <v>0</v>
      </c>
      <c r="L589" s="62" t="n">
        <v>0</v>
      </c>
      <c r="M589" s="61" t="n">
        <v>0.160782675439253</v>
      </c>
    </row>
    <row r="590" customFormat="false" ht="15" hidden="false" customHeight="true" outlineLevel="0" collapsed="false">
      <c r="A590" s="62" t="n">
        <v>564</v>
      </c>
      <c r="B590" s="59" t="n">
        <v>-1.18326201695722</v>
      </c>
      <c r="C590" s="59" t="n">
        <v>-1.06934457471189</v>
      </c>
      <c r="D590" s="59" t="n">
        <v>-1.81913301177823</v>
      </c>
      <c r="E590" s="60" t="n">
        <v>0.00375504592983333</v>
      </c>
      <c r="F590" s="61" t="n">
        <v>0.403838511918734</v>
      </c>
      <c r="G590" s="55" t="n">
        <v>614.668531683575</v>
      </c>
      <c r="H590" s="62" t="n">
        <v>10</v>
      </c>
      <c r="I590" s="62" t="n">
        <v>1</v>
      </c>
      <c r="J590" s="62" t="n">
        <v>1</v>
      </c>
      <c r="K590" s="62" t="n">
        <v>1</v>
      </c>
      <c r="L590" s="62" t="n">
        <v>0</v>
      </c>
      <c r="M590" s="61" t="n">
        <v>0.999999999998428</v>
      </c>
    </row>
    <row r="591" customFormat="false" ht="15" hidden="false" customHeight="true" outlineLevel="0" collapsed="false">
      <c r="A591" s="62" t="n">
        <v>565</v>
      </c>
      <c r="B591" s="59" t="n">
        <v>-0.782005457151478</v>
      </c>
      <c r="C591" s="59" t="n">
        <v>1.16404228037147</v>
      </c>
      <c r="D591" s="59" t="n">
        <v>3.18940159649773</v>
      </c>
      <c r="E591" s="60" t="n">
        <v>-0.0172520808627254</v>
      </c>
      <c r="F591" s="61" t="n">
        <v>0.318476482512232</v>
      </c>
      <c r="G591" s="55" t="n">
        <v>-23.0436658157588</v>
      </c>
      <c r="H591" s="62" t="n">
        <v>0</v>
      </c>
      <c r="I591" s="62" t="n">
        <v>0</v>
      </c>
      <c r="J591" s="62" t="n">
        <v>0</v>
      </c>
      <c r="K591" s="62" t="n">
        <v>0</v>
      </c>
      <c r="L591" s="62" t="n">
        <v>0</v>
      </c>
      <c r="M591" s="61" t="n">
        <v>0.158850048450757</v>
      </c>
    </row>
    <row r="592" customFormat="false" ht="15" hidden="false" customHeight="true" outlineLevel="0" collapsed="false">
      <c r="A592" s="62" t="n">
        <v>566</v>
      </c>
      <c r="B592" s="59" t="n">
        <v>-0.810141039783219</v>
      </c>
      <c r="C592" s="59" t="n">
        <v>-0.28426543857282</v>
      </c>
      <c r="D592" s="59" t="n">
        <v>-0.597900019834334</v>
      </c>
      <c r="E592" s="60" t="n">
        <v>-0.00990819014316803</v>
      </c>
      <c r="F592" s="61" t="n">
        <v>0.324200030989689</v>
      </c>
      <c r="G592" s="55" t="n">
        <v>27.0588379829693</v>
      </c>
      <c r="H592" s="62" t="n">
        <v>0</v>
      </c>
      <c r="I592" s="62" t="n">
        <v>0</v>
      </c>
      <c r="J592" s="62" t="n">
        <v>0</v>
      </c>
      <c r="K592" s="62" t="n">
        <v>0</v>
      </c>
      <c r="L592" s="62" t="n">
        <v>0</v>
      </c>
      <c r="M592" s="61" t="n">
        <v>0.164125409121354</v>
      </c>
    </row>
    <row r="593" customFormat="false" ht="15" hidden="false" customHeight="true" outlineLevel="0" collapsed="false">
      <c r="A593" s="62" t="n">
        <v>567</v>
      </c>
      <c r="B593" s="59" t="n">
        <v>0.612420658081731</v>
      </c>
      <c r="C593" s="59" t="n">
        <v>0.75983467808321</v>
      </c>
      <c r="D593" s="59" t="n">
        <v>1.12992066456453</v>
      </c>
      <c r="E593" s="60" t="n">
        <v>0.00107850545259061</v>
      </c>
      <c r="F593" s="61" t="n">
        <v>0.118401753929499</v>
      </c>
      <c r="G593" s="55" t="n">
        <v>23.5095072178363</v>
      </c>
      <c r="H593" s="62" t="n">
        <v>0</v>
      </c>
      <c r="I593" s="62" t="n">
        <v>0</v>
      </c>
      <c r="J593" s="62" t="n">
        <v>0</v>
      </c>
      <c r="K593" s="62" t="n">
        <v>0</v>
      </c>
      <c r="L593" s="62" t="n">
        <v>0</v>
      </c>
      <c r="M593" s="61" t="n">
        <v>0.158402847561654</v>
      </c>
    </row>
    <row r="594" customFormat="false" ht="15" hidden="false" customHeight="true" outlineLevel="0" collapsed="false">
      <c r="A594" s="62" t="n">
        <v>568</v>
      </c>
      <c r="B594" s="59" t="n">
        <v>-1.07540159801033</v>
      </c>
      <c r="C594" s="59" t="n">
        <v>-1.01241024044564</v>
      </c>
      <c r="D594" s="59" t="n">
        <v>-1.34214619515721</v>
      </c>
      <c r="E594" s="60" t="n">
        <v>0.00725897562062108</v>
      </c>
      <c r="F594" s="61" t="n">
        <v>0.380185357282847</v>
      </c>
      <c r="G594" s="55" t="n">
        <v>222.296251864139</v>
      </c>
      <c r="H594" s="62" t="n">
        <v>0</v>
      </c>
      <c r="I594" s="62" t="n">
        <v>0</v>
      </c>
      <c r="J594" s="62" t="n">
        <v>0</v>
      </c>
      <c r="K594" s="62" t="n">
        <v>0</v>
      </c>
      <c r="L594" s="62" t="n">
        <v>0</v>
      </c>
      <c r="M594" s="61" t="n">
        <v>0.241366766007697</v>
      </c>
    </row>
    <row r="595" customFormat="false" ht="15" hidden="false" customHeight="true" outlineLevel="0" collapsed="false">
      <c r="A595" s="62" t="n">
        <v>569</v>
      </c>
      <c r="B595" s="59" t="n">
        <v>0.790672886949262</v>
      </c>
      <c r="C595" s="59" t="n">
        <v>-0.195959795505751</v>
      </c>
      <c r="D595" s="59" t="n">
        <v>-1.33910704065036</v>
      </c>
      <c r="E595" s="60" t="n">
        <v>-0.0190936576408094</v>
      </c>
      <c r="F595" s="61" t="n">
        <v>0.103538859787457</v>
      </c>
      <c r="G595" s="55" t="n">
        <v>-90.2646995594882</v>
      </c>
      <c r="H595" s="62" t="n">
        <v>0</v>
      </c>
      <c r="I595" s="62" t="n">
        <v>0</v>
      </c>
      <c r="J595" s="62" t="n">
        <v>0</v>
      </c>
      <c r="K595" s="62" t="n">
        <v>0</v>
      </c>
      <c r="L595" s="62" t="n">
        <v>0</v>
      </c>
      <c r="M595" s="61" t="n">
        <v>0.160977447015216</v>
      </c>
    </row>
    <row r="596" customFormat="false" ht="15" hidden="false" customHeight="true" outlineLevel="0" collapsed="false">
      <c r="A596" s="62" t="n">
        <v>570</v>
      </c>
      <c r="B596" s="59" t="n">
        <v>-0.327157224335436</v>
      </c>
      <c r="C596" s="59" t="n">
        <v>-0.294451409197369</v>
      </c>
      <c r="D596" s="59" t="n">
        <v>-1.50699480058326</v>
      </c>
      <c r="E596" s="60" t="n">
        <v>-0.00136193457559294</v>
      </c>
      <c r="F596" s="61" t="n">
        <v>0.232962824649515</v>
      </c>
      <c r="G596" s="55" t="n">
        <v>42.7151374853839</v>
      </c>
      <c r="H596" s="62" t="n">
        <v>0</v>
      </c>
      <c r="I596" s="62" t="n">
        <v>0</v>
      </c>
      <c r="J596" s="62" t="n">
        <v>0</v>
      </c>
      <c r="K596" s="62" t="n">
        <v>0</v>
      </c>
      <c r="L596" s="62" t="n">
        <v>0</v>
      </c>
      <c r="M596" s="61" t="n">
        <v>0.167941360370307</v>
      </c>
    </row>
    <row r="597" customFormat="false" ht="15" hidden="false" customHeight="true" outlineLevel="0" collapsed="false">
      <c r="A597" s="62" t="n">
        <v>571</v>
      </c>
      <c r="B597" s="59" t="n">
        <v>-1.1130697013542</v>
      </c>
      <c r="C597" s="59" t="n">
        <v>-0.999130261435617</v>
      </c>
      <c r="D597" s="59" t="n">
        <v>-0.0297346806831985</v>
      </c>
      <c r="E597" s="60" t="n">
        <v>-0.00458124920234549</v>
      </c>
      <c r="F597" s="61" t="n">
        <v>0.388395751273067</v>
      </c>
      <c r="G597" s="55" t="n">
        <v>87.8023553854719</v>
      </c>
      <c r="H597" s="62" t="n">
        <v>0</v>
      </c>
      <c r="I597" s="62" t="n">
        <v>0</v>
      </c>
      <c r="J597" s="62" t="n">
        <v>0</v>
      </c>
      <c r="K597" s="62" t="n">
        <v>0</v>
      </c>
      <c r="L597" s="62" t="n">
        <v>0</v>
      </c>
      <c r="M597" s="61" t="n">
        <v>0.162699334369088</v>
      </c>
    </row>
    <row r="598" customFormat="false" ht="15" hidden="false" customHeight="true" outlineLevel="0" collapsed="false">
      <c r="A598" s="62" t="n">
        <v>572</v>
      </c>
      <c r="B598" s="59" t="n">
        <v>0.0476803172023197</v>
      </c>
      <c r="C598" s="59" t="n">
        <v>0.923104609195553</v>
      </c>
      <c r="D598" s="59" t="n">
        <v>0.837960743295148</v>
      </c>
      <c r="E598" s="60" t="n">
        <v>0.0224577769977674</v>
      </c>
      <c r="F598" s="61" t="n">
        <v>0.17523091090956</v>
      </c>
      <c r="G598" s="55" t="n">
        <v>170.988721437377</v>
      </c>
      <c r="H598" s="62" t="n">
        <v>0</v>
      </c>
      <c r="I598" s="62" t="n">
        <v>0</v>
      </c>
      <c r="J598" s="62" t="n">
        <v>0</v>
      </c>
      <c r="K598" s="62" t="n">
        <v>0</v>
      </c>
      <c r="L598" s="62" t="n">
        <v>0</v>
      </c>
      <c r="M598" s="61" t="n">
        <v>0.158403043281737</v>
      </c>
    </row>
    <row r="599" customFormat="false" ht="15" hidden="false" customHeight="true" outlineLevel="0" collapsed="false">
      <c r="A599" s="62" t="n">
        <v>573</v>
      </c>
      <c r="B599" s="59" t="n">
        <v>-0.536425335651653</v>
      </c>
      <c r="C599" s="59" t="n">
        <v>-0.136272958348665</v>
      </c>
      <c r="D599" s="59" t="n">
        <v>0.786952561318954</v>
      </c>
      <c r="E599" s="60" t="n">
        <v>-0.0046291419396498</v>
      </c>
      <c r="F599" s="61" t="n">
        <v>0.270571831168821</v>
      </c>
      <c r="G599" s="55" t="n">
        <v>33.3792463780013</v>
      </c>
      <c r="H599" s="62" t="n">
        <v>0</v>
      </c>
      <c r="I599" s="62" t="n">
        <v>0</v>
      </c>
      <c r="J599" s="62" t="n">
        <v>0</v>
      </c>
      <c r="K599" s="62" t="n">
        <v>0</v>
      </c>
      <c r="L599" s="62" t="n">
        <v>0</v>
      </c>
      <c r="M599" s="61" t="n">
        <v>0.158750554047508</v>
      </c>
    </row>
    <row r="600" customFormat="false" ht="15" hidden="false" customHeight="true" outlineLevel="0" collapsed="false">
      <c r="A600" s="62" t="n">
        <v>574</v>
      </c>
      <c r="B600" s="59" t="n">
        <v>-0.854301820199036</v>
      </c>
      <c r="C600" s="59" t="n">
        <v>-0.797756729635995</v>
      </c>
      <c r="D600" s="59" t="n">
        <v>-0.162528817528136</v>
      </c>
      <c r="E600" s="60" t="n">
        <v>-0.00433649602870929</v>
      </c>
      <c r="F600" s="61" t="n">
        <v>0.333273022953336</v>
      </c>
      <c r="G600" s="55" t="n">
        <v>65.8811214616723</v>
      </c>
      <c r="H600" s="62" t="n">
        <v>0</v>
      </c>
      <c r="I600" s="62" t="n">
        <v>0</v>
      </c>
      <c r="J600" s="62" t="n">
        <v>0</v>
      </c>
      <c r="K600" s="62" t="n">
        <v>0</v>
      </c>
      <c r="L600" s="62" t="n">
        <v>0</v>
      </c>
      <c r="M600" s="61" t="n">
        <v>0.159833515175883</v>
      </c>
    </row>
    <row r="601" customFormat="false" ht="15" hidden="false" customHeight="true" outlineLevel="0" collapsed="false">
      <c r="A601" s="62" t="n">
        <v>575</v>
      </c>
      <c r="B601" s="59" t="n">
        <v>0.837737323051369</v>
      </c>
      <c r="C601" s="59" t="n">
        <v>-0.0675525205882308</v>
      </c>
      <c r="D601" s="59" t="n">
        <v>0.671780903382042</v>
      </c>
      <c r="E601" s="60" t="n">
        <v>-0.0227884444258242</v>
      </c>
      <c r="F601" s="61" t="n">
        <v>0.0998510999938916</v>
      </c>
      <c r="G601" s="55" t="n">
        <v>-117.71211017032</v>
      </c>
      <c r="H601" s="62" t="n">
        <v>0</v>
      </c>
      <c r="I601" s="62" t="n">
        <v>0</v>
      </c>
      <c r="J601" s="62" t="n">
        <v>0</v>
      </c>
      <c r="K601" s="62" t="n">
        <v>0</v>
      </c>
      <c r="L601" s="62" t="n">
        <v>0</v>
      </c>
      <c r="M601" s="61" t="n">
        <v>0.158402847561654</v>
      </c>
    </row>
    <row r="602" customFormat="false" ht="15" hidden="false" customHeight="true" outlineLevel="0" collapsed="false">
      <c r="A602" s="62" t="n">
        <v>576</v>
      </c>
      <c r="B602" s="59" t="n">
        <v>1.92813397311307</v>
      </c>
      <c r="C602" s="59" t="n">
        <v>0.978000114231546</v>
      </c>
      <c r="D602" s="59" t="n">
        <v>1.9051131731019</v>
      </c>
      <c r="E602" s="60" t="n">
        <v>0.000382651507437327</v>
      </c>
      <c r="F602" s="61" t="n">
        <v>0.038875274617975</v>
      </c>
      <c r="G602" s="55" t="n">
        <v>18.6359629179732</v>
      </c>
      <c r="H602" s="62" t="n">
        <v>0</v>
      </c>
      <c r="I602" s="62" t="n">
        <v>0</v>
      </c>
      <c r="J602" s="62" t="n">
        <v>0</v>
      </c>
      <c r="K602" s="62" t="n">
        <v>0</v>
      </c>
      <c r="L602" s="62" t="n">
        <v>0</v>
      </c>
      <c r="M602" s="61" t="n">
        <v>0.158402847561654</v>
      </c>
    </row>
    <row r="603" customFormat="false" ht="15" hidden="false" customHeight="true" outlineLevel="0" collapsed="false">
      <c r="A603" s="62" t="n">
        <v>577</v>
      </c>
      <c r="B603" s="59" t="n">
        <v>-0.18832150090468</v>
      </c>
      <c r="C603" s="59" t="n">
        <v>0.16645625445356</v>
      </c>
      <c r="D603" s="59" t="n">
        <v>0.336301041526126</v>
      </c>
      <c r="E603" s="60" t="n">
        <v>-0.00245541790861837</v>
      </c>
      <c r="F603" s="61" t="n">
        <v>0.209788422712985</v>
      </c>
      <c r="G603" s="55" t="n">
        <v>34.2611453168036</v>
      </c>
      <c r="H603" s="62" t="n">
        <v>0</v>
      </c>
      <c r="I603" s="62" t="n">
        <v>0</v>
      </c>
      <c r="J603" s="62" t="n">
        <v>0</v>
      </c>
      <c r="K603" s="62" t="n">
        <v>0</v>
      </c>
      <c r="L603" s="62" t="n">
        <v>1</v>
      </c>
      <c r="M603" s="61" t="n">
        <v>0.361778240742741</v>
      </c>
    </row>
    <row r="604" customFormat="false" ht="15" hidden="false" customHeight="true" outlineLevel="0" collapsed="false">
      <c r="A604" s="62" t="n">
        <v>578</v>
      </c>
      <c r="B604" s="59" t="n">
        <v>1.0485164663988</v>
      </c>
      <c r="C604" s="59" t="n">
        <v>1.03672373029612</v>
      </c>
      <c r="D604" s="59" t="n">
        <v>1.80729967273752</v>
      </c>
      <c r="E604" s="60" t="n">
        <v>0.0102883866705835</v>
      </c>
      <c r="F604" s="61" t="n">
        <v>0.0845081283412602</v>
      </c>
      <c r="G604" s="55" t="n">
        <v>104.093287838508</v>
      </c>
      <c r="H604" s="62" t="n">
        <v>0</v>
      </c>
      <c r="I604" s="62" t="n">
        <v>0</v>
      </c>
      <c r="J604" s="62" t="n">
        <v>0</v>
      </c>
      <c r="K604" s="62" t="n">
        <v>0</v>
      </c>
      <c r="L604" s="62" t="n">
        <v>1</v>
      </c>
      <c r="M604" s="61" t="n">
        <v>0.361450307435604</v>
      </c>
    </row>
    <row r="605" customFormat="false" ht="15" hidden="false" customHeight="true" outlineLevel="0" collapsed="false">
      <c r="A605" s="62" t="n">
        <v>579</v>
      </c>
      <c r="B605" s="59" t="n">
        <v>-0.704787792492878</v>
      </c>
      <c r="C605" s="59" t="n">
        <v>0.276431598749429</v>
      </c>
      <c r="D605" s="59" t="n">
        <v>-0.415264719405217</v>
      </c>
      <c r="E605" s="60" t="n">
        <v>0.00532933176055209</v>
      </c>
      <c r="F605" s="61" t="n">
        <v>0.303006404809211</v>
      </c>
      <c r="G605" s="55" t="n">
        <v>110.998249864476</v>
      </c>
      <c r="H605" s="62" t="n">
        <v>0</v>
      </c>
      <c r="I605" s="62" t="n">
        <v>0</v>
      </c>
      <c r="J605" s="62" t="n">
        <v>0</v>
      </c>
      <c r="K605" s="62" t="n">
        <v>0</v>
      </c>
      <c r="L605" s="62" t="n">
        <v>0</v>
      </c>
      <c r="M605" s="61" t="n">
        <v>0.159590860051903</v>
      </c>
    </row>
    <row r="606" customFormat="false" ht="15" hidden="false" customHeight="true" outlineLevel="0" collapsed="false">
      <c r="A606" s="62" t="n">
        <v>580</v>
      </c>
      <c r="B606" s="59" t="n">
        <v>-0.419195248729308</v>
      </c>
      <c r="C606" s="59" t="n">
        <v>-0.167427418043628</v>
      </c>
      <c r="D606" s="59" t="n">
        <v>0.197512651694989</v>
      </c>
      <c r="E606" s="60" t="n">
        <v>0.00244089006456683</v>
      </c>
      <c r="F606" s="61" t="n">
        <v>0.249117309423654</v>
      </c>
      <c r="G606" s="55" t="n">
        <v>68.3888931078762</v>
      </c>
      <c r="H606" s="62" t="n">
        <v>0</v>
      </c>
      <c r="I606" s="62" t="n">
        <v>0</v>
      </c>
      <c r="J606" s="62" t="n">
        <v>0</v>
      </c>
      <c r="K606" s="62" t="n">
        <v>0</v>
      </c>
      <c r="L606" s="62" t="n">
        <v>0</v>
      </c>
      <c r="M606" s="61" t="n">
        <v>0.158704319149304</v>
      </c>
    </row>
    <row r="607" customFormat="false" ht="15" hidden="false" customHeight="true" outlineLevel="0" collapsed="false">
      <c r="A607" s="62" t="n">
        <v>581</v>
      </c>
      <c r="B607" s="59" t="n">
        <v>-1.39219787008318</v>
      </c>
      <c r="C607" s="59" t="n">
        <v>-0.000862597810186907</v>
      </c>
      <c r="D607" s="59" t="n">
        <v>-1.42820879654432</v>
      </c>
      <c r="E607" s="60" t="n">
        <v>0.0115770744303237</v>
      </c>
      <c r="F607" s="61" t="n">
        <v>0.450697848729979</v>
      </c>
      <c r="G607" s="55" t="n">
        <v>619.451943650439</v>
      </c>
      <c r="H607" s="62" t="n">
        <v>10</v>
      </c>
      <c r="I607" s="62" t="n">
        <v>1</v>
      </c>
      <c r="J607" s="62" t="n">
        <v>1</v>
      </c>
      <c r="K607" s="62" t="n">
        <v>1</v>
      </c>
      <c r="L607" s="62" t="n">
        <v>0</v>
      </c>
      <c r="M607" s="61" t="n">
        <v>0.999999999998765</v>
      </c>
    </row>
    <row r="608" customFormat="false" ht="15" hidden="false" customHeight="true" outlineLevel="0" collapsed="false">
      <c r="A608" s="62" t="n">
        <v>582</v>
      </c>
      <c r="B608" s="59" t="n">
        <v>-1.09241585205127</v>
      </c>
      <c r="C608" s="59" t="n">
        <v>-1.12680945541087</v>
      </c>
      <c r="D608" s="59" t="n">
        <v>-0.579831108808564</v>
      </c>
      <c r="E608" s="60" t="n">
        <v>0.00988065326290348</v>
      </c>
      <c r="F608" s="61" t="n">
        <v>0.38388690398527</v>
      </c>
      <c r="G608" s="55" t="n">
        <v>242.908463749828</v>
      </c>
      <c r="H608" s="62" t="n">
        <v>0</v>
      </c>
      <c r="I608" s="62" t="n">
        <v>0</v>
      </c>
      <c r="J608" s="62" t="n">
        <v>0</v>
      </c>
      <c r="K608" s="62" t="n">
        <v>0</v>
      </c>
      <c r="L608" s="62" t="n">
        <v>1</v>
      </c>
      <c r="M608" s="61" t="n">
        <v>0.424769171172878</v>
      </c>
    </row>
    <row r="609" customFormat="false" ht="15" hidden="false" customHeight="true" outlineLevel="0" collapsed="false">
      <c r="A609" s="62" t="n">
        <v>583</v>
      </c>
      <c r="B609" s="59" t="n">
        <v>-2.37657718750997</v>
      </c>
      <c r="C609" s="59" t="n">
        <v>-1.61599078541483</v>
      </c>
      <c r="D609" s="59" t="n">
        <v>-1.74828650362743</v>
      </c>
      <c r="E609" s="60" t="n">
        <v>-0.00984571196416581</v>
      </c>
      <c r="F609" s="61" t="n">
        <v>0.655611173085677</v>
      </c>
      <c r="G609" s="55" t="n">
        <v>786.686850226767</v>
      </c>
      <c r="H609" s="62" t="n">
        <v>13</v>
      </c>
      <c r="I609" s="62" t="n">
        <v>2</v>
      </c>
      <c r="J609" s="62" t="n">
        <v>3</v>
      </c>
      <c r="K609" s="62" t="n">
        <v>1</v>
      </c>
      <c r="L609" s="62" t="n">
        <v>0</v>
      </c>
      <c r="M609" s="61" t="n">
        <v>0.999999999999999</v>
      </c>
    </row>
    <row r="610" customFormat="false" ht="15" hidden="false" customHeight="true" outlineLevel="0" collapsed="false">
      <c r="A610" s="62" t="n">
        <v>584</v>
      </c>
      <c r="B610" s="59" t="n">
        <v>-0.624201950510182</v>
      </c>
      <c r="C610" s="59" t="n">
        <v>0.424698834303578</v>
      </c>
      <c r="D610" s="59" t="n">
        <v>0.424153853376365</v>
      </c>
      <c r="E610" s="60" t="n">
        <v>-0.00826357587816919</v>
      </c>
      <c r="F610" s="61" t="n">
        <v>0.287252131676475</v>
      </c>
      <c r="G610" s="55" t="n">
        <v>17.880563090509</v>
      </c>
      <c r="H610" s="62" t="n">
        <v>0</v>
      </c>
      <c r="I610" s="62" t="n">
        <v>0</v>
      </c>
      <c r="J610" s="62" t="n">
        <v>0</v>
      </c>
      <c r="K610" s="62" t="n">
        <v>0</v>
      </c>
      <c r="L610" s="62" t="n">
        <v>0</v>
      </c>
      <c r="M610" s="61" t="n">
        <v>0.158782915824864</v>
      </c>
    </row>
    <row r="611" customFormat="false" ht="15" hidden="false" customHeight="true" outlineLevel="0" collapsed="false">
      <c r="A611" s="62" t="n">
        <v>585</v>
      </c>
      <c r="B611" s="59" t="n">
        <v>-1.53265328702564</v>
      </c>
      <c r="C611" s="59" t="n">
        <v>-0.184873008222253</v>
      </c>
      <c r="D611" s="59" t="n">
        <v>-1.30939918655829</v>
      </c>
      <c r="E611" s="60" t="n">
        <v>0.00102597990658476</v>
      </c>
      <c r="F611" s="61" t="n">
        <v>0.482702466582179</v>
      </c>
      <c r="G611" s="55" t="n">
        <v>555.842270573896</v>
      </c>
      <c r="H611" s="62" t="n">
        <v>10</v>
      </c>
      <c r="I611" s="62" t="n">
        <v>1</v>
      </c>
      <c r="J611" s="62" t="n">
        <v>1</v>
      </c>
      <c r="K611" s="62" t="n">
        <v>1</v>
      </c>
      <c r="L611" s="62" t="n">
        <v>0</v>
      </c>
      <c r="M611" s="61" t="n">
        <v>0.999999999998727</v>
      </c>
    </row>
    <row r="612" customFormat="false" ht="15" hidden="false" customHeight="true" outlineLevel="0" collapsed="false">
      <c r="A612" s="62" t="n">
        <v>586</v>
      </c>
      <c r="B612" s="59" t="n">
        <v>-1.3819421924121</v>
      </c>
      <c r="C612" s="59" t="n">
        <v>-1.23776682381669</v>
      </c>
      <c r="D612" s="59" t="n">
        <v>-1.0746513009256</v>
      </c>
      <c r="E612" s="60" t="n">
        <v>0.00739541747384719</v>
      </c>
      <c r="F612" s="61" t="n">
        <v>0.448373053352774</v>
      </c>
      <c r="G612" s="55" t="n">
        <v>542.529676233239</v>
      </c>
      <c r="H612" s="62" t="n">
        <v>10</v>
      </c>
      <c r="I612" s="62" t="n">
        <v>1</v>
      </c>
      <c r="J612" s="62" t="n">
        <v>1</v>
      </c>
      <c r="K612" s="62" t="n">
        <v>1</v>
      </c>
      <c r="L612" s="62" t="n">
        <v>0</v>
      </c>
      <c r="M612" s="61" t="n">
        <v>0.999999999993582</v>
      </c>
    </row>
    <row r="613" customFormat="false" ht="15" hidden="false" customHeight="true" outlineLevel="0" collapsed="false">
      <c r="A613" s="62" t="n">
        <v>587</v>
      </c>
      <c r="B613" s="59" t="n">
        <v>-0.956817505180732</v>
      </c>
      <c r="C613" s="59" t="n">
        <v>-0.478069945179253</v>
      </c>
      <c r="D613" s="59" t="n">
        <v>-0.709355248746953</v>
      </c>
      <c r="E613" s="60" t="n">
        <v>0.00456893161659979</v>
      </c>
      <c r="F613" s="61" t="n">
        <v>0.354733322962107</v>
      </c>
      <c r="G613" s="55" t="n">
        <v>179.830657184003</v>
      </c>
      <c r="H613" s="62" t="n">
        <v>0</v>
      </c>
      <c r="I613" s="62" t="n">
        <v>0</v>
      </c>
      <c r="J613" s="62" t="n">
        <v>0</v>
      </c>
      <c r="K613" s="62" t="n">
        <v>0</v>
      </c>
      <c r="L613" s="62" t="n">
        <v>1</v>
      </c>
      <c r="M613" s="61" t="n">
        <v>0.410994779902439</v>
      </c>
    </row>
    <row r="614" customFormat="false" ht="15" hidden="false" customHeight="true" outlineLevel="0" collapsed="false">
      <c r="A614" s="62" t="n">
        <v>588</v>
      </c>
      <c r="B614" s="59" t="n">
        <v>0.76617334314222</v>
      </c>
      <c r="C614" s="59" t="n">
        <v>-0.364349242952393</v>
      </c>
      <c r="D614" s="59" t="n">
        <v>2.62246873050062</v>
      </c>
      <c r="E614" s="60" t="n">
        <v>0.00564847596295036</v>
      </c>
      <c r="F614" s="61" t="n">
        <v>0.1054972270196</v>
      </c>
      <c r="G614" s="55" t="n">
        <v>63.2570417324808</v>
      </c>
      <c r="H614" s="62" t="n">
        <v>0</v>
      </c>
      <c r="I614" s="62" t="n">
        <v>0</v>
      </c>
      <c r="J614" s="62" t="n">
        <v>0</v>
      </c>
      <c r="K614" s="62" t="n">
        <v>0</v>
      </c>
      <c r="L614" s="62" t="n">
        <v>0</v>
      </c>
      <c r="M614" s="61" t="n">
        <v>0.158402847561654</v>
      </c>
    </row>
    <row r="615" customFormat="false" ht="15" hidden="false" customHeight="true" outlineLevel="0" collapsed="false">
      <c r="A615" s="62" t="n">
        <v>589</v>
      </c>
      <c r="B615" s="59" t="n">
        <v>2.16432639136998</v>
      </c>
      <c r="C615" s="59" t="n">
        <v>2.54225583987412</v>
      </c>
      <c r="D615" s="59" t="n">
        <v>0.634681983815453</v>
      </c>
      <c r="E615" s="60" t="n">
        <v>-0.00693953232976567</v>
      </c>
      <c r="F615" s="61" t="n">
        <v>0.0308457740563194</v>
      </c>
      <c r="G615" s="55" t="n">
        <v>-8.36074668066958</v>
      </c>
      <c r="H615" s="62" t="n">
        <v>0</v>
      </c>
      <c r="I615" s="62" t="n">
        <v>0</v>
      </c>
      <c r="J615" s="62" t="n">
        <v>0</v>
      </c>
      <c r="K615" s="62" t="n">
        <v>0</v>
      </c>
      <c r="L615" s="62" t="n">
        <v>1</v>
      </c>
      <c r="M615" s="61" t="n">
        <v>0.361449165608039</v>
      </c>
    </row>
    <row r="616" customFormat="false" ht="15" hidden="false" customHeight="true" outlineLevel="0" collapsed="false">
      <c r="A616" s="62" t="n">
        <v>590</v>
      </c>
      <c r="B616" s="59" t="n">
        <v>-0.310387497853867</v>
      </c>
      <c r="C616" s="59" t="n">
        <v>0.255279753912665</v>
      </c>
      <c r="D616" s="59" t="n">
        <v>0.703671694614677</v>
      </c>
      <c r="E616" s="60" t="n">
        <v>-0.00565441551590492</v>
      </c>
      <c r="F616" s="61" t="n">
        <v>0.230086578802524</v>
      </c>
      <c r="G616" s="55" t="n">
        <v>7.9319557835962</v>
      </c>
      <c r="H616" s="62" t="n">
        <v>0</v>
      </c>
      <c r="I616" s="62" t="n">
        <v>0</v>
      </c>
      <c r="J616" s="62" t="n">
        <v>0</v>
      </c>
      <c r="K616" s="62" t="n">
        <v>0</v>
      </c>
      <c r="L616" s="62" t="n">
        <v>0</v>
      </c>
      <c r="M616" s="61" t="n">
        <v>0.15841673942593</v>
      </c>
    </row>
    <row r="617" customFormat="false" ht="15" hidden="false" customHeight="true" outlineLevel="0" collapsed="false">
      <c r="A617" s="62" t="n">
        <v>591</v>
      </c>
      <c r="B617" s="59" t="n">
        <v>0.725034275471514</v>
      </c>
      <c r="C617" s="59" t="n">
        <v>0.641819462960173</v>
      </c>
      <c r="D617" s="59" t="n">
        <v>0.566450841063659</v>
      </c>
      <c r="E617" s="60" t="n">
        <v>0.0176956037270565</v>
      </c>
      <c r="F617" s="61" t="n">
        <v>0.108845748327251</v>
      </c>
      <c r="G617" s="55" t="n">
        <v>138.230964370802</v>
      </c>
      <c r="H617" s="62" t="n">
        <v>0</v>
      </c>
      <c r="I617" s="62" t="n">
        <v>0</v>
      </c>
      <c r="J617" s="62" t="n">
        <v>0</v>
      </c>
      <c r="K617" s="62" t="n">
        <v>0</v>
      </c>
      <c r="L617" s="62" t="n">
        <v>0</v>
      </c>
      <c r="M617" s="61" t="n">
        <v>0.158402847561654</v>
      </c>
    </row>
    <row r="618" customFormat="false" ht="15" hidden="false" customHeight="true" outlineLevel="0" collapsed="false">
      <c r="A618" s="62" t="n">
        <v>592</v>
      </c>
      <c r="B618" s="59" t="n">
        <v>-1.72342674349214</v>
      </c>
      <c r="C618" s="59" t="n">
        <v>0.934803834173359</v>
      </c>
      <c r="D618" s="59" t="n">
        <v>0.744186282999096</v>
      </c>
      <c r="E618" s="60" t="n">
        <v>-0.00365499492662174</v>
      </c>
      <c r="F618" s="61" t="n">
        <v>0.526393748429211</v>
      </c>
      <c r="G618" s="55" t="n">
        <v>160.007454368966</v>
      </c>
      <c r="H618" s="62" t="n">
        <v>0</v>
      </c>
      <c r="I618" s="62" t="n">
        <v>0</v>
      </c>
      <c r="J618" s="62" t="n">
        <v>0</v>
      </c>
      <c r="K618" s="62" t="n">
        <v>0</v>
      </c>
      <c r="L618" s="62" t="n">
        <v>0</v>
      </c>
      <c r="M618" s="61" t="n">
        <v>0.311162770642386</v>
      </c>
    </row>
    <row r="619" customFormat="false" ht="15" hidden="false" customHeight="true" outlineLevel="0" collapsed="false">
      <c r="A619" s="62" t="n">
        <v>593</v>
      </c>
      <c r="B619" s="59" t="n">
        <v>-4.52087111430476</v>
      </c>
      <c r="C619" s="59" t="n">
        <v>-2.66510693934967</v>
      </c>
      <c r="D619" s="59" t="n">
        <v>-2.3035209528818</v>
      </c>
      <c r="E619" s="60" t="n">
        <v>0.028798252541611</v>
      </c>
      <c r="F619" s="61" t="n">
        <v>0.92066527440935</v>
      </c>
      <c r="G619" s="55" t="n">
        <v>1324.3292903581</v>
      </c>
      <c r="H619" s="62" t="n">
        <v>18</v>
      </c>
      <c r="I619" s="62" t="n">
        <v>9</v>
      </c>
      <c r="J619" s="62" t="n">
        <v>11</v>
      </c>
      <c r="K619" s="62" t="n">
        <v>1</v>
      </c>
      <c r="L619" s="62" t="n">
        <v>0</v>
      </c>
      <c r="M619" s="61" t="n">
        <v>1</v>
      </c>
    </row>
    <row r="620" customFormat="false" ht="15" hidden="false" customHeight="true" outlineLevel="0" collapsed="false">
      <c r="A620" s="62" t="n">
        <v>594</v>
      </c>
      <c r="B620" s="59" t="n">
        <v>-0.457791370741082</v>
      </c>
      <c r="C620" s="59" t="n">
        <v>-1.37173944228909</v>
      </c>
      <c r="D620" s="59" t="n">
        <v>1.96855417374284</v>
      </c>
      <c r="E620" s="60" t="n">
        <v>0.0147995166155344</v>
      </c>
      <c r="F620" s="61" t="n">
        <v>0.256074125459241</v>
      </c>
      <c r="G620" s="55" t="n">
        <v>180.505490406107</v>
      </c>
      <c r="H620" s="62" t="n">
        <v>0</v>
      </c>
      <c r="I620" s="62" t="n">
        <v>0</v>
      </c>
      <c r="J620" s="62" t="n">
        <v>0</v>
      </c>
      <c r="K620" s="62" t="n">
        <v>0</v>
      </c>
      <c r="L620" s="62" t="n">
        <v>0</v>
      </c>
      <c r="M620" s="61" t="n">
        <v>0.1587498046696</v>
      </c>
    </row>
    <row r="621" customFormat="false" ht="15" hidden="false" customHeight="true" outlineLevel="0" collapsed="false">
      <c r="A621" s="62" t="n">
        <v>595</v>
      </c>
      <c r="B621" s="59" t="n">
        <v>-0.0687668592571982</v>
      </c>
      <c r="C621" s="59" t="n">
        <v>0.377761977635292</v>
      </c>
      <c r="D621" s="59" t="n">
        <v>0.102311417420369</v>
      </c>
      <c r="E621" s="60" t="n">
        <v>0.0063652984695067</v>
      </c>
      <c r="F621" s="61" t="n">
        <v>0.191015394069068</v>
      </c>
      <c r="G621" s="55" t="n">
        <v>65.7755988091509</v>
      </c>
      <c r="H621" s="62" t="n">
        <v>0</v>
      </c>
      <c r="I621" s="62" t="n">
        <v>0</v>
      </c>
      <c r="J621" s="62" t="n">
        <v>0</v>
      </c>
      <c r="K621" s="62" t="n">
        <v>0</v>
      </c>
      <c r="L621" s="62" t="n">
        <v>0</v>
      </c>
      <c r="M621" s="61" t="n">
        <v>0.158403403120316</v>
      </c>
    </row>
    <row r="622" customFormat="false" ht="15" hidden="false" customHeight="true" outlineLevel="0" collapsed="false">
      <c r="A622" s="62" t="n">
        <v>596</v>
      </c>
      <c r="B622" s="59" t="n">
        <v>-0.0796943836180694</v>
      </c>
      <c r="C622" s="59" t="n">
        <v>0.0777977991140795</v>
      </c>
      <c r="D622" s="59" t="n">
        <v>-0.0494404425302552</v>
      </c>
      <c r="E622" s="60" t="n">
        <v>0.00287705800171377</v>
      </c>
      <c r="F622" s="61" t="n">
        <v>0.192685199778509</v>
      </c>
      <c r="G622" s="55" t="n">
        <v>42.839523632735</v>
      </c>
      <c r="H622" s="62" t="n">
        <v>0</v>
      </c>
      <c r="I622" s="62" t="n">
        <v>0</v>
      </c>
      <c r="J622" s="62" t="n">
        <v>0</v>
      </c>
      <c r="K622" s="62" t="n">
        <v>0</v>
      </c>
      <c r="L622" s="62" t="n">
        <v>0</v>
      </c>
      <c r="M622" s="61" t="n">
        <v>0.158443943395637</v>
      </c>
    </row>
    <row r="623" customFormat="false" ht="15" hidden="false" customHeight="true" outlineLevel="0" collapsed="false">
      <c r="A623" s="62" t="n">
        <v>597</v>
      </c>
      <c r="B623" s="59" t="n">
        <v>-0.323069284948879</v>
      </c>
      <c r="C623" s="59" t="n">
        <v>-0.0354961953720039</v>
      </c>
      <c r="D623" s="59" t="n">
        <v>-0.132617798323244</v>
      </c>
      <c r="E623" s="60" t="n">
        <v>0.00837808434473819</v>
      </c>
      <c r="F623" s="61" t="n">
        <v>0.232259757071912</v>
      </c>
      <c r="G623" s="55" t="n">
        <v>118.210735491382</v>
      </c>
      <c r="H623" s="62" t="n">
        <v>0</v>
      </c>
      <c r="I623" s="62" t="n">
        <v>0</v>
      </c>
      <c r="J623" s="62" t="n">
        <v>0</v>
      </c>
      <c r="K623" s="62" t="n">
        <v>0</v>
      </c>
      <c r="L623" s="62" t="n">
        <v>1</v>
      </c>
      <c r="M623" s="61" t="n">
        <v>0.362118403730147</v>
      </c>
    </row>
    <row r="624" customFormat="false" ht="15" hidden="false" customHeight="true" outlineLevel="0" collapsed="false">
      <c r="A624" s="62" t="n">
        <v>598</v>
      </c>
      <c r="B624" s="59" t="n">
        <v>0.000198590365077744</v>
      </c>
      <c r="C624" s="59" t="n">
        <v>-0.146875174890763</v>
      </c>
      <c r="D624" s="59" t="n">
        <v>0.345948752382101</v>
      </c>
      <c r="E624" s="60" t="n">
        <v>0.00135446616688968</v>
      </c>
      <c r="F624" s="61" t="n">
        <v>0.180698387702469</v>
      </c>
      <c r="G624" s="55" t="n">
        <v>28.9837315755472</v>
      </c>
      <c r="H624" s="62" t="n">
        <v>0</v>
      </c>
      <c r="I624" s="62" t="n">
        <v>0</v>
      </c>
      <c r="J624" s="62" t="n">
        <v>0</v>
      </c>
      <c r="K624" s="62" t="n">
        <v>0</v>
      </c>
      <c r="L624" s="62" t="n">
        <v>0</v>
      </c>
      <c r="M624" s="61" t="n">
        <v>0.158403108894445</v>
      </c>
    </row>
    <row r="625" customFormat="false" ht="15" hidden="false" customHeight="true" outlineLevel="0" collapsed="false">
      <c r="A625" s="62" t="n">
        <v>599</v>
      </c>
      <c r="B625" s="59" t="n">
        <v>-0.510299143594318</v>
      </c>
      <c r="C625" s="59" t="n">
        <v>-0.779413437687148</v>
      </c>
      <c r="D625" s="59" t="n">
        <v>-0.464480629682143</v>
      </c>
      <c r="E625" s="60" t="n">
        <v>-0.00139508929280175</v>
      </c>
      <c r="F625" s="61" t="n">
        <v>0.265707373887116</v>
      </c>
      <c r="G625" s="55" t="n">
        <v>58.9592512815899</v>
      </c>
      <c r="H625" s="62" t="n">
        <v>0</v>
      </c>
      <c r="I625" s="62" t="n">
        <v>0</v>
      </c>
      <c r="J625" s="62" t="n">
        <v>0</v>
      </c>
      <c r="K625" s="62" t="n">
        <v>0</v>
      </c>
      <c r="L625" s="62" t="n">
        <v>0</v>
      </c>
      <c r="M625" s="61" t="n">
        <v>0.159555826721899</v>
      </c>
    </row>
    <row r="626" customFormat="false" ht="15" hidden="false" customHeight="true" outlineLevel="0" collapsed="false">
      <c r="A626" s="62" t="n">
        <v>600</v>
      </c>
      <c r="B626" s="59" t="n">
        <v>0.155521783113219</v>
      </c>
      <c r="C626" s="59" t="n">
        <v>-0.527506346190329</v>
      </c>
      <c r="D626" s="59" t="n">
        <v>-0.0611846872007585</v>
      </c>
      <c r="E626" s="60" t="n">
        <v>0.00519732226577858</v>
      </c>
      <c r="F626" s="61" t="n">
        <v>0.163211947638364</v>
      </c>
      <c r="G626" s="55" t="n">
        <v>63.7385982657232</v>
      </c>
      <c r="H626" s="62" t="n">
        <v>0</v>
      </c>
      <c r="I626" s="62" t="n">
        <v>0</v>
      </c>
      <c r="J626" s="62" t="n">
        <v>0</v>
      </c>
      <c r="K626" s="62" t="n">
        <v>0</v>
      </c>
      <c r="L626" s="62" t="n">
        <v>0</v>
      </c>
      <c r="M626" s="61" t="n">
        <v>0.158452873615535</v>
      </c>
    </row>
    <row r="627" customFormat="false" ht="15" hidden="false" customHeight="true" outlineLevel="0" collapsed="false">
      <c r="A627" s="62" t="n">
        <v>601</v>
      </c>
      <c r="B627" s="59" t="n">
        <v>0.064344857760054</v>
      </c>
      <c r="C627" s="59" t="n">
        <v>0.380775426419318</v>
      </c>
      <c r="D627" s="59" t="n">
        <v>0.349125727984244</v>
      </c>
      <c r="E627" s="60" t="n">
        <v>-0.0189205764409843</v>
      </c>
      <c r="F627" s="61" t="n">
        <v>0.173337441784491</v>
      </c>
      <c r="G627" s="55" t="n">
        <v>-96.4008784100743</v>
      </c>
      <c r="H627" s="62" t="n">
        <v>0</v>
      </c>
      <c r="I627" s="62" t="n">
        <v>0</v>
      </c>
      <c r="J627" s="62" t="n">
        <v>0</v>
      </c>
      <c r="K627" s="62" t="n">
        <v>0</v>
      </c>
      <c r="L627" s="62" t="n">
        <v>0</v>
      </c>
      <c r="M627" s="61" t="n">
        <v>0.158403022087965</v>
      </c>
    </row>
    <row r="628" customFormat="false" ht="15" hidden="false" customHeight="true" outlineLevel="0" collapsed="false">
      <c r="A628" s="62" t="n">
        <v>602</v>
      </c>
      <c r="B628" s="59" t="n">
        <v>-0.594483388314175</v>
      </c>
      <c r="C628" s="59" t="n">
        <v>-0.301327712456903</v>
      </c>
      <c r="D628" s="59" t="n">
        <v>0.1864428333428</v>
      </c>
      <c r="E628" s="60" t="n">
        <v>-0.00265275735025118</v>
      </c>
      <c r="F628" s="61" t="n">
        <v>0.281547397524564</v>
      </c>
      <c r="G628" s="55" t="n">
        <v>50.7642072063563</v>
      </c>
      <c r="H628" s="62" t="n">
        <v>0</v>
      </c>
      <c r="I628" s="62" t="n">
        <v>0</v>
      </c>
      <c r="J628" s="62" t="n">
        <v>0</v>
      </c>
      <c r="K628" s="62" t="n">
        <v>0</v>
      </c>
      <c r="L628" s="62" t="n">
        <v>0</v>
      </c>
      <c r="M628" s="61" t="n">
        <v>0.158778987726387</v>
      </c>
    </row>
    <row r="629" customFormat="false" ht="15" hidden="false" customHeight="true" outlineLevel="0" collapsed="false">
      <c r="A629" s="62" t="n">
        <v>603</v>
      </c>
      <c r="B629" s="59" t="n">
        <v>-1.54529882075446</v>
      </c>
      <c r="C629" s="59" t="n">
        <v>1.78097078959241</v>
      </c>
      <c r="D629" s="59" t="n">
        <v>-0.750475158834467</v>
      </c>
      <c r="E629" s="60" t="n">
        <v>0.0116321019248522</v>
      </c>
      <c r="F629" s="61" t="n">
        <v>0.485595088648417</v>
      </c>
      <c r="G629" s="55" t="n">
        <v>539.126527072935</v>
      </c>
      <c r="H629" s="62" t="n">
        <v>10</v>
      </c>
      <c r="I629" s="62" t="n">
        <v>1</v>
      </c>
      <c r="J629" s="62" t="n">
        <v>1</v>
      </c>
      <c r="K629" s="62" t="n">
        <v>1</v>
      </c>
      <c r="L629" s="62" t="n">
        <v>0</v>
      </c>
      <c r="M629" s="61" t="n">
        <v>0.999999999996631</v>
      </c>
    </row>
    <row r="630" customFormat="false" ht="15" hidden="false" customHeight="true" outlineLevel="0" collapsed="false">
      <c r="A630" s="62" t="n">
        <v>604</v>
      </c>
      <c r="B630" s="59" t="n">
        <v>-0.326807302158631</v>
      </c>
      <c r="C630" s="59" t="n">
        <v>0.414113891776491</v>
      </c>
      <c r="D630" s="59" t="n">
        <v>-0.195075648428317</v>
      </c>
      <c r="E630" s="60" t="n">
        <v>0.0071538186057587</v>
      </c>
      <c r="F630" s="61" t="n">
        <v>0.232902594433805</v>
      </c>
      <c r="G630" s="55" t="n">
        <v>92.2655198318767</v>
      </c>
      <c r="H630" s="62" t="n">
        <v>0</v>
      </c>
      <c r="I630" s="62" t="n">
        <v>0</v>
      </c>
      <c r="J630" s="62" t="n">
        <v>0</v>
      </c>
      <c r="K630" s="62" t="n">
        <v>0</v>
      </c>
      <c r="L630" s="62" t="n">
        <v>0</v>
      </c>
      <c r="M630" s="61" t="n">
        <v>0.158888833323408</v>
      </c>
    </row>
    <row r="631" customFormat="false" ht="15" hidden="false" customHeight="true" outlineLevel="0" collapsed="false">
      <c r="A631" s="62" t="n">
        <v>605</v>
      </c>
      <c r="B631" s="59" t="n">
        <v>-0.147968957485212</v>
      </c>
      <c r="C631" s="59" t="n">
        <v>-0.313861804734236</v>
      </c>
      <c r="D631" s="59" t="n">
        <v>0.152651468168195</v>
      </c>
      <c r="E631" s="60" t="n">
        <v>0.00153902334104478</v>
      </c>
      <c r="F631" s="61" t="n">
        <v>0.203328367453652</v>
      </c>
      <c r="G631" s="55" t="n">
        <v>43.4861723937042</v>
      </c>
      <c r="H631" s="62" t="n">
        <v>0</v>
      </c>
      <c r="I631" s="62" t="n">
        <v>0</v>
      </c>
      <c r="J631" s="62" t="n">
        <v>0</v>
      </c>
      <c r="K631" s="62" t="n">
        <v>0</v>
      </c>
      <c r="L631" s="62" t="n">
        <v>0</v>
      </c>
      <c r="M631" s="61" t="n">
        <v>0.158404066815288</v>
      </c>
    </row>
    <row r="632" customFormat="false" ht="15" hidden="false" customHeight="true" outlineLevel="0" collapsed="false">
      <c r="A632" s="62" t="n">
        <v>606</v>
      </c>
      <c r="B632" s="59" t="n">
        <v>0.412767809038559</v>
      </c>
      <c r="C632" s="59" t="n">
        <v>0.878766787080315</v>
      </c>
      <c r="D632" s="59" t="n">
        <v>0.554274310281931</v>
      </c>
      <c r="E632" s="60" t="n">
        <v>-0.00390058598163059</v>
      </c>
      <c r="F632" s="61" t="n">
        <v>0.13677558524019</v>
      </c>
      <c r="G632" s="55" t="n">
        <v>9.91452817002221</v>
      </c>
      <c r="H632" s="62" t="n">
        <v>0</v>
      </c>
      <c r="I632" s="62" t="n">
        <v>0</v>
      </c>
      <c r="J632" s="62" t="n">
        <v>0</v>
      </c>
      <c r="K632" s="62" t="n">
        <v>0</v>
      </c>
      <c r="L632" s="62" t="n">
        <v>1</v>
      </c>
      <c r="M632" s="61" t="n">
        <v>0.361453236065541</v>
      </c>
    </row>
    <row r="633" customFormat="false" ht="15" hidden="false" customHeight="true" outlineLevel="0" collapsed="false">
      <c r="A633" s="62" t="n">
        <v>607</v>
      </c>
      <c r="B633" s="59" t="n">
        <v>-0.661090513756651</v>
      </c>
      <c r="C633" s="59" t="n">
        <v>-1.9432197856701</v>
      </c>
      <c r="D633" s="59" t="n">
        <v>0.520479328991211</v>
      </c>
      <c r="E633" s="60" t="n">
        <v>-0.00363497517098795</v>
      </c>
      <c r="F633" s="61" t="n">
        <v>0.294412770124184</v>
      </c>
      <c r="G633" s="55" t="n">
        <v>86.3966036407931</v>
      </c>
      <c r="H633" s="62" t="n">
        <v>0</v>
      </c>
      <c r="I633" s="62" t="n">
        <v>0</v>
      </c>
      <c r="J633" s="62" t="n">
        <v>0</v>
      </c>
      <c r="K633" s="62" t="n">
        <v>0</v>
      </c>
      <c r="L633" s="62" t="n">
        <v>0</v>
      </c>
      <c r="M633" s="61" t="n">
        <v>0.158849318254116</v>
      </c>
    </row>
    <row r="634" customFormat="false" ht="15" hidden="false" customHeight="true" outlineLevel="0" collapsed="false">
      <c r="A634" s="62" t="n">
        <v>608</v>
      </c>
      <c r="B634" s="59" t="n">
        <v>-0.124431989316003</v>
      </c>
      <c r="C634" s="59" t="n">
        <v>-0.00844698978102246</v>
      </c>
      <c r="D634" s="59" t="n">
        <v>-0.811297256171053</v>
      </c>
      <c r="E634" s="60" t="n">
        <v>0.00706073341608637</v>
      </c>
      <c r="F634" s="61" t="n">
        <v>0.199618380302916</v>
      </c>
      <c r="G634" s="55" t="n">
        <v>76.0210561008329</v>
      </c>
      <c r="H634" s="62" t="n">
        <v>0</v>
      </c>
      <c r="I634" s="62" t="n">
        <v>0</v>
      </c>
      <c r="J634" s="62" t="n">
        <v>0</v>
      </c>
      <c r="K634" s="62" t="n">
        <v>0</v>
      </c>
      <c r="L634" s="62" t="n">
        <v>0</v>
      </c>
      <c r="M634" s="61" t="n">
        <v>0.159854702794154</v>
      </c>
    </row>
    <row r="635" customFormat="false" ht="15" hidden="false" customHeight="true" outlineLevel="0" collapsed="false">
      <c r="A635" s="62" t="n">
        <v>609</v>
      </c>
      <c r="B635" s="59" t="n">
        <v>-1.51121454266396</v>
      </c>
      <c r="C635" s="59" t="n">
        <v>-1.72981695528723</v>
      </c>
      <c r="D635" s="59" t="n">
        <v>0.166870884942848</v>
      </c>
      <c r="E635" s="60" t="n">
        <v>0.00152214789816723</v>
      </c>
      <c r="F635" s="61" t="n">
        <v>0.477801542468764</v>
      </c>
      <c r="G635" s="55" t="n">
        <v>188.288845792507</v>
      </c>
      <c r="H635" s="62" t="n">
        <v>0</v>
      </c>
      <c r="I635" s="62" t="n">
        <v>0</v>
      </c>
      <c r="J635" s="62" t="n">
        <v>0</v>
      </c>
      <c r="K635" s="62" t="n">
        <v>0</v>
      </c>
      <c r="L635" s="62" t="n">
        <v>0</v>
      </c>
      <c r="M635" s="61" t="n">
        <v>0.239958492583431</v>
      </c>
    </row>
    <row r="636" customFormat="false" ht="15" hidden="false" customHeight="true" outlineLevel="0" collapsed="false">
      <c r="A636" s="62" t="n">
        <v>610</v>
      </c>
      <c r="B636" s="59" t="n">
        <v>-1.04852117337374</v>
      </c>
      <c r="C636" s="59" t="n">
        <v>-1.09264582690344</v>
      </c>
      <c r="D636" s="59" t="n">
        <v>0.141045417363242</v>
      </c>
      <c r="E636" s="60" t="n">
        <v>0.00467196294703779</v>
      </c>
      <c r="F636" s="61" t="n">
        <v>0.374361672812928</v>
      </c>
      <c r="G636" s="55" t="n">
        <v>143.19817555216</v>
      </c>
      <c r="H636" s="62" t="n">
        <v>0</v>
      </c>
      <c r="I636" s="62" t="n">
        <v>0</v>
      </c>
      <c r="J636" s="62" t="n">
        <v>0</v>
      </c>
      <c r="K636" s="62" t="n">
        <v>0</v>
      </c>
      <c r="L636" s="62" t="n">
        <v>0</v>
      </c>
      <c r="M636" s="61" t="n">
        <v>0.162596748288537</v>
      </c>
    </row>
    <row r="637" customFormat="false" ht="15" hidden="false" customHeight="true" outlineLevel="0" collapsed="false">
      <c r="A637" s="62" t="n">
        <v>611</v>
      </c>
      <c r="B637" s="59" t="n">
        <v>-0.747588585057442</v>
      </c>
      <c r="C637" s="59" t="n">
        <v>-1.07926570890258</v>
      </c>
      <c r="D637" s="59" t="n">
        <v>0.14419390413809</v>
      </c>
      <c r="E637" s="60" t="n">
        <v>0.0104748200321386</v>
      </c>
      <c r="F637" s="61" t="n">
        <v>0.311537417396345</v>
      </c>
      <c r="G637" s="55" t="n">
        <v>162.203866255768</v>
      </c>
      <c r="H637" s="62" t="n">
        <v>0</v>
      </c>
      <c r="I637" s="62" t="n">
        <v>0</v>
      </c>
      <c r="J637" s="62" t="n">
        <v>0</v>
      </c>
      <c r="K637" s="62" t="n">
        <v>0</v>
      </c>
      <c r="L637" s="62" t="n">
        <v>0</v>
      </c>
      <c r="M637" s="61" t="n">
        <v>0.158865790479859</v>
      </c>
    </row>
    <row r="638" customFormat="false" ht="15" hidden="false" customHeight="true" outlineLevel="0" collapsed="false">
      <c r="A638" s="62" t="n">
        <v>612</v>
      </c>
      <c r="B638" s="59" t="n">
        <v>-0.0527163541325218</v>
      </c>
      <c r="C638" s="59" t="n">
        <v>-0.392777548307487</v>
      </c>
      <c r="D638" s="59" t="n">
        <v>0.855637791790604</v>
      </c>
      <c r="E638" s="60" t="n">
        <v>-0.0113645993762587</v>
      </c>
      <c r="F638" s="61" t="n">
        <v>0.188579657419706</v>
      </c>
      <c r="G638" s="55" t="n">
        <v>-39.3278142318309</v>
      </c>
      <c r="H638" s="62" t="n">
        <v>0</v>
      </c>
      <c r="I638" s="62" t="n">
        <v>0</v>
      </c>
      <c r="J638" s="62" t="n">
        <v>0</v>
      </c>
      <c r="K638" s="62" t="n">
        <v>0</v>
      </c>
      <c r="L638" s="62" t="n">
        <v>0</v>
      </c>
      <c r="M638" s="61" t="n">
        <v>0.158403345245682</v>
      </c>
    </row>
    <row r="639" customFormat="false" ht="15" hidden="false" customHeight="true" outlineLevel="0" collapsed="false">
      <c r="A639" s="62" t="n">
        <v>613</v>
      </c>
      <c r="B639" s="59" t="n">
        <v>-1.55876425235705</v>
      </c>
      <c r="C639" s="59" t="n">
        <v>2.03037041820645</v>
      </c>
      <c r="D639" s="59" t="n">
        <v>-1.59261158977271</v>
      </c>
      <c r="E639" s="60" t="n">
        <v>0.0490703437005109</v>
      </c>
      <c r="F639" s="61" t="n">
        <v>0.488676544850849</v>
      </c>
      <c r="G639" s="55" t="n">
        <v>975.330822558539</v>
      </c>
      <c r="H639" s="62" t="n">
        <v>15</v>
      </c>
      <c r="I639" s="62" t="n">
        <v>3</v>
      </c>
      <c r="J639" s="62" t="n">
        <v>3</v>
      </c>
      <c r="K639" s="62" t="n">
        <v>1</v>
      </c>
      <c r="L639" s="62" t="n">
        <v>0</v>
      </c>
      <c r="M639" s="61" t="n">
        <v>1</v>
      </c>
    </row>
    <row r="640" customFormat="false" ht="15" hidden="false" customHeight="true" outlineLevel="0" collapsed="false">
      <c r="A640" s="62" t="n">
        <v>614</v>
      </c>
      <c r="B640" s="59" t="n">
        <v>0.989473731527274</v>
      </c>
      <c r="C640" s="59" t="n">
        <v>2.10259254808994</v>
      </c>
      <c r="D640" s="59" t="n">
        <v>-0.201877171744975</v>
      </c>
      <c r="E640" s="60" t="n">
        <v>0.00495361200010334</v>
      </c>
      <c r="F640" s="61" t="n">
        <v>0.0886158833472323</v>
      </c>
      <c r="G640" s="55" t="n">
        <v>50.0692220698513</v>
      </c>
      <c r="H640" s="62" t="n">
        <v>0</v>
      </c>
      <c r="I640" s="62" t="n">
        <v>0</v>
      </c>
      <c r="J640" s="62" t="n">
        <v>0</v>
      </c>
      <c r="K640" s="62" t="n">
        <v>0</v>
      </c>
      <c r="L640" s="62" t="n">
        <v>0</v>
      </c>
      <c r="M640" s="61" t="n">
        <v>0.158580518205846</v>
      </c>
    </row>
    <row r="641" customFormat="false" ht="15" hidden="false" customHeight="true" outlineLevel="0" collapsed="false">
      <c r="A641" s="62" t="n">
        <v>615</v>
      </c>
      <c r="B641" s="59" t="n">
        <v>-0.574002639257288</v>
      </c>
      <c r="C641" s="59" t="n">
        <v>1.40667445101221</v>
      </c>
      <c r="D641" s="59" t="n">
        <v>-0.571572547778675</v>
      </c>
      <c r="E641" s="60" t="n">
        <v>0.00412125727436351</v>
      </c>
      <c r="F641" s="61" t="n">
        <v>0.277649827220292</v>
      </c>
      <c r="G641" s="55" t="n">
        <v>91.3901878596966</v>
      </c>
      <c r="H641" s="62" t="n">
        <v>0</v>
      </c>
      <c r="I641" s="62" t="n">
        <v>0</v>
      </c>
      <c r="J641" s="62" t="n">
        <v>0</v>
      </c>
      <c r="K641" s="62" t="n">
        <v>0</v>
      </c>
      <c r="L641" s="62" t="n">
        <v>0</v>
      </c>
      <c r="M641" s="61" t="n">
        <v>0.159843758809007</v>
      </c>
    </row>
    <row r="642" customFormat="false" ht="15" hidden="false" customHeight="true" outlineLevel="0" collapsed="false">
      <c r="A642" s="62" t="n">
        <v>616</v>
      </c>
      <c r="B642" s="59" t="n">
        <v>-0.397368176917523</v>
      </c>
      <c r="C642" s="59" t="n">
        <v>0.137278390343589</v>
      </c>
      <c r="D642" s="59" t="n">
        <v>0.342691025828049</v>
      </c>
      <c r="E642" s="60" t="n">
        <v>0.00260269584536708</v>
      </c>
      <c r="F642" s="61" t="n">
        <v>0.245230361639961</v>
      </c>
      <c r="G642" s="55" t="n">
        <v>66.7629663266979</v>
      </c>
      <c r="H642" s="62" t="n">
        <v>0</v>
      </c>
      <c r="I642" s="62" t="n">
        <v>0</v>
      </c>
      <c r="J642" s="62" t="n">
        <v>0</v>
      </c>
      <c r="K642" s="62" t="n">
        <v>0</v>
      </c>
      <c r="L642" s="62" t="n">
        <v>0</v>
      </c>
      <c r="M642" s="61" t="n">
        <v>0.158691473751287</v>
      </c>
    </row>
    <row r="643" customFormat="false" ht="15" hidden="false" customHeight="true" outlineLevel="0" collapsed="false">
      <c r="A643" s="62" t="n">
        <v>617</v>
      </c>
      <c r="B643" s="59" t="n">
        <v>-0.848467371829568</v>
      </c>
      <c r="C643" s="59" t="n">
        <v>-0.132802896642499</v>
      </c>
      <c r="D643" s="59" t="n">
        <v>-0.707089406751566</v>
      </c>
      <c r="E643" s="60" t="n">
        <v>-0.00170428198335723</v>
      </c>
      <c r="F643" s="61" t="n">
        <v>0.332068175784977</v>
      </c>
      <c r="G643" s="55" t="n">
        <v>78.8849855404875</v>
      </c>
      <c r="H643" s="62" t="n">
        <v>0</v>
      </c>
      <c r="I643" s="62" t="n">
        <v>0</v>
      </c>
      <c r="J643" s="62" t="n">
        <v>0</v>
      </c>
      <c r="K643" s="62" t="n">
        <v>0</v>
      </c>
      <c r="L643" s="62" t="n">
        <v>0</v>
      </c>
      <c r="M643" s="61" t="n">
        <v>0.164661781098389</v>
      </c>
    </row>
    <row r="644" customFormat="false" ht="15" hidden="false" customHeight="true" outlineLevel="0" collapsed="false">
      <c r="A644" s="62" t="n">
        <v>618</v>
      </c>
      <c r="B644" s="59" t="n">
        <v>-0.721770598414668</v>
      </c>
      <c r="C644" s="59" t="n">
        <v>-3.48470547635261</v>
      </c>
      <c r="D644" s="59" t="n">
        <v>-0.180976221719896</v>
      </c>
      <c r="E644" s="60" t="n">
        <v>-0.0249324643268193</v>
      </c>
      <c r="F644" s="61" t="n">
        <v>0.306378138843888</v>
      </c>
      <c r="G644" s="55" t="n">
        <v>2.74728111348303</v>
      </c>
      <c r="H644" s="62" t="n">
        <v>0</v>
      </c>
      <c r="I644" s="62" t="n">
        <v>0</v>
      </c>
      <c r="J644" s="62" t="n">
        <v>0</v>
      </c>
      <c r="K644" s="62" t="n">
        <v>0</v>
      </c>
      <c r="L644" s="62" t="n">
        <v>0</v>
      </c>
      <c r="M644" s="61" t="n">
        <v>0.159843220181032</v>
      </c>
    </row>
    <row r="645" customFormat="false" ht="15" hidden="false" customHeight="true" outlineLevel="0" collapsed="false">
      <c r="A645" s="62" t="n">
        <v>619</v>
      </c>
      <c r="B645" s="59" t="n">
        <v>-0.415700829430717</v>
      </c>
      <c r="C645" s="59" t="n">
        <v>1.60823420857941</v>
      </c>
      <c r="D645" s="59" t="n">
        <v>0.975710684394644</v>
      </c>
      <c r="E645" s="60" t="n">
        <v>0.0145420064328849</v>
      </c>
      <c r="F645" s="61" t="n">
        <v>0.248492715464252</v>
      </c>
      <c r="G645" s="55" t="n">
        <v>150.088517273047</v>
      </c>
      <c r="H645" s="62" t="n">
        <v>0</v>
      </c>
      <c r="I645" s="62" t="n">
        <v>0</v>
      </c>
      <c r="J645" s="62" t="n">
        <v>0</v>
      </c>
      <c r="K645" s="62" t="n">
        <v>0</v>
      </c>
      <c r="L645" s="62" t="n">
        <v>0</v>
      </c>
      <c r="M645" s="61" t="n">
        <v>0.158698628471557</v>
      </c>
    </row>
    <row r="646" customFormat="false" ht="15" hidden="false" customHeight="true" outlineLevel="0" collapsed="false">
      <c r="A646" s="62" t="n">
        <v>620</v>
      </c>
      <c r="B646" s="59" t="n">
        <v>0.631588235893673</v>
      </c>
      <c r="C646" s="59" t="n">
        <v>-0.277810813559085</v>
      </c>
      <c r="D646" s="59" t="n">
        <v>1.21480325032472</v>
      </c>
      <c r="E646" s="60" t="n">
        <v>-0.00223871578474942</v>
      </c>
      <c r="F646" s="61" t="n">
        <v>0.116734596406099</v>
      </c>
      <c r="G646" s="55" t="n">
        <v>9.08255923785028</v>
      </c>
      <c r="H646" s="62" t="n">
        <v>0</v>
      </c>
      <c r="I646" s="62" t="n">
        <v>0</v>
      </c>
      <c r="J646" s="62" t="n">
        <v>0</v>
      </c>
      <c r="K646" s="62" t="n">
        <v>0</v>
      </c>
      <c r="L646" s="62" t="n">
        <v>0</v>
      </c>
      <c r="M646" s="61" t="n">
        <v>0.158402847561654</v>
      </c>
    </row>
    <row r="647" customFormat="false" ht="15" hidden="false" customHeight="true" outlineLevel="0" collapsed="false">
      <c r="A647" s="62" t="n">
        <v>621</v>
      </c>
      <c r="B647" s="59" t="n">
        <v>0.501639813967014</v>
      </c>
      <c r="C647" s="59" t="n">
        <v>0.569852099489441</v>
      </c>
      <c r="D647" s="59" t="n">
        <v>0.5620487502573</v>
      </c>
      <c r="E647" s="60" t="n">
        <v>0.00796721608932208</v>
      </c>
      <c r="F647" s="61" t="n">
        <v>0.128368141254048</v>
      </c>
      <c r="G647" s="55" t="n">
        <v>71.1314826681961</v>
      </c>
      <c r="H647" s="62" t="n">
        <v>0</v>
      </c>
      <c r="I647" s="62" t="n">
        <v>0</v>
      </c>
      <c r="J647" s="62" t="n">
        <v>0</v>
      </c>
      <c r="K647" s="62" t="n">
        <v>0</v>
      </c>
      <c r="L647" s="62" t="n">
        <v>0</v>
      </c>
      <c r="M647" s="61" t="n">
        <v>0.158402847561654</v>
      </c>
    </row>
    <row r="648" customFormat="false" ht="15" hidden="false" customHeight="true" outlineLevel="0" collapsed="false">
      <c r="A648" s="62" t="n">
        <v>622</v>
      </c>
      <c r="B648" s="59" t="n">
        <v>0.513038986504969</v>
      </c>
      <c r="C648" s="59" t="n">
        <v>0.622588781608362</v>
      </c>
      <c r="D648" s="59" t="n">
        <v>-0.170762020036838</v>
      </c>
      <c r="E648" s="60" t="n">
        <v>0.00104804450327966</v>
      </c>
      <c r="F648" s="61" t="n">
        <v>0.127316421995808</v>
      </c>
      <c r="G648" s="55" t="n">
        <v>23.3818824984802</v>
      </c>
      <c r="H648" s="62" t="n">
        <v>0</v>
      </c>
      <c r="I648" s="62" t="n">
        <v>0</v>
      </c>
      <c r="J648" s="62" t="n">
        <v>0</v>
      </c>
      <c r="K648" s="62" t="n">
        <v>0</v>
      </c>
      <c r="L648" s="62" t="n">
        <v>0</v>
      </c>
      <c r="M648" s="61" t="n">
        <v>0.158550948300457</v>
      </c>
    </row>
    <row r="649" customFormat="false" ht="15" hidden="false" customHeight="true" outlineLevel="0" collapsed="false">
      <c r="A649" s="62" t="n">
        <v>623</v>
      </c>
      <c r="B649" s="59" t="n">
        <v>-1.33560327694805</v>
      </c>
      <c r="C649" s="59" t="n">
        <v>-1.12208308838822</v>
      </c>
      <c r="D649" s="59" t="n">
        <v>-1.52682263174414</v>
      </c>
      <c r="E649" s="60" t="n">
        <v>-0.00529530734073465</v>
      </c>
      <c r="F649" s="61" t="n">
        <v>0.437895722070786</v>
      </c>
      <c r="G649" s="55" t="n">
        <v>528.49544839902</v>
      </c>
      <c r="H649" s="62" t="n">
        <v>10</v>
      </c>
      <c r="I649" s="62" t="n">
        <v>1</v>
      </c>
      <c r="J649" s="62" t="n">
        <v>1</v>
      </c>
      <c r="K649" s="62" t="n">
        <v>1</v>
      </c>
      <c r="L649" s="62" t="n">
        <v>0</v>
      </c>
      <c r="M649" s="61" t="n">
        <v>0.999999999996705</v>
      </c>
    </row>
    <row r="650" customFormat="false" ht="15" hidden="false" customHeight="true" outlineLevel="0" collapsed="false">
      <c r="A650" s="62" t="n">
        <v>624</v>
      </c>
      <c r="B650" s="59" t="n">
        <v>-0.917803515207377</v>
      </c>
      <c r="C650" s="59" t="n">
        <v>-0.108737432331435</v>
      </c>
      <c r="D650" s="59" t="n">
        <v>-0.31242057113079</v>
      </c>
      <c r="E650" s="60" t="n">
        <v>0.0166904857004611</v>
      </c>
      <c r="F650" s="61" t="n">
        <v>0.34650312034477</v>
      </c>
      <c r="G650" s="55" t="n">
        <v>208.550763949997</v>
      </c>
      <c r="H650" s="62" t="n">
        <v>0</v>
      </c>
      <c r="I650" s="62" t="n">
        <v>0</v>
      </c>
      <c r="J650" s="62" t="n">
        <v>0</v>
      </c>
      <c r="K650" s="62" t="n">
        <v>0</v>
      </c>
      <c r="L650" s="62" t="n">
        <v>0</v>
      </c>
      <c r="M650" s="61" t="n">
        <v>0.163251759612193</v>
      </c>
    </row>
    <row r="651" customFormat="false" ht="15" hidden="false" customHeight="true" outlineLevel="0" collapsed="false">
      <c r="A651" s="62" t="n">
        <v>625</v>
      </c>
      <c r="B651" s="59" t="n">
        <v>1.70418777036001</v>
      </c>
      <c r="C651" s="59" t="n">
        <v>0.222825862138139</v>
      </c>
      <c r="D651" s="59" t="n">
        <v>1.71178630551801</v>
      </c>
      <c r="E651" s="60" t="n">
        <v>-0.00738700991556485</v>
      </c>
      <c r="F651" s="61" t="n">
        <v>0.0479724595948047</v>
      </c>
      <c r="G651" s="55" t="n">
        <v>-27.6108636740218</v>
      </c>
      <c r="H651" s="62" t="n">
        <v>0</v>
      </c>
      <c r="I651" s="62" t="n">
        <v>0</v>
      </c>
      <c r="J651" s="62" t="n">
        <v>0</v>
      </c>
      <c r="K651" s="62" t="n">
        <v>0</v>
      </c>
      <c r="L651" s="62" t="n">
        <v>0</v>
      </c>
      <c r="M651" s="61" t="n">
        <v>0.158402847561654</v>
      </c>
    </row>
    <row r="652" customFormat="false" ht="15" hidden="false" customHeight="true" outlineLevel="0" collapsed="false">
      <c r="A652" s="62" t="n">
        <v>626</v>
      </c>
      <c r="B652" s="59" t="n">
        <v>0.584273306248914</v>
      </c>
      <c r="C652" s="59" t="n">
        <v>0.154319565451094</v>
      </c>
      <c r="D652" s="59" t="n">
        <v>0.211583203167882</v>
      </c>
      <c r="E652" s="60" t="n">
        <v>0.00135181354485506</v>
      </c>
      <c r="F652" s="61" t="n">
        <v>0.120880434709018</v>
      </c>
      <c r="G652" s="55" t="n">
        <v>25.7603011033437</v>
      </c>
      <c r="H652" s="62" t="n">
        <v>0</v>
      </c>
      <c r="I652" s="62" t="n">
        <v>0</v>
      </c>
      <c r="J652" s="62" t="n">
        <v>0</v>
      </c>
      <c r="K652" s="62" t="n">
        <v>0</v>
      </c>
      <c r="L652" s="62" t="n">
        <v>0</v>
      </c>
      <c r="M652" s="61" t="n">
        <v>0.158402847561654</v>
      </c>
    </row>
    <row r="653" customFormat="false" ht="15" hidden="false" customHeight="true" outlineLevel="0" collapsed="false">
      <c r="A653" s="62" t="n">
        <v>627</v>
      </c>
      <c r="B653" s="59" t="n">
        <v>-1.32477099678031</v>
      </c>
      <c r="C653" s="59" t="n">
        <v>-0.733931440256963</v>
      </c>
      <c r="D653" s="59" t="n">
        <v>-0.679148637393824</v>
      </c>
      <c r="E653" s="60" t="n">
        <v>-0.00671854155270622</v>
      </c>
      <c r="F653" s="61" t="n">
        <v>0.435453394476862</v>
      </c>
      <c r="G653" s="55" t="n">
        <v>210.615837856012</v>
      </c>
      <c r="H653" s="62" t="n">
        <v>0</v>
      </c>
      <c r="I653" s="62" t="n">
        <v>0</v>
      </c>
      <c r="J653" s="62" t="n">
        <v>0</v>
      </c>
      <c r="K653" s="62" t="n">
        <v>0</v>
      </c>
      <c r="L653" s="62" t="n">
        <v>1</v>
      </c>
      <c r="M653" s="61" t="n">
        <v>0.590227015692009</v>
      </c>
    </row>
    <row r="654" customFormat="false" ht="15" hidden="false" customHeight="true" outlineLevel="0" collapsed="false">
      <c r="A654" s="62" t="n">
        <v>628</v>
      </c>
      <c r="B654" s="59" t="n">
        <v>-0.583474686924716</v>
      </c>
      <c r="C654" s="59" t="n">
        <v>-0.00701053347656979</v>
      </c>
      <c r="D654" s="59" t="n">
        <v>-0.0678365878589892</v>
      </c>
      <c r="E654" s="60" t="n">
        <v>0.00716103668457417</v>
      </c>
      <c r="F654" s="61" t="n">
        <v>0.279448932419559</v>
      </c>
      <c r="G654" s="55" t="n">
        <v>113.58510467461</v>
      </c>
      <c r="H654" s="62" t="n">
        <v>0</v>
      </c>
      <c r="I654" s="62" t="n">
        <v>0</v>
      </c>
      <c r="J654" s="62" t="n">
        <v>0</v>
      </c>
      <c r="K654" s="62" t="n">
        <v>0</v>
      </c>
      <c r="L654" s="62" t="n">
        <v>0</v>
      </c>
      <c r="M654" s="61" t="n">
        <v>0.158854196534144</v>
      </c>
    </row>
    <row r="655" customFormat="false" ht="15" hidden="false" customHeight="true" outlineLevel="0" collapsed="false">
      <c r="A655" s="62" t="n">
        <v>629</v>
      </c>
      <c r="B655" s="59" t="n">
        <v>0.103087559738511</v>
      </c>
      <c r="C655" s="59" t="n">
        <v>0.405900339882335</v>
      </c>
      <c r="D655" s="59" t="n">
        <v>0.206254383646306</v>
      </c>
      <c r="E655" s="60" t="n">
        <v>0.0121099147970348</v>
      </c>
      <c r="F655" s="61" t="n">
        <v>0.168986525823219</v>
      </c>
      <c r="G655" s="55" t="n">
        <v>99.8124417050265</v>
      </c>
      <c r="H655" s="62" t="n">
        <v>0</v>
      </c>
      <c r="I655" s="62" t="n">
        <v>0</v>
      </c>
      <c r="J655" s="62" t="n">
        <v>0</v>
      </c>
      <c r="K655" s="62" t="n">
        <v>0</v>
      </c>
      <c r="L655" s="62" t="n">
        <v>0</v>
      </c>
      <c r="M655" s="61" t="n">
        <v>0.158402973357851</v>
      </c>
    </row>
    <row r="656" customFormat="false" ht="15" hidden="false" customHeight="true" outlineLevel="0" collapsed="false">
      <c r="A656" s="62" t="n">
        <v>630</v>
      </c>
      <c r="B656" s="59" t="n">
        <v>-0.222569994279853</v>
      </c>
      <c r="C656" s="59" t="n">
        <v>-1.16349927013592</v>
      </c>
      <c r="D656" s="59" t="n">
        <v>-0.883922503804141</v>
      </c>
      <c r="E656" s="60" t="n">
        <v>0.00765090706222256</v>
      </c>
      <c r="F656" s="61" t="n">
        <v>0.215369369955102</v>
      </c>
      <c r="G656" s="55" t="n">
        <v>111.160291142599</v>
      </c>
      <c r="H656" s="62" t="n">
        <v>0</v>
      </c>
      <c r="I656" s="62" t="n">
        <v>0</v>
      </c>
      <c r="J656" s="62" t="n">
        <v>0</v>
      </c>
      <c r="K656" s="62" t="n">
        <v>0</v>
      </c>
      <c r="L656" s="62" t="n">
        <v>0</v>
      </c>
      <c r="M656" s="61" t="n">
        <v>0.160311710448991</v>
      </c>
    </row>
    <row r="657" customFormat="false" ht="15" hidden="false" customHeight="true" outlineLevel="0" collapsed="false">
      <c r="A657" s="62" t="n">
        <v>631</v>
      </c>
      <c r="B657" s="59" t="n">
        <v>0.0096432250382551</v>
      </c>
      <c r="C657" s="59" t="n">
        <v>0.76207331613983</v>
      </c>
      <c r="D657" s="59" t="n">
        <v>-0.00726346252640315</v>
      </c>
      <c r="E657" s="60" t="n">
        <v>-0.00407561244087064</v>
      </c>
      <c r="F657" s="61" t="n">
        <v>0.179602304079032</v>
      </c>
      <c r="G657" s="55" t="n">
        <v>-8.20088433754913</v>
      </c>
      <c r="H657" s="62" t="n">
        <v>0</v>
      </c>
      <c r="I657" s="62" t="n">
        <v>0</v>
      </c>
      <c r="J657" s="62" t="n">
        <v>0</v>
      </c>
      <c r="K657" s="62" t="n">
        <v>0</v>
      </c>
      <c r="L657" s="62" t="n">
        <v>0</v>
      </c>
      <c r="M657" s="61" t="n">
        <v>0.158408838680315</v>
      </c>
    </row>
    <row r="658" customFormat="false" ht="15" hidden="false" customHeight="true" outlineLevel="0" collapsed="false">
      <c r="A658" s="62" t="n">
        <v>632</v>
      </c>
      <c r="B658" s="59" t="n">
        <v>-0.283239045640098</v>
      </c>
      <c r="C658" s="59" t="n">
        <v>-0.493011276589726</v>
      </c>
      <c r="D658" s="59" t="n">
        <v>-0.379741631729956</v>
      </c>
      <c r="E658" s="60" t="n">
        <v>0.00630017458293137</v>
      </c>
      <c r="F658" s="61" t="n">
        <v>0.225474746344266</v>
      </c>
      <c r="G658" s="55" t="n">
        <v>89.2454901587223</v>
      </c>
      <c r="H658" s="62" t="n">
        <v>0</v>
      </c>
      <c r="I658" s="62" t="n">
        <v>0</v>
      </c>
      <c r="J658" s="62" t="n">
        <v>0</v>
      </c>
      <c r="K658" s="62" t="n">
        <v>0</v>
      </c>
      <c r="L658" s="62" t="n">
        <v>0</v>
      </c>
      <c r="M658" s="61" t="n">
        <v>0.159156043559825</v>
      </c>
    </row>
    <row r="659" customFormat="false" ht="15" hidden="false" customHeight="true" outlineLevel="0" collapsed="false">
      <c r="A659" s="62" t="n">
        <v>633</v>
      </c>
      <c r="B659" s="59" t="n">
        <v>-0.200774437913231</v>
      </c>
      <c r="C659" s="59" t="n">
        <v>-0.0348611380044401</v>
      </c>
      <c r="D659" s="59" t="n">
        <v>0.33000639803908</v>
      </c>
      <c r="E659" s="60" t="n">
        <v>-0.00115750883523762</v>
      </c>
      <c r="F659" s="61" t="n">
        <v>0.211807298788738</v>
      </c>
      <c r="G659" s="55" t="n">
        <v>26.181215758531</v>
      </c>
      <c r="H659" s="62" t="n">
        <v>0</v>
      </c>
      <c r="I659" s="62" t="n">
        <v>0</v>
      </c>
      <c r="J659" s="62" t="n">
        <v>0</v>
      </c>
      <c r="K659" s="62" t="n">
        <v>0</v>
      </c>
      <c r="L659" s="62" t="n">
        <v>0</v>
      </c>
      <c r="M659" s="61" t="n">
        <v>0.158404757196701</v>
      </c>
    </row>
    <row r="660" customFormat="false" ht="15" hidden="false" customHeight="true" outlineLevel="0" collapsed="false">
      <c r="A660" s="62" t="n">
        <v>634</v>
      </c>
      <c r="B660" s="59" t="n">
        <v>-1.1304980158554</v>
      </c>
      <c r="C660" s="59" t="n">
        <v>-0.826975936236465</v>
      </c>
      <c r="D660" s="59" t="n">
        <v>-1.20384690910422</v>
      </c>
      <c r="E660" s="60" t="n">
        <v>0.0120130550335599</v>
      </c>
      <c r="F660" s="61" t="n">
        <v>0.392213260836084</v>
      </c>
      <c r="G660" s="55" t="n">
        <v>250.57572815689</v>
      </c>
      <c r="H660" s="62" t="n">
        <v>0</v>
      </c>
      <c r="I660" s="62" t="n">
        <v>0</v>
      </c>
      <c r="J660" s="62" t="n">
        <v>0</v>
      </c>
      <c r="K660" s="62" t="n">
        <v>0</v>
      </c>
      <c r="L660" s="62" t="n">
        <v>0</v>
      </c>
      <c r="M660" s="61" t="n">
        <v>0.235923876164058</v>
      </c>
    </row>
    <row r="661" customFormat="false" ht="15" hidden="false" customHeight="true" outlineLevel="0" collapsed="false">
      <c r="A661" s="62" t="n">
        <v>635</v>
      </c>
      <c r="B661" s="59" t="n">
        <v>-0.437737033867723</v>
      </c>
      <c r="C661" s="59" t="n">
        <v>3.19677378836019</v>
      </c>
      <c r="D661" s="59" t="n">
        <v>-0.0291061039830107</v>
      </c>
      <c r="E661" s="60" t="n">
        <v>0.0125347184215734</v>
      </c>
      <c r="F661" s="61" t="n">
        <v>0.252446135506876</v>
      </c>
      <c r="G661" s="55" t="n">
        <v>137.994920082708</v>
      </c>
      <c r="H661" s="62" t="n">
        <v>0</v>
      </c>
      <c r="I661" s="62" t="n">
        <v>0</v>
      </c>
      <c r="J661" s="62" t="n">
        <v>0</v>
      </c>
      <c r="K661" s="62" t="n">
        <v>0</v>
      </c>
      <c r="L661" s="62" t="n">
        <v>0</v>
      </c>
      <c r="M661" s="61" t="n">
        <v>0.158739559430069</v>
      </c>
    </row>
    <row r="662" customFormat="false" ht="15" hidden="false" customHeight="true" outlineLevel="0" collapsed="false">
      <c r="A662" s="62" t="n">
        <v>636</v>
      </c>
      <c r="B662" s="59" t="n">
        <v>-0.906221862080367</v>
      </c>
      <c r="C662" s="59" t="n">
        <v>-1.11189565576856</v>
      </c>
      <c r="D662" s="59" t="n">
        <v>0.514964911152682</v>
      </c>
      <c r="E662" s="60" t="n">
        <v>0.0140406283937903</v>
      </c>
      <c r="F662" s="61" t="n">
        <v>0.344074559809762</v>
      </c>
      <c r="G662" s="55" t="n">
        <v>198.282117455462</v>
      </c>
      <c r="H662" s="62" t="n">
        <v>0</v>
      </c>
      <c r="I662" s="62" t="n">
        <v>0</v>
      </c>
      <c r="J662" s="62" t="n">
        <v>0</v>
      </c>
      <c r="K662" s="62" t="n">
        <v>0</v>
      </c>
      <c r="L662" s="62" t="n">
        <v>0</v>
      </c>
      <c r="M662" s="61" t="n">
        <v>0.159567113901441</v>
      </c>
    </row>
    <row r="663" customFormat="false" ht="15" hidden="false" customHeight="true" outlineLevel="0" collapsed="false">
      <c r="A663" s="62" t="n">
        <v>637</v>
      </c>
      <c r="B663" s="59" t="n">
        <v>-0.0781313755528901</v>
      </c>
      <c r="C663" s="59" t="n">
        <v>0.476010855114734</v>
      </c>
      <c r="D663" s="59" t="n">
        <v>-0.0762095255343974</v>
      </c>
      <c r="E663" s="60" t="n">
        <v>-0.00856248836232673</v>
      </c>
      <c r="F663" s="61" t="n">
        <v>0.192445789963853</v>
      </c>
      <c r="G663" s="55" t="n">
        <v>-11.2631449238378</v>
      </c>
      <c r="H663" s="62" t="n">
        <v>0</v>
      </c>
      <c r="I663" s="62" t="n">
        <v>0</v>
      </c>
      <c r="J663" s="62" t="n">
        <v>0</v>
      </c>
      <c r="K663" s="62" t="n">
        <v>0</v>
      </c>
      <c r="L663" s="62" t="n">
        <v>1</v>
      </c>
      <c r="M663" s="61" t="n">
        <v>0.361835952037971</v>
      </c>
    </row>
    <row r="664" customFormat="false" ht="15" hidden="false" customHeight="true" outlineLevel="0" collapsed="false">
      <c r="A664" s="62" t="n">
        <v>638</v>
      </c>
      <c r="B664" s="59" t="n">
        <v>-1.10508716008494</v>
      </c>
      <c r="C664" s="59" t="n">
        <v>-0.33908589184784</v>
      </c>
      <c r="D664" s="59" t="n">
        <v>0.397792634182573</v>
      </c>
      <c r="E664" s="60" t="n">
        <v>0.0195373178621049</v>
      </c>
      <c r="F664" s="61" t="n">
        <v>0.386651138320013</v>
      </c>
      <c r="G664" s="55" t="n">
        <v>244.648628901335</v>
      </c>
      <c r="H664" s="62" t="n">
        <v>0</v>
      </c>
      <c r="I664" s="62" t="n">
        <v>0</v>
      </c>
      <c r="J664" s="62" t="n">
        <v>0</v>
      </c>
      <c r="K664" s="62" t="n">
        <v>0</v>
      </c>
      <c r="L664" s="62" t="n">
        <v>0</v>
      </c>
      <c r="M664" s="61" t="n">
        <v>0.16260158138956</v>
      </c>
    </row>
    <row r="665" customFormat="false" ht="15" hidden="false" customHeight="true" outlineLevel="0" collapsed="false">
      <c r="A665" s="62" t="n">
        <v>639</v>
      </c>
      <c r="B665" s="59" t="n">
        <v>0.057243154039336</v>
      </c>
      <c r="C665" s="59" t="n">
        <v>-0.0469768696798876</v>
      </c>
      <c r="D665" s="59" t="n">
        <v>-0.890029733197661</v>
      </c>
      <c r="E665" s="60" t="n">
        <v>0.00771320498857911</v>
      </c>
      <c r="F665" s="61" t="n">
        <v>0.174142739043067</v>
      </c>
      <c r="G665" s="55" t="n">
        <v>71.5226112034655</v>
      </c>
      <c r="H665" s="62" t="n">
        <v>0</v>
      </c>
      <c r="I665" s="62" t="n">
        <v>0</v>
      </c>
      <c r="J665" s="62" t="n">
        <v>0</v>
      </c>
      <c r="K665" s="62" t="n">
        <v>0</v>
      </c>
      <c r="L665" s="62" t="n">
        <v>0</v>
      </c>
      <c r="M665" s="61" t="n">
        <v>0.159868509502272</v>
      </c>
    </row>
    <row r="666" customFormat="false" ht="15" hidden="false" customHeight="true" outlineLevel="0" collapsed="false">
      <c r="A666" s="62" t="n">
        <v>640</v>
      </c>
      <c r="B666" s="59" t="n">
        <v>-1.60179545034571</v>
      </c>
      <c r="C666" s="59" t="n">
        <v>-0.963420101631451</v>
      </c>
      <c r="D666" s="59" t="n">
        <v>-1.43667055932849</v>
      </c>
      <c r="E666" s="60" t="n">
        <v>-0.00273149642772498</v>
      </c>
      <c r="F666" s="61" t="n">
        <v>0.498530627966599</v>
      </c>
      <c r="G666" s="55" t="n">
        <v>585.425840247723</v>
      </c>
      <c r="H666" s="62" t="n">
        <v>10</v>
      </c>
      <c r="I666" s="62" t="n">
        <v>1</v>
      </c>
      <c r="J666" s="62" t="n">
        <v>1</v>
      </c>
      <c r="K666" s="62" t="n">
        <v>1</v>
      </c>
      <c r="L666" s="62" t="n">
        <v>0</v>
      </c>
      <c r="M666" s="61" t="n">
        <v>0.999999999999017</v>
      </c>
    </row>
    <row r="667" customFormat="false" ht="15" hidden="false" customHeight="true" outlineLevel="0" collapsed="false">
      <c r="A667" s="62" t="n">
        <v>641</v>
      </c>
      <c r="B667" s="59" t="n">
        <v>-0.456688924440488</v>
      </c>
      <c r="C667" s="59" t="n">
        <v>0.107549773020181</v>
      </c>
      <c r="D667" s="59" t="n">
        <v>0.0137291839063699</v>
      </c>
      <c r="E667" s="60" t="n">
        <v>-0.00264781109591584</v>
      </c>
      <c r="F667" s="61" t="n">
        <v>0.255873942567403</v>
      </c>
      <c r="G667" s="55" t="n">
        <v>37.8986155047733</v>
      </c>
      <c r="H667" s="62" t="n">
        <v>0</v>
      </c>
      <c r="I667" s="62" t="n">
        <v>0</v>
      </c>
      <c r="J667" s="62" t="n">
        <v>0</v>
      </c>
      <c r="K667" s="62" t="n">
        <v>0</v>
      </c>
      <c r="L667" s="62" t="n">
        <v>0</v>
      </c>
      <c r="M667" s="61" t="n">
        <v>0.158714810847295</v>
      </c>
    </row>
    <row r="668" customFormat="false" ht="15" hidden="false" customHeight="true" outlineLevel="0" collapsed="false">
      <c r="A668" s="62" t="n">
        <v>642</v>
      </c>
      <c r="B668" s="59" t="n">
        <v>1.37757896649988</v>
      </c>
      <c r="C668" s="59" t="n">
        <v>3.16287890059194</v>
      </c>
      <c r="D668" s="59" t="n">
        <v>1.32973204508671</v>
      </c>
      <c r="E668" s="60" t="n">
        <v>-0.0055553890608742</v>
      </c>
      <c r="F668" s="61" t="n">
        <v>0.0641836464429677</v>
      </c>
      <c r="G668" s="55" t="n">
        <v>-17.2386688005248</v>
      </c>
      <c r="H668" s="62" t="n">
        <v>0</v>
      </c>
      <c r="I668" s="62" t="n">
        <v>0</v>
      </c>
      <c r="J668" s="62" t="n">
        <v>0</v>
      </c>
      <c r="K668" s="62" t="n">
        <v>0</v>
      </c>
      <c r="L668" s="62" t="n">
        <v>0</v>
      </c>
      <c r="M668" s="61" t="n">
        <v>0.158402847561654</v>
      </c>
    </row>
    <row r="669" customFormat="false" ht="15" hidden="false" customHeight="true" outlineLevel="0" collapsed="false">
      <c r="A669" s="62" t="n">
        <v>643</v>
      </c>
      <c r="B669" s="59" t="n">
        <v>-0.745631452931541</v>
      </c>
      <c r="C669" s="59" t="n">
        <v>-0.575163811517689</v>
      </c>
      <c r="D669" s="59" t="n">
        <v>-0.495577570669177</v>
      </c>
      <c r="E669" s="60" t="n">
        <v>-0.00306271118151942</v>
      </c>
      <c r="F669" s="61" t="n">
        <v>0.311144920656773</v>
      </c>
      <c r="G669" s="55" t="n">
        <v>63.4951828285358</v>
      </c>
      <c r="H669" s="62" t="n">
        <v>0</v>
      </c>
      <c r="I669" s="62" t="n">
        <v>0</v>
      </c>
      <c r="J669" s="62" t="n">
        <v>0</v>
      </c>
      <c r="K669" s="62" t="n">
        <v>0</v>
      </c>
      <c r="L669" s="62" t="n">
        <v>0</v>
      </c>
      <c r="M669" s="61" t="n">
        <v>0.161042322054342</v>
      </c>
    </row>
    <row r="670" customFormat="false" ht="15" hidden="false" customHeight="true" outlineLevel="0" collapsed="false">
      <c r="A670" s="62" t="n">
        <v>644</v>
      </c>
      <c r="B670" s="59" t="n">
        <v>0.375126491175553</v>
      </c>
      <c r="C670" s="59" t="n">
        <v>0.108063864377322</v>
      </c>
      <c r="D670" s="59" t="n">
        <v>1.0801929595657</v>
      </c>
      <c r="E670" s="60" t="n">
        <v>0.00424637782277904</v>
      </c>
      <c r="F670" s="61" t="n">
        <v>0.140448179176906</v>
      </c>
      <c r="G670" s="55" t="n">
        <v>45.776696890598</v>
      </c>
      <c r="H670" s="62" t="n">
        <v>0</v>
      </c>
      <c r="I670" s="62" t="n">
        <v>0</v>
      </c>
      <c r="J670" s="62" t="n">
        <v>0</v>
      </c>
      <c r="K670" s="62" t="n">
        <v>0</v>
      </c>
      <c r="L670" s="62" t="n">
        <v>0</v>
      </c>
      <c r="M670" s="61" t="n">
        <v>0.158402847561654</v>
      </c>
    </row>
    <row r="671" customFormat="false" ht="15" hidden="false" customHeight="true" outlineLevel="0" collapsed="false">
      <c r="A671" s="62" t="n">
        <v>645</v>
      </c>
      <c r="B671" s="59" t="n">
        <v>0.593594784803096</v>
      </c>
      <c r="C671" s="59" t="n">
        <v>-0.206103100156971</v>
      </c>
      <c r="D671" s="59" t="n">
        <v>-1.04156656346641</v>
      </c>
      <c r="E671" s="60" t="n">
        <v>0.00235234127446574</v>
      </c>
      <c r="F671" s="61" t="n">
        <v>0.120055552453352</v>
      </c>
      <c r="G671" s="55" t="n">
        <v>38.4135508199925</v>
      </c>
      <c r="H671" s="62" t="n">
        <v>0</v>
      </c>
      <c r="I671" s="62" t="n">
        <v>0</v>
      </c>
      <c r="J671" s="62" t="n">
        <v>0</v>
      </c>
      <c r="K671" s="62" t="n">
        <v>0</v>
      </c>
      <c r="L671" s="62" t="n">
        <v>0</v>
      </c>
      <c r="M671" s="61" t="n">
        <v>0.160175350860116</v>
      </c>
    </row>
    <row r="672" customFormat="false" ht="15" hidden="false" customHeight="true" outlineLevel="0" collapsed="false">
      <c r="A672" s="62" t="n">
        <v>646</v>
      </c>
      <c r="B672" s="59" t="n">
        <v>-0.463936397616574</v>
      </c>
      <c r="C672" s="59" t="n">
        <v>0.876174264474035</v>
      </c>
      <c r="D672" s="59" t="n">
        <v>-0.737908754140095</v>
      </c>
      <c r="E672" s="60" t="n">
        <v>0.00652697263434206</v>
      </c>
      <c r="F672" s="61" t="n">
        <v>0.257191518066935</v>
      </c>
      <c r="G672" s="55" t="n">
        <v>99.3394207999619</v>
      </c>
      <c r="H672" s="62" t="n">
        <v>0</v>
      </c>
      <c r="I672" s="62" t="n">
        <v>0</v>
      </c>
      <c r="J672" s="62" t="n">
        <v>0</v>
      </c>
      <c r="K672" s="62" t="n">
        <v>0</v>
      </c>
      <c r="L672" s="62" t="n">
        <v>0</v>
      </c>
      <c r="M672" s="61" t="n">
        <v>0.160163027730089</v>
      </c>
    </row>
    <row r="673" customFormat="false" ht="15" hidden="false" customHeight="true" outlineLevel="0" collapsed="false">
      <c r="A673" s="62" t="n">
        <v>647</v>
      </c>
      <c r="B673" s="59" t="n">
        <v>-0.823374676407982</v>
      </c>
      <c r="C673" s="59" t="n">
        <v>-0.573015271847674</v>
      </c>
      <c r="D673" s="59" t="n">
        <v>-0.427969729586353</v>
      </c>
      <c r="E673" s="60" t="n">
        <v>-0.00201964623472339</v>
      </c>
      <c r="F673" s="61" t="n">
        <v>0.326907604186818</v>
      </c>
      <c r="G673" s="55" t="n">
        <v>76.4117066098627</v>
      </c>
      <c r="H673" s="62" t="n">
        <v>0</v>
      </c>
      <c r="I673" s="62" t="n">
        <v>0</v>
      </c>
      <c r="J673" s="62" t="n">
        <v>0</v>
      </c>
      <c r="K673" s="62" t="n">
        <v>0</v>
      </c>
      <c r="L673" s="62" t="n">
        <v>0</v>
      </c>
      <c r="M673" s="61" t="n">
        <v>0.163543042717131</v>
      </c>
    </row>
    <row r="674" customFormat="false" ht="15" hidden="false" customHeight="true" outlineLevel="0" collapsed="false">
      <c r="A674" s="62" t="n">
        <v>648</v>
      </c>
      <c r="B674" s="59" t="n">
        <v>0.0911392925411705</v>
      </c>
      <c r="C674" s="59" t="n">
        <v>0.102232302080956</v>
      </c>
      <c r="D674" s="59" t="n">
        <v>0.367319009055458</v>
      </c>
      <c r="E674" s="60" t="n">
        <v>-0.0083356877908752</v>
      </c>
      <c r="F674" s="61" t="n">
        <v>0.170320722252475</v>
      </c>
      <c r="G674" s="55" t="n">
        <v>-33.1555742585657</v>
      </c>
      <c r="H674" s="62" t="n">
        <v>0</v>
      </c>
      <c r="I674" s="62" t="n">
        <v>0</v>
      </c>
      <c r="J674" s="62" t="n">
        <v>0</v>
      </c>
      <c r="K674" s="62" t="n">
        <v>0</v>
      </c>
      <c r="L674" s="62" t="n">
        <v>0</v>
      </c>
      <c r="M674" s="61" t="n">
        <v>0.158402988305267</v>
      </c>
    </row>
    <row r="675" customFormat="false" ht="15" hidden="false" customHeight="true" outlineLevel="0" collapsed="false">
      <c r="A675" s="62" t="n">
        <v>649</v>
      </c>
      <c r="B675" s="59" t="n">
        <v>-0.607894710265519</v>
      </c>
      <c r="C675" s="59" t="n">
        <v>-0.0849081992132973</v>
      </c>
      <c r="D675" s="59" t="n">
        <v>-0.816138637128402</v>
      </c>
      <c r="E675" s="60" t="n">
        <v>0.0017542067506647</v>
      </c>
      <c r="F675" s="61" t="n">
        <v>0.284114656387813</v>
      </c>
      <c r="G675" s="55" t="n">
        <v>80.3553315658979</v>
      </c>
      <c r="H675" s="62" t="n">
        <v>0</v>
      </c>
      <c r="I675" s="62" t="n">
        <v>0</v>
      </c>
      <c r="J675" s="62" t="n">
        <v>0</v>
      </c>
      <c r="K675" s="62" t="n">
        <v>0</v>
      </c>
      <c r="L675" s="62" t="n">
        <v>0</v>
      </c>
      <c r="M675" s="61" t="n">
        <v>0.163831381313131</v>
      </c>
    </row>
    <row r="676" customFormat="false" ht="15" hidden="false" customHeight="true" outlineLevel="0" collapsed="false">
      <c r="A676" s="62" t="n">
        <v>650</v>
      </c>
      <c r="B676" s="59" t="n">
        <v>-0.717122421133315</v>
      </c>
      <c r="C676" s="59" t="n">
        <v>-0.290808585055829</v>
      </c>
      <c r="D676" s="59" t="n">
        <v>-0.210679852734674</v>
      </c>
      <c r="E676" s="60" t="n">
        <v>-0.00177683749491142</v>
      </c>
      <c r="F676" s="61" t="n">
        <v>0.305453550889949</v>
      </c>
      <c r="G676" s="55" t="n">
        <v>85.1555042626305</v>
      </c>
      <c r="H676" s="62" t="n">
        <v>0</v>
      </c>
      <c r="I676" s="62" t="n">
        <v>0</v>
      </c>
      <c r="J676" s="62" t="n">
        <v>0</v>
      </c>
      <c r="K676" s="62" t="n">
        <v>0</v>
      </c>
      <c r="L676" s="62" t="n">
        <v>1</v>
      </c>
      <c r="M676" s="61" t="n">
        <v>0.366657957234354</v>
      </c>
    </row>
    <row r="677" customFormat="false" ht="15" hidden="false" customHeight="true" outlineLevel="0" collapsed="false">
      <c r="A677" s="62" t="n">
        <v>651</v>
      </c>
      <c r="B677" s="59" t="n">
        <v>-0.913166913845905</v>
      </c>
      <c r="C677" s="59" t="n">
        <v>-0.272842677114063</v>
      </c>
      <c r="D677" s="59" t="n">
        <v>-0.391095166487113</v>
      </c>
      <c r="E677" s="60" t="n">
        <v>0.00418766545915023</v>
      </c>
      <c r="F677" s="61" t="n">
        <v>0.345530051560083</v>
      </c>
      <c r="G677" s="55" t="n">
        <v>123.066721791928</v>
      </c>
      <c r="H677" s="62" t="n">
        <v>0</v>
      </c>
      <c r="I677" s="62" t="n">
        <v>0</v>
      </c>
      <c r="J677" s="62" t="n">
        <v>0</v>
      </c>
      <c r="K677" s="62" t="n">
        <v>0</v>
      </c>
      <c r="L677" s="62" t="n">
        <v>0</v>
      </c>
      <c r="M677" s="61" t="n">
        <v>0.163509708314798</v>
      </c>
    </row>
    <row r="678" customFormat="false" ht="15" hidden="false" customHeight="true" outlineLevel="0" collapsed="false">
      <c r="A678" s="62" t="n">
        <v>652</v>
      </c>
      <c r="B678" s="59" t="n">
        <v>1.68361730437722</v>
      </c>
      <c r="C678" s="59" t="n">
        <v>1.00774893194097</v>
      </c>
      <c r="D678" s="59" t="n">
        <v>2.00755150345275</v>
      </c>
      <c r="E678" s="60" t="n">
        <v>-0.0110263638320629</v>
      </c>
      <c r="F678" s="61" t="n">
        <v>0.0488865817124728</v>
      </c>
      <c r="G678" s="55" t="n">
        <v>-49.6681786481147</v>
      </c>
      <c r="H678" s="62" t="n">
        <v>0</v>
      </c>
      <c r="I678" s="62" t="n">
        <v>0</v>
      </c>
      <c r="J678" s="62" t="n">
        <v>0</v>
      </c>
      <c r="K678" s="62" t="n">
        <v>0</v>
      </c>
      <c r="L678" s="62" t="n">
        <v>0</v>
      </c>
      <c r="M678" s="61" t="n">
        <v>0.158402847561654</v>
      </c>
    </row>
    <row r="679" customFormat="false" ht="15" hidden="false" customHeight="true" outlineLevel="0" collapsed="false">
      <c r="A679" s="62" t="n">
        <v>653</v>
      </c>
      <c r="B679" s="59" t="n">
        <v>-0.844211524909415</v>
      </c>
      <c r="C679" s="59" t="n">
        <v>-0.214232547990338</v>
      </c>
      <c r="D679" s="59" t="n">
        <v>-0.162965145194647</v>
      </c>
      <c r="E679" s="60" t="n">
        <v>-0.0079368242695958</v>
      </c>
      <c r="F679" s="61" t="n">
        <v>0.331190484926275</v>
      </c>
      <c r="G679" s="55" t="n">
        <v>39.6782595767403</v>
      </c>
      <c r="H679" s="62" t="n">
        <v>0</v>
      </c>
      <c r="I679" s="62" t="n">
        <v>0</v>
      </c>
      <c r="J679" s="62" t="n">
        <v>0</v>
      </c>
      <c r="K679" s="62" t="n">
        <v>0</v>
      </c>
      <c r="L679" s="62" t="n">
        <v>0</v>
      </c>
      <c r="M679" s="61" t="n">
        <v>0.159164849364947</v>
      </c>
    </row>
    <row r="680" customFormat="false" ht="15" hidden="false" customHeight="true" outlineLevel="0" collapsed="false">
      <c r="A680" s="62" t="n">
        <v>654</v>
      </c>
      <c r="B680" s="59" t="n">
        <v>-0.085421341864679</v>
      </c>
      <c r="C680" s="59" t="n">
        <v>-0.44325021135944</v>
      </c>
      <c r="D680" s="59" t="n">
        <v>-0.0628705403364499</v>
      </c>
      <c r="E680" s="60" t="n">
        <v>-0.00413569173971597</v>
      </c>
      <c r="F680" s="61" t="n">
        <v>0.193564039206484</v>
      </c>
      <c r="G680" s="55" t="n">
        <v>6.96989347712017</v>
      </c>
      <c r="H680" s="62" t="n">
        <v>0</v>
      </c>
      <c r="I680" s="62" t="n">
        <v>0</v>
      </c>
      <c r="J680" s="62" t="n">
        <v>0</v>
      </c>
      <c r="K680" s="62" t="n">
        <v>0</v>
      </c>
      <c r="L680" s="62" t="n">
        <v>0</v>
      </c>
      <c r="M680" s="61" t="n">
        <v>0.158455535891192</v>
      </c>
    </row>
    <row r="681" customFormat="false" ht="15" hidden="false" customHeight="true" outlineLevel="0" collapsed="false">
      <c r="A681" s="62" t="n">
        <v>655</v>
      </c>
      <c r="B681" s="59" t="n">
        <v>-1.21264047374704</v>
      </c>
      <c r="C681" s="59" t="n">
        <v>0.771758861519032</v>
      </c>
      <c r="D681" s="59" t="n">
        <v>-1.85112471358029</v>
      </c>
      <c r="E681" s="60" t="n">
        <v>0.0137230460840371</v>
      </c>
      <c r="F681" s="61" t="n">
        <v>0.410352804043834</v>
      </c>
      <c r="G681" s="55" t="n">
        <v>685.234618677404</v>
      </c>
      <c r="H681" s="62" t="n">
        <v>10</v>
      </c>
      <c r="I681" s="62" t="n">
        <v>1</v>
      </c>
      <c r="J681" s="62" t="n">
        <v>1</v>
      </c>
      <c r="K681" s="62" t="n">
        <v>1</v>
      </c>
      <c r="L681" s="62" t="n">
        <v>0</v>
      </c>
      <c r="M681" s="61" t="n">
        <v>0.999999999997971</v>
      </c>
    </row>
    <row r="682" customFormat="false" ht="15" hidden="false" customHeight="true" outlineLevel="0" collapsed="false">
      <c r="A682" s="62" t="n">
        <v>656</v>
      </c>
      <c r="B682" s="59" t="n">
        <v>-0.196525885111124</v>
      </c>
      <c r="C682" s="59" t="n">
        <v>0.204527098812424</v>
      </c>
      <c r="D682" s="59" t="n">
        <v>0.738153734218825</v>
      </c>
      <c r="E682" s="60" t="n">
        <v>0.0015847353102567</v>
      </c>
      <c r="F682" s="61" t="n">
        <v>0.211117185250931</v>
      </c>
      <c r="G682" s="55" t="n">
        <v>43.3058776171486</v>
      </c>
      <c r="H682" s="62" t="n">
        <v>0</v>
      </c>
      <c r="I682" s="62" t="n">
        <v>0</v>
      </c>
      <c r="J682" s="62" t="n">
        <v>0</v>
      </c>
      <c r="K682" s="62" t="n">
        <v>0</v>
      </c>
      <c r="L682" s="62" t="n">
        <v>0</v>
      </c>
      <c r="M682" s="61" t="n">
        <v>0.158404596802027</v>
      </c>
    </row>
    <row r="683" customFormat="false" ht="15" hidden="false" customHeight="true" outlineLevel="0" collapsed="false">
      <c r="A683" s="62" t="n">
        <v>657</v>
      </c>
      <c r="B683" s="59" t="n">
        <v>-1.62316071915869</v>
      </c>
      <c r="C683" s="59" t="n">
        <v>-1.30614200544909</v>
      </c>
      <c r="D683" s="59" t="n">
        <v>-1.03786885883261</v>
      </c>
      <c r="E683" s="60" t="n">
        <v>0.00906497718966103</v>
      </c>
      <c r="F683" s="61" t="n">
        <v>0.503425684564556</v>
      </c>
      <c r="G683" s="55" t="n">
        <v>606.481871106366</v>
      </c>
      <c r="H683" s="62" t="n">
        <v>10</v>
      </c>
      <c r="I683" s="62" t="n">
        <v>1</v>
      </c>
      <c r="J683" s="62" t="n">
        <v>1</v>
      </c>
      <c r="K683" s="62" t="n">
        <v>1</v>
      </c>
      <c r="L683" s="62" t="n">
        <v>0</v>
      </c>
      <c r="M683" s="61" t="n">
        <v>0.999999999998423</v>
      </c>
    </row>
    <row r="684" customFormat="false" ht="15" hidden="false" customHeight="true" outlineLevel="0" collapsed="false">
      <c r="A684" s="62" t="n">
        <v>658</v>
      </c>
      <c r="B684" s="59" t="n">
        <v>-0.305716179465982</v>
      </c>
      <c r="C684" s="59" t="n">
        <v>-1.21959482390534</v>
      </c>
      <c r="D684" s="59" t="n">
        <v>-0.862825736188697</v>
      </c>
      <c r="E684" s="60" t="n">
        <v>-0.0118528868765352</v>
      </c>
      <c r="F684" s="61" t="n">
        <v>0.229289112661125</v>
      </c>
      <c r="G684" s="55" t="n">
        <v>-5.3580233725017</v>
      </c>
      <c r="H684" s="62" t="n">
        <v>0</v>
      </c>
      <c r="I684" s="62" t="n">
        <v>0</v>
      </c>
      <c r="J684" s="62" t="n">
        <v>0</v>
      </c>
      <c r="K684" s="62" t="n">
        <v>0</v>
      </c>
      <c r="L684" s="62" t="n">
        <v>0</v>
      </c>
      <c r="M684" s="61" t="n">
        <v>0.160404367877726</v>
      </c>
    </row>
    <row r="685" customFormat="false" ht="15" hidden="false" customHeight="true" outlineLevel="0" collapsed="false">
      <c r="A685" s="62" t="n">
        <v>659</v>
      </c>
      <c r="B685" s="59" t="n">
        <v>-0.188697313751593</v>
      </c>
      <c r="C685" s="59" t="n">
        <v>-0.0708947321367436</v>
      </c>
      <c r="D685" s="59" t="n">
        <v>0.632942224620195</v>
      </c>
      <c r="E685" s="60" t="n">
        <v>-0.000335079671723424</v>
      </c>
      <c r="F685" s="61" t="n">
        <v>0.209849175605407</v>
      </c>
      <c r="G685" s="55" t="n">
        <v>30.2713004617807</v>
      </c>
      <c r="H685" s="62" t="n">
        <v>0</v>
      </c>
      <c r="I685" s="62" t="n">
        <v>0</v>
      </c>
      <c r="J685" s="62" t="n">
        <v>0</v>
      </c>
      <c r="K685" s="62" t="n">
        <v>0</v>
      </c>
      <c r="L685" s="62" t="n">
        <v>0</v>
      </c>
      <c r="M685" s="61" t="n">
        <v>0.1584045496142</v>
      </c>
    </row>
    <row r="686" customFormat="false" ht="15" hidden="false" customHeight="true" outlineLevel="0" collapsed="false">
      <c r="A686" s="62" t="n">
        <v>660</v>
      </c>
      <c r="B686" s="59" t="n">
        <v>0.573138318146189</v>
      </c>
      <c r="C686" s="59" t="n">
        <v>0.397515214241996</v>
      </c>
      <c r="D686" s="59" t="n">
        <v>0.816525764096132</v>
      </c>
      <c r="E686" s="60" t="n">
        <v>0.00635972238703415</v>
      </c>
      <c r="F686" s="61" t="n">
        <v>0.121871034018379</v>
      </c>
      <c r="G686" s="55" t="n">
        <v>60.1365993569062</v>
      </c>
      <c r="H686" s="62" t="n">
        <v>0</v>
      </c>
      <c r="I686" s="62" t="n">
        <v>0</v>
      </c>
      <c r="J686" s="62" t="n">
        <v>0</v>
      </c>
      <c r="K686" s="62" t="n">
        <v>0</v>
      </c>
      <c r="L686" s="62" t="n">
        <v>0</v>
      </c>
      <c r="M686" s="61" t="n">
        <v>0.158402847561654</v>
      </c>
    </row>
    <row r="687" customFormat="false" ht="15" hidden="false" customHeight="true" outlineLevel="0" collapsed="false">
      <c r="A687" s="62" t="n">
        <v>661</v>
      </c>
      <c r="B687" s="59" t="n">
        <v>-0.153363198847378</v>
      </c>
      <c r="C687" s="59" t="n">
        <v>-0.162286552051489</v>
      </c>
      <c r="D687" s="59" t="n">
        <v>-0.256591566668958</v>
      </c>
      <c r="E687" s="60" t="n">
        <v>-0.00302879410001649</v>
      </c>
      <c r="F687" s="61" t="n">
        <v>0.204184664524389</v>
      </c>
      <c r="G687" s="55" t="n">
        <v>12.0120216319929</v>
      </c>
      <c r="H687" s="62" t="n">
        <v>0</v>
      </c>
      <c r="I687" s="62" t="n">
        <v>0</v>
      </c>
      <c r="J687" s="62" t="n">
        <v>0</v>
      </c>
      <c r="K687" s="62" t="n">
        <v>0</v>
      </c>
      <c r="L687" s="62" t="n">
        <v>0</v>
      </c>
      <c r="M687" s="61" t="n">
        <v>0.15865019661801</v>
      </c>
    </row>
    <row r="688" customFormat="false" ht="15" hidden="false" customHeight="true" outlineLevel="0" collapsed="false">
      <c r="A688" s="62" t="n">
        <v>662</v>
      </c>
      <c r="B688" s="59" t="n">
        <v>0.382102872920548</v>
      </c>
      <c r="C688" s="59" t="n">
        <v>-0.491812084382882</v>
      </c>
      <c r="D688" s="59" t="n">
        <v>0.103243054035493</v>
      </c>
      <c r="E688" s="60" t="n">
        <v>-0.00208866843353791</v>
      </c>
      <c r="F688" s="61" t="n">
        <v>0.139762469877008</v>
      </c>
      <c r="G688" s="55" t="n">
        <v>14.6350085987022</v>
      </c>
      <c r="H688" s="62" t="n">
        <v>0</v>
      </c>
      <c r="I688" s="62" t="n">
        <v>0</v>
      </c>
      <c r="J688" s="62" t="n">
        <v>0</v>
      </c>
      <c r="K688" s="62" t="n">
        <v>0</v>
      </c>
      <c r="L688" s="62" t="n">
        <v>0</v>
      </c>
      <c r="M688" s="61" t="n">
        <v>0.158402847561654</v>
      </c>
    </row>
    <row r="689" customFormat="false" ht="15" hidden="false" customHeight="true" outlineLevel="0" collapsed="false">
      <c r="A689" s="62" t="n">
        <v>663</v>
      </c>
      <c r="B689" s="59" t="n">
        <v>-0.847792761727788</v>
      </c>
      <c r="C689" s="59" t="n">
        <v>-1.3783318589744</v>
      </c>
      <c r="D689" s="59" t="n">
        <v>0.0266623139294999</v>
      </c>
      <c r="E689" s="60" t="n">
        <v>-0.00373094603582594</v>
      </c>
      <c r="F689" s="61" t="n">
        <v>0.331928984007784</v>
      </c>
      <c r="G689" s="55" t="n">
        <v>82.3046402962096</v>
      </c>
      <c r="H689" s="62" t="n">
        <v>0</v>
      </c>
      <c r="I689" s="62" t="n">
        <v>0</v>
      </c>
      <c r="J689" s="62" t="n">
        <v>0</v>
      </c>
      <c r="K689" s="62" t="n">
        <v>0</v>
      </c>
      <c r="L689" s="62" t="n">
        <v>0</v>
      </c>
      <c r="M689" s="61" t="n">
        <v>0.158918265562935</v>
      </c>
    </row>
    <row r="690" customFormat="false" ht="15" hidden="false" customHeight="true" outlineLevel="0" collapsed="false">
      <c r="A690" s="62" t="n">
        <v>664</v>
      </c>
      <c r="B690" s="59" t="n">
        <v>1.04426113566395</v>
      </c>
      <c r="C690" s="59" t="n">
        <v>1.64631529551514</v>
      </c>
      <c r="D690" s="59" t="n">
        <v>1.2509429848504</v>
      </c>
      <c r="E690" s="60" t="n">
        <v>0.00336050792765808</v>
      </c>
      <c r="F690" s="61" t="n">
        <v>0.0847993292036322</v>
      </c>
      <c r="G690" s="55" t="n">
        <v>39.0734751970062</v>
      </c>
      <c r="H690" s="62" t="n">
        <v>0</v>
      </c>
      <c r="I690" s="62" t="n">
        <v>0</v>
      </c>
      <c r="J690" s="62" t="n">
        <v>0</v>
      </c>
      <c r="K690" s="62" t="n">
        <v>0</v>
      </c>
      <c r="L690" s="62" t="n">
        <v>0</v>
      </c>
      <c r="M690" s="61" t="n">
        <v>0.158402847561654</v>
      </c>
    </row>
    <row r="691" customFormat="false" ht="15" hidden="false" customHeight="true" outlineLevel="0" collapsed="false">
      <c r="A691" s="62" t="n">
        <v>665</v>
      </c>
      <c r="B691" s="59" t="n">
        <v>-1.45661024657122</v>
      </c>
      <c r="C691" s="59" t="n">
        <v>-1.13137272968822</v>
      </c>
      <c r="D691" s="59" t="n">
        <v>-1.03922413010114</v>
      </c>
      <c r="E691" s="60" t="n">
        <v>0.00390994577105523</v>
      </c>
      <c r="F691" s="61" t="n">
        <v>0.46534130750704</v>
      </c>
      <c r="G691" s="55" t="n">
        <v>527.288960272998</v>
      </c>
      <c r="H691" s="62" t="n">
        <v>10</v>
      </c>
      <c r="I691" s="62" t="n">
        <v>1</v>
      </c>
      <c r="J691" s="62" t="n">
        <v>1</v>
      </c>
      <c r="K691" s="62" t="n">
        <v>1</v>
      </c>
      <c r="L691" s="62" t="n">
        <v>0</v>
      </c>
      <c r="M691" s="61" t="n">
        <v>0.999999999995578</v>
      </c>
    </row>
    <row r="692" customFormat="false" ht="15" hidden="false" customHeight="true" outlineLevel="0" collapsed="false">
      <c r="A692" s="62" t="n">
        <v>666</v>
      </c>
      <c r="B692" s="59" t="n">
        <v>-0.528899389583329</v>
      </c>
      <c r="C692" s="59" t="n">
        <v>-0.543092224935471</v>
      </c>
      <c r="D692" s="59" t="n">
        <v>-0.342434918651189</v>
      </c>
      <c r="E692" s="60" t="n">
        <v>-0.00150890774922375</v>
      </c>
      <c r="F692" s="61" t="n">
        <v>0.269165769089357</v>
      </c>
      <c r="G692" s="55" t="n">
        <v>54.0455006766766</v>
      </c>
      <c r="H692" s="62" t="n">
        <v>0</v>
      </c>
      <c r="I692" s="62" t="n">
        <v>0</v>
      </c>
      <c r="J692" s="62" t="n">
        <v>0</v>
      </c>
      <c r="K692" s="62" t="n">
        <v>0</v>
      </c>
      <c r="L692" s="62" t="n">
        <v>0</v>
      </c>
      <c r="M692" s="61" t="n">
        <v>0.159297483965963</v>
      </c>
    </row>
    <row r="693" customFormat="false" ht="15" hidden="false" customHeight="true" outlineLevel="0" collapsed="false">
      <c r="A693" s="62" t="n">
        <v>667</v>
      </c>
      <c r="B693" s="59" t="n">
        <v>0.00310074587790327</v>
      </c>
      <c r="C693" s="59" t="n">
        <v>0.740196855315609</v>
      </c>
      <c r="D693" s="59" t="n">
        <v>0.279108445739879</v>
      </c>
      <c r="E693" s="60" t="n">
        <v>-0.0162877912891655</v>
      </c>
      <c r="F693" s="61" t="n">
        <v>0.180361130967273</v>
      </c>
      <c r="G693" s="55" t="n">
        <v>-63.7937737780162</v>
      </c>
      <c r="H693" s="62" t="n">
        <v>0</v>
      </c>
      <c r="I693" s="62" t="n">
        <v>0</v>
      </c>
      <c r="J693" s="62" t="n">
        <v>0</v>
      </c>
      <c r="K693" s="62" t="n">
        <v>0</v>
      </c>
      <c r="L693" s="62" t="n">
        <v>1</v>
      </c>
      <c r="M693" s="61" t="n">
        <v>0.361459302410727</v>
      </c>
    </row>
    <row r="694" customFormat="false" ht="15" hidden="false" customHeight="true" outlineLevel="0" collapsed="false">
      <c r="A694" s="62" t="n">
        <v>668</v>
      </c>
      <c r="B694" s="59" t="n">
        <v>1.38927809070576</v>
      </c>
      <c r="C694" s="59" t="n">
        <v>0.471448111706113</v>
      </c>
      <c r="D694" s="59" t="n">
        <v>0.924406588795273</v>
      </c>
      <c r="E694" s="60" t="n">
        <v>-0.00152206090183783</v>
      </c>
      <c r="F694" s="61" t="n">
        <v>0.0635377539986249</v>
      </c>
      <c r="G694" s="55" t="n">
        <v>7.14125282350532</v>
      </c>
      <c r="H694" s="62" t="n">
        <v>0</v>
      </c>
      <c r="I694" s="62" t="n">
        <v>0</v>
      </c>
      <c r="J694" s="62" t="n">
        <v>0</v>
      </c>
      <c r="K694" s="62" t="n">
        <v>0</v>
      </c>
      <c r="L694" s="62" t="n">
        <v>0</v>
      </c>
      <c r="M694" s="61" t="n">
        <v>0.158402847561654</v>
      </c>
    </row>
    <row r="695" customFormat="false" ht="15" hidden="false" customHeight="true" outlineLevel="0" collapsed="false">
      <c r="A695" s="62" t="n">
        <v>669</v>
      </c>
      <c r="B695" s="59" t="n">
        <v>0.173387481080509</v>
      </c>
      <c r="C695" s="59" t="n">
        <v>0.575936402388211</v>
      </c>
      <c r="D695" s="59" t="n">
        <v>-0.0655682159428765</v>
      </c>
      <c r="E695" s="60" t="n">
        <v>0.00381801727524631</v>
      </c>
      <c r="F695" s="61" t="n">
        <v>0.161274333139662</v>
      </c>
      <c r="G695" s="55" t="n">
        <v>42.5040581120848</v>
      </c>
      <c r="H695" s="62" t="n">
        <v>0</v>
      </c>
      <c r="I695" s="62" t="n">
        <v>0</v>
      </c>
      <c r="J695" s="62" t="n">
        <v>0</v>
      </c>
      <c r="K695" s="62" t="n">
        <v>0</v>
      </c>
      <c r="L695" s="62" t="n">
        <v>0</v>
      </c>
      <c r="M695" s="61" t="n">
        <v>0.158456547682936</v>
      </c>
    </row>
    <row r="696" customFormat="false" ht="15" hidden="false" customHeight="true" outlineLevel="0" collapsed="false">
      <c r="A696" s="62" t="n">
        <v>670</v>
      </c>
      <c r="B696" s="59" t="n">
        <v>-0.330517612341252</v>
      </c>
      <c r="C696" s="59" t="n">
        <v>-0.246186639522373</v>
      </c>
      <c r="D696" s="59" t="n">
        <v>-0.29604331567855</v>
      </c>
      <c r="E696" s="60" t="n">
        <v>-0.00409175432241757</v>
      </c>
      <c r="F696" s="61" t="n">
        <v>0.233541692684809</v>
      </c>
      <c r="G696" s="55" t="n">
        <v>20.4602629380245</v>
      </c>
      <c r="H696" s="62" t="n">
        <v>0</v>
      </c>
      <c r="I696" s="62" t="n">
        <v>0</v>
      </c>
      <c r="J696" s="62" t="n">
        <v>0</v>
      </c>
      <c r="K696" s="62" t="n">
        <v>0</v>
      </c>
      <c r="L696" s="62" t="n">
        <v>0</v>
      </c>
      <c r="M696" s="61" t="n">
        <v>0.159044342178284</v>
      </c>
    </row>
    <row r="697" customFormat="false" ht="15" hidden="false" customHeight="true" outlineLevel="0" collapsed="false">
      <c r="A697" s="62" t="n">
        <v>671</v>
      </c>
      <c r="B697" s="59" t="n">
        <v>1.92459375445834</v>
      </c>
      <c r="C697" s="59" t="n">
        <v>-0.320872075979125</v>
      </c>
      <c r="D697" s="59" t="n">
        <v>2.38271861653309</v>
      </c>
      <c r="E697" s="60" t="n">
        <v>-0.0127789831265275</v>
      </c>
      <c r="F697" s="61" t="n">
        <v>0.0390073800425409</v>
      </c>
      <c r="G697" s="55" t="n">
        <v>-52.7535528715008</v>
      </c>
      <c r="H697" s="62" t="n">
        <v>0</v>
      </c>
      <c r="I697" s="62" t="n">
        <v>0</v>
      </c>
      <c r="J697" s="62" t="n">
        <v>0</v>
      </c>
      <c r="K697" s="62" t="n">
        <v>0</v>
      </c>
      <c r="L697" s="62" t="n">
        <v>0</v>
      </c>
      <c r="M697" s="61" t="n">
        <v>0.158402847561654</v>
      </c>
    </row>
    <row r="698" customFormat="false" ht="15" hidden="false" customHeight="true" outlineLevel="0" collapsed="false">
      <c r="A698" s="62" t="n">
        <v>672</v>
      </c>
      <c r="B698" s="59" t="n">
        <v>-0.23924484192245</v>
      </c>
      <c r="C698" s="59" t="n">
        <v>0.956612562715535</v>
      </c>
      <c r="D698" s="59" t="n">
        <v>-0.506927501943425</v>
      </c>
      <c r="E698" s="60" t="n">
        <v>-0.00627326884999228</v>
      </c>
      <c r="F698" s="61" t="n">
        <v>0.21811902139201</v>
      </c>
      <c r="G698" s="55" t="n">
        <v>-1.72574417152947</v>
      </c>
      <c r="H698" s="62" t="n">
        <v>0</v>
      </c>
      <c r="I698" s="62" t="n">
        <v>0</v>
      </c>
      <c r="J698" s="62" t="n">
        <v>0</v>
      </c>
      <c r="K698" s="62" t="n">
        <v>0</v>
      </c>
      <c r="L698" s="62" t="n">
        <v>0</v>
      </c>
      <c r="M698" s="61" t="n">
        <v>0.159321419267342</v>
      </c>
    </row>
    <row r="699" customFormat="false" ht="15" hidden="false" customHeight="true" outlineLevel="0" collapsed="false">
      <c r="A699" s="62" t="n">
        <v>673</v>
      </c>
      <c r="B699" s="59" t="n">
        <v>-0.691370347072934</v>
      </c>
      <c r="C699" s="59" t="n">
        <v>-0.873673592467499</v>
      </c>
      <c r="D699" s="59" t="n">
        <v>0.114941808163873</v>
      </c>
      <c r="E699" s="60" t="n">
        <v>0.00174742040615864</v>
      </c>
      <c r="F699" s="61" t="n">
        <v>0.300355043803927</v>
      </c>
      <c r="G699" s="55" t="n">
        <v>93.2416922422587</v>
      </c>
      <c r="H699" s="62" t="n">
        <v>0</v>
      </c>
      <c r="I699" s="62" t="n">
        <v>0</v>
      </c>
      <c r="J699" s="62" t="n">
        <v>0</v>
      </c>
      <c r="K699" s="62" t="n">
        <v>0</v>
      </c>
      <c r="L699" s="62" t="n">
        <v>0</v>
      </c>
      <c r="M699" s="61" t="n">
        <v>0.158835781623955</v>
      </c>
    </row>
    <row r="700" customFormat="false" ht="15" hidden="false" customHeight="true" outlineLevel="0" collapsed="false">
      <c r="A700" s="62" t="n">
        <v>674</v>
      </c>
      <c r="B700" s="59" t="n">
        <v>-0.439280503908429</v>
      </c>
      <c r="C700" s="59" t="n">
        <v>0.0753128738376453</v>
      </c>
      <c r="D700" s="59" t="n">
        <v>1.54315677735463</v>
      </c>
      <c r="E700" s="60" t="n">
        <v>0.000265049716636383</v>
      </c>
      <c r="F700" s="61" t="n">
        <v>0.252724345086</v>
      </c>
      <c r="G700" s="55" t="n">
        <v>54.1049422843153</v>
      </c>
      <c r="H700" s="62" t="n">
        <v>0</v>
      </c>
      <c r="I700" s="62" t="n">
        <v>0</v>
      </c>
      <c r="J700" s="62" t="n">
        <v>0</v>
      </c>
      <c r="K700" s="62" t="n">
        <v>0</v>
      </c>
      <c r="L700" s="62" t="n">
        <v>0</v>
      </c>
      <c r="M700" s="61" t="n">
        <v>0.158707914609942</v>
      </c>
    </row>
    <row r="701" customFormat="false" ht="15" hidden="false" customHeight="true" outlineLevel="0" collapsed="false">
      <c r="A701" s="62" t="n">
        <v>675</v>
      </c>
      <c r="B701" s="59" t="n">
        <v>0.469283999934164</v>
      </c>
      <c r="C701" s="59" t="n">
        <v>0.533287839130317</v>
      </c>
      <c r="D701" s="59" t="n">
        <v>-0.25249584365113</v>
      </c>
      <c r="E701" s="60" t="n">
        <v>-0.00396841730999137</v>
      </c>
      <c r="F701" s="61" t="n">
        <v>0.131386326730257</v>
      </c>
      <c r="G701" s="55" t="n">
        <v>-7.42155446652498</v>
      </c>
      <c r="H701" s="62" t="n">
        <v>0</v>
      </c>
      <c r="I701" s="62" t="n">
        <v>0</v>
      </c>
      <c r="J701" s="62" t="n">
        <v>0</v>
      </c>
      <c r="K701" s="62" t="n">
        <v>0</v>
      </c>
      <c r="L701" s="62" t="n">
        <v>0</v>
      </c>
      <c r="M701" s="61" t="n">
        <v>0.158632671765928</v>
      </c>
    </row>
    <row r="702" customFormat="false" ht="15" hidden="false" customHeight="true" outlineLevel="0" collapsed="false">
      <c r="A702" s="62" t="n">
        <v>676</v>
      </c>
      <c r="B702" s="59" t="n">
        <v>-1.45790403181074</v>
      </c>
      <c r="C702" s="59" t="n">
        <v>-1.46123761366391</v>
      </c>
      <c r="D702" s="59" t="n">
        <v>-0.484663342901636</v>
      </c>
      <c r="E702" s="60" t="n">
        <v>0.00376326807621005</v>
      </c>
      <c r="F702" s="61" t="n">
        <v>0.465636101325752</v>
      </c>
      <c r="G702" s="55" t="n">
        <v>228.600985728918</v>
      </c>
      <c r="H702" s="62" t="n">
        <v>0</v>
      </c>
      <c r="I702" s="62" t="n">
        <v>0</v>
      </c>
      <c r="J702" s="62" t="n">
        <v>0</v>
      </c>
      <c r="K702" s="62" t="n">
        <v>0</v>
      </c>
      <c r="L702" s="62" t="n">
        <v>0</v>
      </c>
      <c r="M702" s="61" t="n">
        <v>0.323060043157366</v>
      </c>
    </row>
    <row r="703" customFormat="false" ht="15" hidden="false" customHeight="true" outlineLevel="0" collapsed="false">
      <c r="A703" s="62" t="n">
        <v>677</v>
      </c>
      <c r="B703" s="59" t="n">
        <v>-0.874380213395518</v>
      </c>
      <c r="C703" s="59" t="n">
        <v>-0.291021903928443</v>
      </c>
      <c r="D703" s="59" t="n">
        <v>0.207663609874348</v>
      </c>
      <c r="E703" s="60" t="n">
        <v>0.00604546074387401</v>
      </c>
      <c r="F703" s="61" t="n">
        <v>0.337433314043704</v>
      </c>
      <c r="G703" s="55" t="n">
        <v>131.218490156382</v>
      </c>
      <c r="H703" s="62" t="n">
        <v>0</v>
      </c>
      <c r="I703" s="62" t="n">
        <v>0</v>
      </c>
      <c r="J703" s="62" t="n">
        <v>0</v>
      </c>
      <c r="K703" s="62" t="n">
        <v>0</v>
      </c>
      <c r="L703" s="62" t="n">
        <v>0</v>
      </c>
      <c r="M703" s="61" t="n">
        <v>0.158899662978723</v>
      </c>
    </row>
    <row r="704" customFormat="false" ht="15" hidden="false" customHeight="true" outlineLevel="0" collapsed="false">
      <c r="A704" s="62" t="n">
        <v>678</v>
      </c>
      <c r="B704" s="59" t="n">
        <v>-0.264411321043976</v>
      </c>
      <c r="C704" s="59" t="n">
        <v>-0.0101064188267419</v>
      </c>
      <c r="D704" s="59" t="n">
        <v>-0.197832038671205</v>
      </c>
      <c r="E704" s="60" t="n">
        <v>-0.00389046961468457</v>
      </c>
      <c r="F704" s="61" t="n">
        <v>0.222308896639889</v>
      </c>
      <c r="G704" s="55" t="n">
        <v>15.0183909445198</v>
      </c>
      <c r="H704" s="62" t="n">
        <v>0</v>
      </c>
      <c r="I704" s="62" t="n">
        <v>0</v>
      </c>
      <c r="J704" s="62" t="n">
        <v>0</v>
      </c>
      <c r="K704" s="62" t="n">
        <v>0</v>
      </c>
      <c r="L704" s="62" t="n">
        <v>0</v>
      </c>
      <c r="M704" s="61" t="n">
        <v>0.158613320026268</v>
      </c>
    </row>
    <row r="705" customFormat="false" ht="15" hidden="false" customHeight="true" outlineLevel="0" collapsed="false">
      <c r="A705" s="62" t="n">
        <v>679</v>
      </c>
      <c r="B705" s="59" t="n">
        <v>-0.889659579947908</v>
      </c>
      <c r="C705" s="59" t="n">
        <v>0.593842460726011</v>
      </c>
      <c r="D705" s="59" t="n">
        <v>-1.30192078363524</v>
      </c>
      <c r="E705" s="60" t="n">
        <v>-0.0124355505141672</v>
      </c>
      <c r="F705" s="61" t="n">
        <v>0.340613558387635</v>
      </c>
      <c r="G705" s="55" t="n">
        <v>30.4364492160192</v>
      </c>
      <c r="H705" s="62" t="n">
        <v>0</v>
      </c>
      <c r="I705" s="62" t="n">
        <v>0</v>
      </c>
      <c r="J705" s="62" t="n">
        <v>0</v>
      </c>
      <c r="K705" s="62" t="n">
        <v>0</v>
      </c>
      <c r="L705" s="62" t="n">
        <v>0</v>
      </c>
      <c r="M705" s="61" t="n">
        <v>0.17698442399086</v>
      </c>
    </row>
    <row r="706" customFormat="false" ht="15" hidden="false" customHeight="true" outlineLevel="0" collapsed="false">
      <c r="A706" s="62" t="n">
        <v>680</v>
      </c>
      <c r="B706" s="59" t="n">
        <v>-1.32310526577762</v>
      </c>
      <c r="C706" s="59" t="n">
        <v>0.187674156373532</v>
      </c>
      <c r="D706" s="59" t="n">
        <v>-1.16555922188128</v>
      </c>
      <c r="E706" s="60" t="n">
        <v>-0.00637276615078801</v>
      </c>
      <c r="F706" s="61" t="n">
        <v>0.435078072226248</v>
      </c>
      <c r="G706" s="55" t="n">
        <v>148.468973121696</v>
      </c>
      <c r="H706" s="62" t="n">
        <v>0</v>
      </c>
      <c r="I706" s="62" t="n">
        <v>0</v>
      </c>
      <c r="J706" s="62" t="n">
        <v>0</v>
      </c>
      <c r="K706" s="62" t="n">
        <v>0</v>
      </c>
      <c r="L706" s="62" t="n">
        <v>0</v>
      </c>
      <c r="M706" s="61" t="n">
        <v>0.241480976095777</v>
      </c>
    </row>
    <row r="707" customFormat="false" ht="15" hidden="false" customHeight="true" outlineLevel="0" collapsed="false">
      <c r="A707" s="62" t="n">
        <v>681</v>
      </c>
      <c r="B707" s="59" t="n">
        <v>-0.640780615699807</v>
      </c>
      <c r="C707" s="59" t="n">
        <v>-0.0910039831588485</v>
      </c>
      <c r="D707" s="59" t="n">
        <v>-0.466634989931131</v>
      </c>
      <c r="E707" s="60" t="n">
        <v>-0.0124715733364716</v>
      </c>
      <c r="F707" s="61" t="n">
        <v>0.290459509181172</v>
      </c>
      <c r="G707" s="55" t="n">
        <v>-4.70568118651394</v>
      </c>
      <c r="H707" s="62" t="n">
        <v>0</v>
      </c>
      <c r="I707" s="62" t="n">
        <v>0</v>
      </c>
      <c r="J707" s="62" t="n">
        <v>0</v>
      </c>
      <c r="K707" s="62" t="n">
        <v>0</v>
      </c>
      <c r="L707" s="62" t="n">
        <v>0</v>
      </c>
      <c r="M707" s="61" t="n">
        <v>0.159656714082101</v>
      </c>
    </row>
    <row r="708" customFormat="false" ht="15" hidden="false" customHeight="true" outlineLevel="0" collapsed="false">
      <c r="A708" s="62" t="n">
        <v>682</v>
      </c>
      <c r="B708" s="59" t="n">
        <v>-0.318715913348813</v>
      </c>
      <c r="C708" s="59" t="n">
        <v>-0.262555247283415</v>
      </c>
      <c r="D708" s="59" t="n">
        <v>0.253607555116951</v>
      </c>
      <c r="E708" s="60" t="n">
        <v>0.00820787267631988</v>
      </c>
      <c r="F708" s="61" t="n">
        <v>0.231512404458522</v>
      </c>
      <c r="G708" s="55" t="n">
        <v>100.4879630247</v>
      </c>
      <c r="H708" s="62" t="n">
        <v>0</v>
      </c>
      <c r="I708" s="62" t="n">
        <v>0</v>
      </c>
      <c r="J708" s="62" t="n">
        <v>0</v>
      </c>
      <c r="K708" s="62" t="n">
        <v>0</v>
      </c>
      <c r="L708" s="62" t="n">
        <v>0</v>
      </c>
      <c r="M708" s="61" t="n">
        <v>0.158425033251187</v>
      </c>
    </row>
    <row r="709" customFormat="false" ht="15" hidden="false" customHeight="true" outlineLevel="0" collapsed="false">
      <c r="A709" s="62" t="n">
        <v>683</v>
      </c>
      <c r="B709" s="59" t="n">
        <v>0.321156446783027</v>
      </c>
      <c r="C709" s="59" t="n">
        <v>1.47480069299835</v>
      </c>
      <c r="D709" s="59" t="n">
        <v>1.26598225852131</v>
      </c>
      <c r="E709" s="60" t="n">
        <v>-0.0194236811730694</v>
      </c>
      <c r="F709" s="61" t="n">
        <v>0.145830546771813</v>
      </c>
      <c r="G709" s="55" t="n">
        <v>-99.7555078782439</v>
      </c>
      <c r="H709" s="62" t="n">
        <v>0</v>
      </c>
      <c r="I709" s="62" t="n">
        <v>0</v>
      </c>
      <c r="J709" s="62" t="n">
        <v>0</v>
      </c>
      <c r="K709" s="62" t="n">
        <v>0</v>
      </c>
      <c r="L709" s="62" t="n">
        <v>0</v>
      </c>
      <c r="M709" s="61" t="n">
        <v>0.158402847561654</v>
      </c>
    </row>
    <row r="710" customFormat="false" ht="15" hidden="false" customHeight="true" outlineLevel="0" collapsed="false">
      <c r="A710" s="62" t="n">
        <v>684</v>
      </c>
      <c r="B710" s="59" t="n">
        <v>0.669701442642655</v>
      </c>
      <c r="C710" s="59" t="n">
        <v>1.08490030272984</v>
      </c>
      <c r="D710" s="59" t="n">
        <v>0.371034444573693</v>
      </c>
      <c r="E710" s="60" t="n">
        <v>-0.0118687232043809</v>
      </c>
      <c r="F710" s="61" t="n">
        <v>0.113469312269075</v>
      </c>
      <c r="G710" s="55" t="n">
        <v>-54.7030923085223</v>
      </c>
      <c r="H710" s="62" t="n">
        <v>0</v>
      </c>
      <c r="I710" s="62" t="n">
        <v>0</v>
      </c>
      <c r="J710" s="62" t="n">
        <v>0</v>
      </c>
      <c r="K710" s="62" t="n">
        <v>0</v>
      </c>
      <c r="L710" s="62" t="n">
        <v>0</v>
      </c>
      <c r="M710" s="61" t="n">
        <v>0.158402847561654</v>
      </c>
    </row>
    <row r="711" customFormat="false" ht="15" hidden="false" customHeight="true" outlineLevel="0" collapsed="false">
      <c r="A711" s="62" t="n">
        <v>685</v>
      </c>
      <c r="B711" s="59" t="n">
        <v>-0.905620204516585</v>
      </c>
      <c r="C711" s="59" t="n">
        <v>-0.268587659370321</v>
      </c>
      <c r="D711" s="59" t="n">
        <v>-0.426230817006173</v>
      </c>
      <c r="E711" s="60" t="n">
        <v>0.00650867876101693</v>
      </c>
      <c r="F711" s="61" t="n">
        <v>0.343948584852712</v>
      </c>
      <c r="G711" s="55" t="n">
        <v>163.892988027737</v>
      </c>
      <c r="H711" s="62" t="n">
        <v>0</v>
      </c>
      <c r="I711" s="62" t="n">
        <v>0</v>
      </c>
      <c r="J711" s="62" t="n">
        <v>0</v>
      </c>
      <c r="K711" s="62" t="n">
        <v>0</v>
      </c>
      <c r="L711" s="62" t="n">
        <v>1</v>
      </c>
      <c r="M711" s="61" t="n">
        <v>0.369657425987255</v>
      </c>
    </row>
    <row r="712" customFormat="false" ht="15" hidden="false" customHeight="true" outlineLevel="0" collapsed="false">
      <c r="A712" s="62" t="n">
        <v>686</v>
      </c>
      <c r="B712" s="59" t="n">
        <v>-0.428316034762405</v>
      </c>
      <c r="C712" s="59" t="n">
        <v>0.0439552405612134</v>
      </c>
      <c r="D712" s="59" t="n">
        <v>-0.408930323752006</v>
      </c>
      <c r="E712" s="60" t="n">
        <v>0.00255375901256729</v>
      </c>
      <c r="F712" s="61" t="n">
        <v>0.250751695877123</v>
      </c>
      <c r="G712" s="55" t="n">
        <v>69.1877765881878</v>
      </c>
      <c r="H712" s="62" t="n">
        <v>0</v>
      </c>
      <c r="I712" s="62" t="n">
        <v>0</v>
      </c>
      <c r="J712" s="62" t="n">
        <v>0</v>
      </c>
      <c r="K712" s="62" t="n">
        <v>0</v>
      </c>
      <c r="L712" s="62" t="n">
        <v>0</v>
      </c>
      <c r="M712" s="61" t="n">
        <v>0.159308515388776</v>
      </c>
    </row>
    <row r="713" customFormat="false" ht="15" hidden="false" customHeight="true" outlineLevel="0" collapsed="false">
      <c r="A713" s="62" t="n">
        <v>687</v>
      </c>
      <c r="B713" s="59" t="n">
        <v>-0.606876098244271</v>
      </c>
      <c r="C713" s="59" t="n">
        <v>-1.58489375199589</v>
      </c>
      <c r="D713" s="59" t="n">
        <v>-0.945300798649935</v>
      </c>
      <c r="E713" s="60" t="n">
        <v>0.00694460557778526</v>
      </c>
      <c r="F713" s="61" t="n">
        <v>0.28391925413063</v>
      </c>
      <c r="G713" s="55" t="n">
        <v>145.231633329385</v>
      </c>
      <c r="H713" s="62" t="n">
        <v>0</v>
      </c>
      <c r="I713" s="62" t="n">
        <v>0</v>
      </c>
      <c r="J713" s="62" t="n">
        <v>0</v>
      </c>
      <c r="K713" s="62" t="n">
        <v>0</v>
      </c>
      <c r="L713" s="62" t="n">
        <v>0</v>
      </c>
      <c r="M713" s="61" t="n">
        <v>0.165506896630486</v>
      </c>
    </row>
    <row r="714" customFormat="false" ht="15" hidden="false" customHeight="true" outlineLevel="0" collapsed="false">
      <c r="A714" s="62" t="n">
        <v>688</v>
      </c>
      <c r="B714" s="59" t="n">
        <v>-0.0952215490258862</v>
      </c>
      <c r="C714" s="59" t="n">
        <v>0.341194878343792</v>
      </c>
      <c r="D714" s="59" t="n">
        <v>0.437514381955442</v>
      </c>
      <c r="E714" s="60" t="n">
        <v>-0.000581394144093029</v>
      </c>
      <c r="F714" s="61" t="n">
        <v>0.195073872309925</v>
      </c>
      <c r="G714" s="55" t="n">
        <v>20.5634329781852</v>
      </c>
      <c r="H714" s="62" t="n">
        <v>0</v>
      </c>
      <c r="I714" s="62" t="n">
        <v>0</v>
      </c>
      <c r="J714" s="62" t="n">
        <v>0</v>
      </c>
      <c r="K714" s="62" t="n">
        <v>0</v>
      </c>
      <c r="L714" s="62" t="n">
        <v>0</v>
      </c>
      <c r="M714" s="61" t="n">
        <v>0.15840351950018</v>
      </c>
    </row>
    <row r="715" customFormat="false" ht="15" hidden="false" customHeight="true" outlineLevel="0" collapsed="false">
      <c r="A715" s="62" t="n">
        <v>689</v>
      </c>
      <c r="B715" s="59" t="n">
        <v>-0.372570705721716</v>
      </c>
      <c r="C715" s="59" t="n">
        <v>-0.375572439310897</v>
      </c>
      <c r="D715" s="59" t="n">
        <v>-0.383770155212176</v>
      </c>
      <c r="E715" s="60" t="n">
        <v>-0.00637477049846111</v>
      </c>
      <c r="F715" s="61" t="n">
        <v>0.240856371247051</v>
      </c>
      <c r="G715" s="55" t="n">
        <v>11.1110046526737</v>
      </c>
      <c r="H715" s="62" t="n">
        <v>0</v>
      </c>
      <c r="I715" s="62" t="n">
        <v>0</v>
      </c>
      <c r="J715" s="62" t="n">
        <v>0</v>
      </c>
      <c r="K715" s="62" t="n">
        <v>0</v>
      </c>
      <c r="L715" s="62" t="n">
        <v>0</v>
      </c>
      <c r="M715" s="61" t="n">
        <v>0.15923167372418</v>
      </c>
    </row>
    <row r="716" customFormat="false" ht="15" hidden="false" customHeight="true" outlineLevel="0" collapsed="false">
      <c r="A716" s="62" t="n">
        <v>690</v>
      </c>
      <c r="B716" s="59" t="n">
        <v>-1.61766000802076</v>
      </c>
      <c r="C716" s="59" t="n">
        <v>-0.810946970495413</v>
      </c>
      <c r="D716" s="59" t="n">
        <v>-0.63421102712849</v>
      </c>
      <c r="E716" s="60" t="n">
        <v>-0.00109696686188894</v>
      </c>
      <c r="F716" s="61" t="n">
        <v>0.502165312390083</v>
      </c>
      <c r="G716" s="55" t="n">
        <v>457.941847711022</v>
      </c>
      <c r="H716" s="62" t="n">
        <v>10</v>
      </c>
      <c r="I716" s="62" t="n">
        <v>0</v>
      </c>
      <c r="J716" s="62" t="n">
        <v>0</v>
      </c>
      <c r="K716" s="62" t="n">
        <v>1</v>
      </c>
      <c r="L716" s="62" t="n">
        <v>0</v>
      </c>
      <c r="M716" s="61" t="n">
        <v>0.999999713607654</v>
      </c>
    </row>
    <row r="717" customFormat="false" ht="15" hidden="false" customHeight="true" outlineLevel="0" collapsed="false">
      <c r="A717" s="62" t="n">
        <v>691</v>
      </c>
      <c r="B717" s="59" t="n">
        <v>-0.0960484005023079</v>
      </c>
      <c r="C717" s="59" t="n">
        <v>0.276291763656132</v>
      </c>
      <c r="D717" s="59" t="n">
        <v>-0.0149916174792934</v>
      </c>
      <c r="E717" s="60" t="n">
        <v>0.00631106830772296</v>
      </c>
      <c r="F717" s="61" t="n">
        <v>0.195201600203857</v>
      </c>
      <c r="G717" s="55" t="n">
        <v>67.6931087946172</v>
      </c>
      <c r="H717" s="62" t="n">
        <v>0</v>
      </c>
      <c r="I717" s="62" t="n">
        <v>0</v>
      </c>
      <c r="J717" s="62" t="n">
        <v>0</v>
      </c>
      <c r="K717" s="62" t="n">
        <v>0</v>
      </c>
      <c r="L717" s="62" t="n">
        <v>0</v>
      </c>
      <c r="M717" s="61" t="n">
        <v>0.158415574240073</v>
      </c>
    </row>
    <row r="718" customFormat="false" ht="15" hidden="false" customHeight="true" outlineLevel="0" collapsed="false">
      <c r="A718" s="62" t="n">
        <v>692</v>
      </c>
      <c r="B718" s="59" t="n">
        <v>0.234982901875593</v>
      </c>
      <c r="C718" s="59" t="n">
        <v>-1.36641113513809</v>
      </c>
      <c r="D718" s="59" t="n">
        <v>-0.0264290794457101</v>
      </c>
      <c r="E718" s="60" t="n">
        <v>-0.00178723735152433</v>
      </c>
      <c r="F718" s="61" t="n">
        <v>0.154710615541796</v>
      </c>
      <c r="G718" s="55" t="n">
        <v>37.5845989546024</v>
      </c>
      <c r="H718" s="62" t="n">
        <v>0</v>
      </c>
      <c r="I718" s="62" t="n">
        <v>0</v>
      </c>
      <c r="J718" s="62" t="n">
        <v>0</v>
      </c>
      <c r="K718" s="62" t="n">
        <v>0</v>
      </c>
      <c r="L718" s="62" t="n">
        <v>0</v>
      </c>
      <c r="M718" s="61" t="n">
        <v>0.158423986307735</v>
      </c>
    </row>
    <row r="719" customFormat="false" ht="15" hidden="false" customHeight="true" outlineLevel="0" collapsed="false">
      <c r="A719" s="62" t="n">
        <v>693</v>
      </c>
      <c r="B719" s="59" t="n">
        <v>1.09283964985097</v>
      </c>
      <c r="C719" s="59" t="n">
        <v>1.7326382299475</v>
      </c>
      <c r="D719" s="59" t="n">
        <v>0.91473969418698</v>
      </c>
      <c r="E719" s="60" t="n">
        <v>0.00669512346268861</v>
      </c>
      <c r="F719" s="61" t="n">
        <v>0.0815193792614952</v>
      </c>
      <c r="G719" s="55" t="n">
        <v>79.1929473512493</v>
      </c>
      <c r="H719" s="62" t="n">
        <v>0</v>
      </c>
      <c r="I719" s="62" t="n">
        <v>0</v>
      </c>
      <c r="J719" s="62" t="n">
        <v>0</v>
      </c>
      <c r="K719" s="62" t="n">
        <v>0</v>
      </c>
      <c r="L719" s="62" t="n">
        <v>1</v>
      </c>
      <c r="M719" s="61" t="n">
        <v>0.361450245352106</v>
      </c>
    </row>
    <row r="720" customFormat="false" ht="15" hidden="false" customHeight="true" outlineLevel="0" collapsed="false">
      <c r="A720" s="62" t="n">
        <v>694</v>
      </c>
      <c r="B720" s="59" t="n">
        <v>-2.49477068759854</v>
      </c>
      <c r="C720" s="59" t="n">
        <v>-1.01311093159207</v>
      </c>
      <c r="D720" s="59" t="n">
        <v>-2.091609871517</v>
      </c>
      <c r="E720" s="60" t="n">
        <v>0.000150621800047478</v>
      </c>
      <c r="F720" s="61" t="n">
        <v>0.675660694652629</v>
      </c>
      <c r="G720" s="55" t="n">
        <v>940.800859258672</v>
      </c>
      <c r="H720" s="62" t="n">
        <v>15</v>
      </c>
      <c r="I720" s="62" t="n">
        <v>4</v>
      </c>
      <c r="J720" s="62" t="n">
        <v>6</v>
      </c>
      <c r="K720" s="62" t="n">
        <v>1</v>
      </c>
      <c r="L720" s="62" t="n">
        <v>0</v>
      </c>
      <c r="M720" s="61" t="n">
        <v>1</v>
      </c>
    </row>
    <row r="721" customFormat="false" ht="15" hidden="false" customHeight="true" outlineLevel="0" collapsed="false">
      <c r="A721" s="62" t="n">
        <v>695</v>
      </c>
      <c r="B721" s="59" t="n">
        <v>0.0954366830363618</v>
      </c>
      <c r="C721" s="59" t="n">
        <v>0.66962767050505</v>
      </c>
      <c r="D721" s="59" t="n">
        <v>1.02256273232748</v>
      </c>
      <c r="E721" s="60" t="n">
        <v>-0.00526595370473796</v>
      </c>
      <c r="F721" s="61" t="n">
        <v>0.169840073077087</v>
      </c>
      <c r="G721" s="55" t="n">
        <v>-15.251643297595</v>
      </c>
      <c r="H721" s="62" t="n">
        <v>0</v>
      </c>
      <c r="I721" s="62" t="n">
        <v>0</v>
      </c>
      <c r="J721" s="62" t="n">
        <v>0</v>
      </c>
      <c r="K721" s="62" t="n">
        <v>0</v>
      </c>
      <c r="L721" s="62" t="n">
        <v>0</v>
      </c>
      <c r="M721" s="61" t="n">
        <v>0.158402982920862</v>
      </c>
    </row>
    <row r="722" customFormat="false" ht="15" hidden="false" customHeight="true" outlineLevel="0" collapsed="false">
      <c r="A722" s="62" t="n">
        <v>696</v>
      </c>
      <c r="B722" s="59" t="n">
        <v>-0.608003624923819</v>
      </c>
      <c r="C722" s="59" t="n">
        <v>-0.681680419038042</v>
      </c>
      <c r="D722" s="59" t="n">
        <v>0.740226932421336</v>
      </c>
      <c r="E722" s="60" t="n">
        <v>-0.0100502210060413</v>
      </c>
      <c r="F722" s="61" t="n">
        <v>0.284135553714855</v>
      </c>
      <c r="G722" s="55" t="n">
        <v>11.379054395575</v>
      </c>
      <c r="H722" s="62" t="n">
        <v>0</v>
      </c>
      <c r="I722" s="62" t="n">
        <v>0</v>
      </c>
      <c r="J722" s="62" t="n">
        <v>0</v>
      </c>
      <c r="K722" s="62" t="n">
        <v>0</v>
      </c>
      <c r="L722" s="62" t="n">
        <v>0</v>
      </c>
      <c r="M722" s="61" t="n">
        <v>0.158794996292214</v>
      </c>
    </row>
    <row r="723" customFormat="false" ht="15" hidden="false" customHeight="true" outlineLevel="0" collapsed="false">
      <c r="A723" s="62" t="n">
        <v>697</v>
      </c>
      <c r="B723" s="59" t="n">
        <v>-0.540941754587015</v>
      </c>
      <c r="C723" s="59" t="n">
        <v>0.332039253581103</v>
      </c>
      <c r="D723" s="59" t="n">
        <v>-0.494339267512293</v>
      </c>
      <c r="E723" s="60" t="n">
        <v>0.00218542945306769</v>
      </c>
      <c r="F723" s="61" t="n">
        <v>0.27141748273711</v>
      </c>
      <c r="G723" s="55" t="n">
        <v>75.6591530902648</v>
      </c>
      <c r="H723" s="62" t="n">
        <v>0</v>
      </c>
      <c r="I723" s="62" t="n">
        <v>0</v>
      </c>
      <c r="J723" s="62" t="n">
        <v>0</v>
      </c>
      <c r="K723" s="62" t="n">
        <v>0</v>
      </c>
      <c r="L723" s="62" t="n">
        <v>0</v>
      </c>
      <c r="M723" s="61" t="n">
        <v>0.159607717013963</v>
      </c>
    </row>
    <row r="724" customFormat="false" ht="15" hidden="false" customHeight="true" outlineLevel="0" collapsed="false">
      <c r="A724" s="62" t="n">
        <v>698</v>
      </c>
      <c r="B724" s="59" t="n">
        <v>-0.134228953722871</v>
      </c>
      <c r="C724" s="59" t="n">
        <v>0.949144850761021</v>
      </c>
      <c r="D724" s="59" t="n">
        <v>-0.667243796587063</v>
      </c>
      <c r="E724" s="60" t="n">
        <v>0.00466444584217068</v>
      </c>
      <c r="F724" s="61" t="n">
        <v>0.201157404157982</v>
      </c>
      <c r="G724" s="55" t="n">
        <v>59.3081801737082</v>
      </c>
      <c r="H724" s="62" t="n">
        <v>0</v>
      </c>
      <c r="I724" s="62" t="n">
        <v>0</v>
      </c>
      <c r="J724" s="62" t="n">
        <v>0</v>
      </c>
      <c r="K724" s="62" t="n">
        <v>0</v>
      </c>
      <c r="L724" s="62" t="n">
        <v>0</v>
      </c>
      <c r="M724" s="61" t="n">
        <v>0.159533786990723</v>
      </c>
    </row>
    <row r="725" customFormat="false" ht="15" hidden="false" customHeight="true" outlineLevel="0" collapsed="false">
      <c r="A725" s="62" t="n">
        <v>699</v>
      </c>
      <c r="B725" s="59" t="n">
        <v>0.504959259464051</v>
      </c>
      <c r="C725" s="59" t="n">
        <v>1.7270340311179</v>
      </c>
      <c r="D725" s="59" t="n">
        <v>0.156811935178323</v>
      </c>
      <c r="E725" s="60" t="n">
        <v>-7.65460901792743E-005</v>
      </c>
      <c r="F725" s="61" t="n">
        <v>0.128061256772877</v>
      </c>
      <c r="G725" s="55" t="n">
        <v>15.4206815256738</v>
      </c>
      <c r="H725" s="62" t="n">
        <v>0</v>
      </c>
      <c r="I725" s="62" t="n">
        <v>0</v>
      </c>
      <c r="J725" s="62" t="n">
        <v>0</v>
      </c>
      <c r="K725" s="62" t="n">
        <v>0</v>
      </c>
      <c r="L725" s="62" t="n">
        <v>0</v>
      </c>
      <c r="M725" s="61" t="n">
        <v>0.158402847561654</v>
      </c>
    </row>
    <row r="726" customFormat="false" ht="15" hidden="false" customHeight="true" outlineLevel="0" collapsed="false">
      <c r="A726" s="62" t="n">
        <v>700</v>
      </c>
      <c r="B726" s="59" t="n">
        <v>-2.62035477192415</v>
      </c>
      <c r="C726" s="59" t="n">
        <v>-1.47807632215515</v>
      </c>
      <c r="D726" s="59" t="n">
        <v>-0.875373333122539</v>
      </c>
      <c r="E726" s="60" t="n">
        <v>-0.0108668788127431</v>
      </c>
      <c r="F726" s="61" t="n">
        <v>0.696443260605308</v>
      </c>
      <c r="G726" s="55" t="n">
        <v>652.462714256645</v>
      </c>
      <c r="H726" s="62" t="n">
        <v>13</v>
      </c>
      <c r="I726" s="62" t="n">
        <v>1</v>
      </c>
      <c r="J726" s="62" t="n">
        <v>1</v>
      </c>
      <c r="K726" s="62" t="n">
        <v>1</v>
      </c>
      <c r="L726" s="62" t="n">
        <v>0</v>
      </c>
      <c r="M726" s="61" t="n">
        <v>0.999999999999994</v>
      </c>
    </row>
    <row r="727" customFormat="false" ht="15" hidden="false" customHeight="true" outlineLevel="0" collapsed="false">
      <c r="A727" s="62" t="n">
        <v>701</v>
      </c>
      <c r="B727" s="59" t="n">
        <v>0.385520296301888</v>
      </c>
      <c r="C727" s="59" t="n">
        <v>0.961792068615273</v>
      </c>
      <c r="D727" s="59" t="n">
        <v>0.0784212470634733</v>
      </c>
      <c r="E727" s="60" t="n">
        <v>-0.00518162603927768</v>
      </c>
      <c r="F727" s="61" t="n">
        <v>0.139427407928755</v>
      </c>
      <c r="G727" s="55" t="n">
        <v>-14.8536433137561</v>
      </c>
      <c r="H727" s="62" t="n">
        <v>0</v>
      </c>
      <c r="I727" s="62" t="n">
        <v>0</v>
      </c>
      <c r="J727" s="62" t="n">
        <v>0</v>
      </c>
      <c r="K727" s="62" t="n">
        <v>0</v>
      </c>
      <c r="L727" s="62" t="n">
        <v>0</v>
      </c>
      <c r="M727" s="61" t="n">
        <v>0.158402847561654</v>
      </c>
    </row>
    <row r="728" customFormat="false" ht="15" hidden="false" customHeight="true" outlineLevel="0" collapsed="false">
      <c r="A728" s="62" t="n">
        <v>702</v>
      </c>
      <c r="B728" s="59" t="n">
        <v>-0.745069257552436</v>
      </c>
      <c r="C728" s="59" t="n">
        <v>0.315238635043274</v>
      </c>
      <c r="D728" s="59" t="n">
        <v>-0.29492483561469</v>
      </c>
      <c r="E728" s="60" t="n">
        <v>0.00654625704309109</v>
      </c>
      <c r="F728" s="61" t="n">
        <v>0.311032216259988</v>
      </c>
      <c r="G728" s="55" t="n">
        <v>122.547677256585</v>
      </c>
      <c r="H728" s="62" t="n">
        <v>0</v>
      </c>
      <c r="I728" s="62" t="n">
        <v>0</v>
      </c>
      <c r="J728" s="62" t="n">
        <v>0</v>
      </c>
      <c r="K728" s="62" t="n">
        <v>0</v>
      </c>
      <c r="L728" s="62" t="n">
        <v>0</v>
      </c>
      <c r="M728" s="61" t="n">
        <v>0.159351530306205</v>
      </c>
    </row>
    <row r="729" customFormat="false" ht="15" hidden="false" customHeight="true" outlineLevel="0" collapsed="false">
      <c r="A729" s="62" t="n">
        <v>703</v>
      </c>
      <c r="B729" s="59" t="n">
        <v>-0.0526973225809038</v>
      </c>
      <c r="C729" s="59" t="n">
        <v>-0.106094598649395</v>
      </c>
      <c r="D729" s="59" t="n">
        <v>1.02632270329541</v>
      </c>
      <c r="E729" s="60" t="n">
        <v>0.00323649151997171</v>
      </c>
      <c r="F729" s="61" t="n">
        <v>0.188576781240115</v>
      </c>
      <c r="G729" s="55" t="n">
        <v>44.561826137519</v>
      </c>
      <c r="H729" s="62" t="n">
        <v>0</v>
      </c>
      <c r="I729" s="62" t="n">
        <v>0</v>
      </c>
      <c r="J729" s="62" t="n">
        <v>0</v>
      </c>
      <c r="K729" s="62" t="n">
        <v>0</v>
      </c>
      <c r="L729" s="62" t="n">
        <v>0</v>
      </c>
      <c r="M729" s="61" t="n">
        <v>0.158403336176883</v>
      </c>
    </row>
    <row r="730" customFormat="false" ht="15" hidden="false" customHeight="true" outlineLevel="0" collapsed="false">
      <c r="A730" s="62" t="n">
        <v>704</v>
      </c>
      <c r="B730" s="59" t="n">
        <v>-0.345344591942116</v>
      </c>
      <c r="C730" s="59" t="n">
        <v>-0.0989885023518448</v>
      </c>
      <c r="D730" s="59" t="n">
        <v>-0.160154135708947</v>
      </c>
      <c r="E730" s="60" t="n">
        <v>0.00211181573882144</v>
      </c>
      <c r="F730" s="61" t="n">
        <v>0.236105807653259</v>
      </c>
      <c r="G730" s="55" t="n">
        <v>59.796028892062</v>
      </c>
      <c r="H730" s="62" t="n">
        <v>0</v>
      </c>
      <c r="I730" s="62" t="n">
        <v>0</v>
      </c>
      <c r="J730" s="62" t="n">
        <v>0</v>
      </c>
      <c r="K730" s="62" t="n">
        <v>0</v>
      </c>
      <c r="L730" s="62" t="n">
        <v>0</v>
      </c>
      <c r="M730" s="61" t="n">
        <v>0.158856292082356</v>
      </c>
    </row>
    <row r="731" customFormat="false" ht="15" hidden="false" customHeight="true" outlineLevel="0" collapsed="false">
      <c r="A731" s="62" t="n">
        <v>705</v>
      </c>
      <c r="B731" s="59" t="n">
        <v>-0.87298238475868</v>
      </c>
      <c r="C731" s="59" t="n">
        <v>0.0281873901920276</v>
      </c>
      <c r="D731" s="59" t="n">
        <v>-1.56248179615286</v>
      </c>
      <c r="E731" s="60" t="n">
        <v>-0.00907492644382643</v>
      </c>
      <c r="F731" s="61" t="n">
        <v>0.337142984362789</v>
      </c>
      <c r="G731" s="55" t="n">
        <v>75.8275260899969</v>
      </c>
      <c r="H731" s="62" t="n">
        <v>0</v>
      </c>
      <c r="I731" s="62" t="n">
        <v>0</v>
      </c>
      <c r="J731" s="62" t="n">
        <v>0</v>
      </c>
      <c r="K731" s="62" t="n">
        <v>0</v>
      </c>
      <c r="L731" s="62" t="n">
        <v>0</v>
      </c>
      <c r="M731" s="61" t="n">
        <v>0.217957480020816</v>
      </c>
    </row>
    <row r="732" customFormat="false" ht="15" hidden="false" customHeight="true" outlineLevel="0" collapsed="false">
      <c r="A732" s="62" t="n">
        <v>706</v>
      </c>
      <c r="B732" s="59" t="n">
        <v>-0.637815306109101</v>
      </c>
      <c r="C732" s="59" t="n">
        <v>0.187689071554304</v>
      </c>
      <c r="D732" s="59" t="n">
        <v>-0.318424335613875</v>
      </c>
      <c r="E732" s="60" t="n">
        <v>-0.0107320068787225</v>
      </c>
      <c r="F732" s="61" t="n">
        <v>0.289884527144258</v>
      </c>
      <c r="G732" s="55" t="n">
        <v>23.6745307572643</v>
      </c>
      <c r="H732" s="62" t="n">
        <v>0</v>
      </c>
      <c r="I732" s="62" t="n">
        <v>0</v>
      </c>
      <c r="J732" s="62" t="n">
        <v>0</v>
      </c>
      <c r="K732" s="62" t="n">
        <v>0</v>
      </c>
      <c r="L732" s="62" t="n">
        <v>1</v>
      </c>
      <c r="M732" s="61" t="n">
        <v>0.366939777327939</v>
      </c>
    </row>
    <row r="733" customFormat="false" ht="15" hidden="false" customHeight="true" outlineLevel="0" collapsed="false">
      <c r="A733" s="62" t="n">
        <v>707</v>
      </c>
      <c r="B733" s="59" t="n">
        <v>0.388045284979302</v>
      </c>
      <c r="C733" s="59" t="n">
        <v>0.35124670432989</v>
      </c>
      <c r="D733" s="59" t="n">
        <v>0.77198804883848</v>
      </c>
      <c r="E733" s="60" t="n">
        <v>0.00917199968279302</v>
      </c>
      <c r="F733" s="61" t="n">
        <v>0.13918019833035</v>
      </c>
      <c r="G733" s="55" t="n">
        <v>96.6893915492825</v>
      </c>
      <c r="H733" s="62" t="n">
        <v>0</v>
      </c>
      <c r="I733" s="62" t="n">
        <v>0</v>
      </c>
      <c r="J733" s="62" t="n">
        <v>0</v>
      </c>
      <c r="K733" s="62" t="n">
        <v>0</v>
      </c>
      <c r="L733" s="62" t="n">
        <v>1</v>
      </c>
      <c r="M733" s="61" t="n">
        <v>0.361453487448176</v>
      </c>
    </row>
    <row r="734" customFormat="false" ht="15" hidden="false" customHeight="true" outlineLevel="0" collapsed="false">
      <c r="A734" s="62" t="n">
        <v>708</v>
      </c>
      <c r="B734" s="59" t="n">
        <v>-1.1262438503211</v>
      </c>
      <c r="C734" s="59" t="n">
        <v>-0.832219728703492</v>
      </c>
      <c r="D734" s="59" t="n">
        <v>-0.110326788129286</v>
      </c>
      <c r="E734" s="60" t="n">
        <v>0.0115029934901019</v>
      </c>
      <c r="F734" s="61" t="n">
        <v>0.391280364313032</v>
      </c>
      <c r="G734" s="55" t="n">
        <v>194.512520070151</v>
      </c>
      <c r="H734" s="62" t="n">
        <v>0</v>
      </c>
      <c r="I734" s="62" t="n">
        <v>0</v>
      </c>
      <c r="J734" s="62" t="n">
        <v>0</v>
      </c>
      <c r="K734" s="62" t="n">
        <v>0</v>
      </c>
      <c r="L734" s="62" t="n">
        <v>0</v>
      </c>
      <c r="M734" s="61" t="n">
        <v>0.162905149146273</v>
      </c>
    </row>
    <row r="735" customFormat="false" ht="15" hidden="false" customHeight="true" outlineLevel="0" collapsed="false">
      <c r="A735" s="62" t="n">
        <v>709</v>
      </c>
      <c r="B735" s="59" t="n">
        <v>-0.575879294883971</v>
      </c>
      <c r="C735" s="59" t="n">
        <v>0.756361313592531</v>
      </c>
      <c r="D735" s="59" t="n">
        <v>-0.438223177710128</v>
      </c>
      <c r="E735" s="60" t="n">
        <v>0.00230401901442414</v>
      </c>
      <c r="F735" s="61" t="n">
        <v>0.278005800891432</v>
      </c>
      <c r="G735" s="55" t="n">
        <v>79.0777396147089</v>
      </c>
      <c r="H735" s="62" t="n">
        <v>0</v>
      </c>
      <c r="I735" s="62" t="n">
        <v>0</v>
      </c>
      <c r="J735" s="62" t="n">
        <v>0</v>
      </c>
      <c r="K735" s="62" t="n">
        <v>0</v>
      </c>
      <c r="L735" s="62" t="n">
        <v>0</v>
      </c>
      <c r="M735" s="61" t="n">
        <v>0.159513909618013</v>
      </c>
    </row>
    <row r="736" customFormat="false" ht="15" hidden="false" customHeight="true" outlineLevel="0" collapsed="false">
      <c r="A736" s="62" t="n">
        <v>710</v>
      </c>
      <c r="B736" s="59" t="n">
        <v>-0.628526207614173</v>
      </c>
      <c r="C736" s="59" t="n">
        <v>-0.108544304651356</v>
      </c>
      <c r="D736" s="59" t="n">
        <v>-0.321381929770527</v>
      </c>
      <c r="E736" s="60" t="n">
        <v>-0.0130979958487207</v>
      </c>
      <c r="F736" s="61" t="n">
        <v>0.288087009351657</v>
      </c>
      <c r="G736" s="55" t="n">
        <v>-9.531500789417</v>
      </c>
      <c r="H736" s="62" t="n">
        <v>0</v>
      </c>
      <c r="I736" s="62" t="n">
        <v>0</v>
      </c>
      <c r="J736" s="62" t="n">
        <v>0</v>
      </c>
      <c r="K736" s="62" t="n">
        <v>0</v>
      </c>
      <c r="L736" s="62" t="n">
        <v>0</v>
      </c>
      <c r="M736" s="61" t="n">
        <v>0.159316374575567</v>
      </c>
    </row>
    <row r="737" customFormat="false" ht="15" hidden="false" customHeight="true" outlineLevel="0" collapsed="false">
      <c r="A737" s="62" t="n">
        <v>711</v>
      </c>
      <c r="B737" s="59" t="n">
        <v>0.72782805070171</v>
      </c>
      <c r="C737" s="59" t="n">
        <v>1.64109344978409</v>
      </c>
      <c r="D737" s="59" t="n">
        <v>0.307441043827705</v>
      </c>
      <c r="E737" s="60" t="n">
        <v>0.016278226907238</v>
      </c>
      <c r="F737" s="61" t="n">
        <v>0.108615954761015</v>
      </c>
      <c r="G737" s="55" t="n">
        <v>128.217054291741</v>
      </c>
      <c r="H737" s="62" t="n">
        <v>0</v>
      </c>
      <c r="I737" s="62" t="n">
        <v>0</v>
      </c>
      <c r="J737" s="62" t="n">
        <v>0</v>
      </c>
      <c r="K737" s="62" t="n">
        <v>0</v>
      </c>
      <c r="L737" s="62" t="n">
        <v>0</v>
      </c>
      <c r="M737" s="61" t="n">
        <v>0.158402847561654</v>
      </c>
    </row>
    <row r="738" customFormat="false" ht="15" hidden="false" customHeight="true" outlineLevel="0" collapsed="false">
      <c r="A738" s="62" t="n">
        <v>712</v>
      </c>
      <c r="B738" s="59" t="n">
        <v>0.349353806140715</v>
      </c>
      <c r="C738" s="59" t="n">
        <v>2.00044230580668</v>
      </c>
      <c r="D738" s="59" t="n">
        <v>-0.451372108840887</v>
      </c>
      <c r="E738" s="60" t="n">
        <v>-0.0246466288882556</v>
      </c>
      <c r="F738" s="61" t="n">
        <v>0.143001287895388</v>
      </c>
      <c r="G738" s="55" t="n">
        <v>-130.816083455784</v>
      </c>
      <c r="H738" s="62" t="n">
        <v>0</v>
      </c>
      <c r="I738" s="62" t="n">
        <v>0</v>
      </c>
      <c r="J738" s="62" t="n">
        <v>0</v>
      </c>
      <c r="K738" s="62" t="n">
        <v>0</v>
      </c>
      <c r="L738" s="62" t="n">
        <v>0</v>
      </c>
      <c r="M738" s="61" t="n">
        <v>0.158864132756205</v>
      </c>
    </row>
    <row r="739" customFormat="false" ht="15" hidden="false" customHeight="true" outlineLevel="0" collapsed="false">
      <c r="A739" s="62" t="n">
        <v>713</v>
      </c>
      <c r="B739" s="59" t="n">
        <v>-0.725090748618674</v>
      </c>
      <c r="C739" s="59" t="n">
        <v>-1.10604106354071</v>
      </c>
      <c r="D739" s="59" t="n">
        <v>-0.63591222426845</v>
      </c>
      <c r="E739" s="60" t="n">
        <v>0.00397238367207067</v>
      </c>
      <c r="F739" s="61" t="n">
        <v>0.307039365833157</v>
      </c>
      <c r="G739" s="55" t="n">
        <v>118.404753291674</v>
      </c>
      <c r="H739" s="62" t="n">
        <v>0</v>
      </c>
      <c r="I739" s="62" t="n">
        <v>0</v>
      </c>
      <c r="J739" s="62" t="n">
        <v>0</v>
      </c>
      <c r="K739" s="62" t="n">
        <v>0</v>
      </c>
      <c r="L739" s="62" t="n">
        <v>0</v>
      </c>
      <c r="M739" s="61" t="n">
        <v>0.164217117069175</v>
      </c>
    </row>
    <row r="740" customFormat="false" ht="15" hidden="false" customHeight="true" outlineLevel="0" collapsed="false">
      <c r="A740" s="62" t="n">
        <v>714</v>
      </c>
      <c r="B740" s="59" t="n">
        <v>0.426308359504536</v>
      </c>
      <c r="C740" s="59" t="n">
        <v>-0.0453377307727365</v>
      </c>
      <c r="D740" s="59" t="n">
        <v>0.0929277765087144</v>
      </c>
      <c r="E740" s="60" t="n">
        <v>-0.0119018716695234</v>
      </c>
      <c r="F740" s="61" t="n">
        <v>0.135470751844871</v>
      </c>
      <c r="G740" s="55" t="n">
        <v>-53.3505113821915</v>
      </c>
      <c r="H740" s="62" t="n">
        <v>0</v>
      </c>
      <c r="I740" s="62" t="n">
        <v>0</v>
      </c>
      <c r="J740" s="62" t="n">
        <v>0</v>
      </c>
      <c r="K740" s="62" t="n">
        <v>0</v>
      </c>
      <c r="L740" s="62" t="n">
        <v>0</v>
      </c>
      <c r="M740" s="61" t="n">
        <v>0.158402847561654</v>
      </c>
    </row>
    <row r="741" customFormat="false" ht="15" hidden="false" customHeight="true" outlineLevel="0" collapsed="false">
      <c r="A741" s="62" t="n">
        <v>715</v>
      </c>
      <c r="B741" s="59" t="n">
        <v>2.24208924094677</v>
      </c>
      <c r="C741" s="59" t="n">
        <v>2.11484871179693</v>
      </c>
      <c r="D741" s="59" t="n">
        <v>0.0239355469203145</v>
      </c>
      <c r="E741" s="60" t="n">
        <v>0.0031201750624909</v>
      </c>
      <c r="F741" s="61" t="n">
        <v>0.0285210623039069</v>
      </c>
      <c r="G741" s="55" t="n">
        <v>37.3872980004507</v>
      </c>
      <c r="H741" s="62" t="n">
        <v>0</v>
      </c>
      <c r="I741" s="62" t="n">
        <v>0</v>
      </c>
      <c r="J741" s="62" t="n">
        <v>0</v>
      </c>
      <c r="K741" s="62" t="n">
        <v>0</v>
      </c>
      <c r="L741" s="62" t="n">
        <v>0</v>
      </c>
      <c r="M741" s="61" t="n">
        <v>0.158402847561654</v>
      </c>
    </row>
    <row r="742" customFormat="false" ht="15" hidden="false" customHeight="true" outlineLevel="0" collapsed="false">
      <c r="A742" s="62" t="n">
        <v>716</v>
      </c>
      <c r="B742" s="59" t="n">
        <v>0.364119939862346</v>
      </c>
      <c r="C742" s="59" t="n">
        <v>1.50989776268996</v>
      </c>
      <c r="D742" s="59" t="n">
        <v>-0.71296476703934</v>
      </c>
      <c r="E742" s="60" t="n">
        <v>-0.00377272429629849</v>
      </c>
      <c r="F742" s="61" t="n">
        <v>0.141534681030605</v>
      </c>
      <c r="G742" s="55" t="n">
        <v>-6.32788213626237</v>
      </c>
      <c r="H742" s="62" t="n">
        <v>0</v>
      </c>
      <c r="I742" s="62" t="n">
        <v>0</v>
      </c>
      <c r="J742" s="62" t="n">
        <v>0</v>
      </c>
      <c r="K742" s="62" t="n">
        <v>0</v>
      </c>
      <c r="L742" s="62" t="n">
        <v>0</v>
      </c>
      <c r="M742" s="61" t="n">
        <v>0.159256249908845</v>
      </c>
    </row>
    <row r="743" customFormat="false" ht="15" hidden="false" customHeight="true" outlineLevel="0" collapsed="false">
      <c r="A743" s="62" t="n">
        <v>717</v>
      </c>
      <c r="B743" s="59" t="n">
        <v>-0.327299958985988</v>
      </c>
      <c r="C743" s="59" t="n">
        <v>-0.0644809598668427</v>
      </c>
      <c r="D743" s="59" t="n">
        <v>-0.106529080273704</v>
      </c>
      <c r="E743" s="60" t="n">
        <v>-0.00254960627696564</v>
      </c>
      <c r="F743" s="61" t="n">
        <v>0.23298739540435</v>
      </c>
      <c r="G743" s="55" t="n">
        <v>45.6745687249851</v>
      </c>
      <c r="H743" s="62" t="n">
        <v>0</v>
      </c>
      <c r="I743" s="62" t="n">
        <v>0</v>
      </c>
      <c r="J743" s="62" t="n">
        <v>0</v>
      </c>
      <c r="K743" s="62" t="n">
        <v>0</v>
      </c>
      <c r="L743" s="62" t="n">
        <v>1</v>
      </c>
      <c r="M743" s="61" t="n">
        <v>0.362068783026437</v>
      </c>
    </row>
    <row r="744" customFormat="false" ht="15" hidden="false" customHeight="true" outlineLevel="0" collapsed="false">
      <c r="A744" s="62" t="n">
        <v>718</v>
      </c>
      <c r="B744" s="59" t="n">
        <v>-0.0800385773728211</v>
      </c>
      <c r="C744" s="59" t="n">
        <v>0.0483408165176018</v>
      </c>
      <c r="D744" s="59" t="n">
        <v>0.118191660341815</v>
      </c>
      <c r="E744" s="60" t="n">
        <v>0.00455522634784263</v>
      </c>
      <c r="F744" s="61" t="n">
        <v>0.192737946375723</v>
      </c>
      <c r="G744" s="55" t="n">
        <v>54.4692908409813</v>
      </c>
      <c r="H744" s="62" t="n">
        <v>0</v>
      </c>
      <c r="I744" s="62" t="n">
        <v>0</v>
      </c>
      <c r="J744" s="62" t="n">
        <v>0</v>
      </c>
      <c r="K744" s="62" t="n">
        <v>0</v>
      </c>
      <c r="L744" s="62" t="n">
        <v>0</v>
      </c>
      <c r="M744" s="61" t="n">
        <v>0.158403452599659</v>
      </c>
    </row>
    <row r="745" customFormat="false" ht="15" hidden="false" customHeight="true" outlineLevel="0" collapsed="false">
      <c r="A745" s="62" t="n">
        <v>719</v>
      </c>
      <c r="B745" s="59" t="n">
        <v>0.0693517749803724</v>
      </c>
      <c r="C745" s="59" t="n">
        <v>-0.232959359532815</v>
      </c>
      <c r="D745" s="59" t="n">
        <v>-0.680978345958056</v>
      </c>
      <c r="E745" s="60" t="n">
        <v>-0.00208625602980733</v>
      </c>
      <c r="F745" s="61" t="n">
        <v>0.17277112659352</v>
      </c>
      <c r="G745" s="55" t="n">
        <v>9.22231229180657</v>
      </c>
      <c r="H745" s="62" t="n">
        <v>0</v>
      </c>
      <c r="I745" s="62" t="n">
        <v>0</v>
      </c>
      <c r="J745" s="62" t="n">
        <v>0</v>
      </c>
      <c r="K745" s="62" t="n">
        <v>0</v>
      </c>
      <c r="L745" s="62" t="n">
        <v>0</v>
      </c>
      <c r="M745" s="61" t="n">
        <v>0.159469115424314</v>
      </c>
    </row>
    <row r="746" customFormat="false" ht="15" hidden="false" customHeight="true" outlineLevel="0" collapsed="false">
      <c r="A746" s="62" t="n">
        <v>720</v>
      </c>
      <c r="B746" s="59" t="n">
        <v>-0.727862183677215</v>
      </c>
      <c r="C746" s="59" t="n">
        <v>-0.216253457056024</v>
      </c>
      <c r="D746" s="59" t="n">
        <v>0.104080457328102</v>
      </c>
      <c r="E746" s="60" t="n">
        <v>-0.00136434685670936</v>
      </c>
      <c r="F746" s="61" t="n">
        <v>0.307591823644704</v>
      </c>
      <c r="G746" s="55" t="n">
        <v>68.8551804724778</v>
      </c>
      <c r="H746" s="62" t="n">
        <v>0</v>
      </c>
      <c r="I746" s="62" t="n">
        <v>0</v>
      </c>
      <c r="J746" s="62" t="n">
        <v>0</v>
      </c>
      <c r="K746" s="62" t="n">
        <v>0</v>
      </c>
      <c r="L746" s="62" t="n">
        <v>0</v>
      </c>
      <c r="M746" s="61" t="n">
        <v>0.158833115112228</v>
      </c>
    </row>
    <row r="747" customFormat="false" ht="15" hidden="false" customHeight="true" outlineLevel="0" collapsed="false">
      <c r="A747" s="62" t="n">
        <v>721</v>
      </c>
      <c r="B747" s="59" t="n">
        <v>0.919164625733093</v>
      </c>
      <c r="C747" s="59" t="n">
        <v>3.57111224125174</v>
      </c>
      <c r="D747" s="59" t="n">
        <v>-0.48732669119862</v>
      </c>
      <c r="E747" s="60" t="n">
        <v>-0.0328071376352088</v>
      </c>
      <c r="F747" s="61" t="n">
        <v>0.0936990226566494</v>
      </c>
      <c r="G747" s="55" t="n">
        <v>-179.418920371723</v>
      </c>
      <c r="H747" s="62" t="n">
        <v>0</v>
      </c>
      <c r="I747" s="62" t="n">
        <v>0</v>
      </c>
      <c r="J747" s="62" t="n">
        <v>0</v>
      </c>
      <c r="K747" s="62" t="n">
        <v>0</v>
      </c>
      <c r="L747" s="62" t="n">
        <v>0</v>
      </c>
      <c r="M747" s="61" t="n">
        <v>0.158908671530885</v>
      </c>
    </row>
    <row r="748" customFormat="false" ht="15" hidden="false" customHeight="true" outlineLevel="0" collapsed="false">
      <c r="A748" s="62" t="n">
        <v>722</v>
      </c>
      <c r="B748" s="59" t="n">
        <v>-0.0492217451627671</v>
      </c>
      <c r="C748" s="59" t="n">
        <v>0.320284085734158</v>
      </c>
      <c r="D748" s="59" t="n">
        <v>-0.942644821089874</v>
      </c>
      <c r="E748" s="60" t="n">
        <v>-0.0114189621902927</v>
      </c>
      <c r="F748" s="61" t="n">
        <v>0.188052002583485</v>
      </c>
      <c r="G748" s="55" t="n">
        <v>-46.7436891237551</v>
      </c>
      <c r="H748" s="62" t="n">
        <v>0</v>
      </c>
      <c r="I748" s="62" t="n">
        <v>0</v>
      </c>
      <c r="J748" s="62" t="n">
        <v>0</v>
      </c>
      <c r="K748" s="62" t="n">
        <v>0</v>
      </c>
      <c r="L748" s="62" t="n">
        <v>0</v>
      </c>
      <c r="M748" s="61" t="n">
        <v>0.160084638994185</v>
      </c>
    </row>
    <row r="749" customFormat="false" ht="15" hidden="false" customHeight="true" outlineLevel="0" collapsed="false">
      <c r="A749" s="62" t="n">
        <v>723</v>
      </c>
      <c r="B749" s="59" t="n">
        <v>-1.94138333796645</v>
      </c>
      <c r="C749" s="59" t="n">
        <v>-0.964329780684324</v>
      </c>
      <c r="D749" s="59" t="n">
        <v>-1.54632000209365</v>
      </c>
      <c r="E749" s="60" t="n">
        <v>-0.000656447408949129</v>
      </c>
      <c r="F749" s="61" t="n">
        <v>0.575995836019295</v>
      </c>
      <c r="G749" s="55" t="n">
        <v>704.80867161488</v>
      </c>
      <c r="H749" s="62" t="n">
        <v>13</v>
      </c>
      <c r="I749" s="62" t="n">
        <v>1</v>
      </c>
      <c r="J749" s="62" t="n">
        <v>1</v>
      </c>
      <c r="K749" s="62" t="n">
        <v>1</v>
      </c>
      <c r="L749" s="62" t="n">
        <v>1</v>
      </c>
      <c r="M749" s="61" t="n">
        <v>0.999999999999994</v>
      </c>
    </row>
    <row r="750" customFormat="false" ht="15" hidden="false" customHeight="true" outlineLevel="0" collapsed="false">
      <c r="A750" s="62" t="n">
        <v>724</v>
      </c>
      <c r="B750" s="59" t="n">
        <v>-0.46307050363827</v>
      </c>
      <c r="C750" s="59" t="n">
        <v>0.411530785596633</v>
      </c>
      <c r="D750" s="59" t="n">
        <v>0.715356712587352</v>
      </c>
      <c r="E750" s="60" t="n">
        <v>0.0162488131748614</v>
      </c>
      <c r="F750" s="61" t="n">
        <v>0.257033905108947</v>
      </c>
      <c r="G750" s="55" t="n">
        <v>166.082225290793</v>
      </c>
      <c r="H750" s="62" t="n">
        <v>0</v>
      </c>
      <c r="I750" s="62" t="n">
        <v>0</v>
      </c>
      <c r="J750" s="62" t="n">
        <v>0</v>
      </c>
      <c r="K750" s="62" t="n">
        <v>0</v>
      </c>
      <c r="L750" s="62" t="n">
        <v>0</v>
      </c>
      <c r="M750" s="61" t="n">
        <v>0.158717347470503</v>
      </c>
    </row>
    <row r="751" customFormat="false" ht="15" hidden="false" customHeight="true" outlineLevel="0" collapsed="false">
      <c r="A751" s="62" t="n">
        <v>725</v>
      </c>
      <c r="B751" s="59" t="n">
        <v>-0.148598796823418</v>
      </c>
      <c r="C751" s="59" t="n">
        <v>0.136317135890834</v>
      </c>
      <c r="D751" s="59" t="n">
        <v>-0.110591394891262</v>
      </c>
      <c r="E751" s="60" t="n">
        <v>-0.00580103204973855</v>
      </c>
      <c r="F751" s="61" t="n">
        <v>0.20342823400038</v>
      </c>
      <c r="G751" s="55" t="n">
        <v>-5.99305607883773</v>
      </c>
      <c r="H751" s="62" t="n">
        <v>0</v>
      </c>
      <c r="I751" s="62" t="n">
        <v>0</v>
      </c>
      <c r="J751" s="62" t="n">
        <v>0</v>
      </c>
      <c r="K751" s="62" t="n">
        <v>0</v>
      </c>
      <c r="L751" s="62" t="n">
        <v>0</v>
      </c>
      <c r="M751" s="61" t="n">
        <v>0.15849977420066</v>
      </c>
    </row>
    <row r="752" customFormat="false" ht="15" hidden="false" customHeight="true" outlineLevel="0" collapsed="false">
      <c r="A752" s="62" t="n">
        <v>726</v>
      </c>
      <c r="B752" s="59" t="n">
        <v>-1.07940957246109</v>
      </c>
      <c r="C752" s="59" t="n">
        <v>-1.3577092041391</v>
      </c>
      <c r="D752" s="59" t="n">
        <v>0.130704955079184</v>
      </c>
      <c r="E752" s="60" t="n">
        <v>-0.0233504003769748</v>
      </c>
      <c r="F752" s="61" t="n">
        <v>0.381056258125046</v>
      </c>
      <c r="G752" s="55" t="n">
        <v>-19.1026571464166</v>
      </c>
      <c r="H752" s="62" t="n">
        <v>0</v>
      </c>
      <c r="I752" s="62" t="n">
        <v>0</v>
      </c>
      <c r="J752" s="62" t="n">
        <v>0</v>
      </c>
      <c r="K752" s="62" t="n">
        <v>0</v>
      </c>
      <c r="L752" s="62" t="n">
        <v>0</v>
      </c>
      <c r="M752" s="61" t="n">
        <v>0.162622955839125</v>
      </c>
    </row>
    <row r="753" customFormat="false" ht="15" hidden="false" customHeight="true" outlineLevel="0" collapsed="false">
      <c r="A753" s="62" t="n">
        <v>727</v>
      </c>
      <c r="B753" s="59" t="n">
        <v>-0.347420411472739</v>
      </c>
      <c r="C753" s="59" t="n">
        <v>0.596002471720855</v>
      </c>
      <c r="D753" s="59" t="n">
        <v>-0.484909742360177</v>
      </c>
      <c r="E753" s="60" t="n">
        <v>-0.00269120649096185</v>
      </c>
      <c r="F753" s="61" t="n">
        <v>0.236466087657271</v>
      </c>
      <c r="G753" s="55" t="n">
        <v>28.5685776084621</v>
      </c>
      <c r="H753" s="62" t="n">
        <v>0</v>
      </c>
      <c r="I753" s="62" t="n">
        <v>0</v>
      </c>
      <c r="J753" s="62" t="n">
        <v>0</v>
      </c>
      <c r="K753" s="62" t="n">
        <v>0</v>
      </c>
      <c r="L753" s="62" t="n">
        <v>0</v>
      </c>
      <c r="M753" s="61" t="n">
        <v>0.159380423780468</v>
      </c>
    </row>
    <row r="754" customFormat="false" ht="15" hidden="false" customHeight="true" outlineLevel="0" collapsed="false">
      <c r="A754" s="62" t="n">
        <v>728</v>
      </c>
      <c r="B754" s="59" t="n">
        <v>-1.09995005719175</v>
      </c>
      <c r="C754" s="59" t="n">
        <v>-0.812709541103116</v>
      </c>
      <c r="D754" s="59" t="n">
        <v>-0.142692260862981</v>
      </c>
      <c r="E754" s="60" t="n">
        <v>-0.00464544818637283</v>
      </c>
      <c r="F754" s="61" t="n">
        <v>0.385529720493767</v>
      </c>
      <c r="G754" s="55" t="n">
        <v>85.2126562391133</v>
      </c>
      <c r="H754" s="62" t="n">
        <v>0</v>
      </c>
      <c r="I754" s="62" t="n">
        <v>0</v>
      </c>
      <c r="J754" s="62" t="n">
        <v>0</v>
      </c>
      <c r="K754" s="62" t="n">
        <v>0</v>
      </c>
      <c r="L754" s="62" t="n">
        <v>0</v>
      </c>
      <c r="M754" s="61" t="n">
        <v>0.162972197708035</v>
      </c>
    </row>
    <row r="755" customFormat="false" ht="15" hidden="false" customHeight="true" outlineLevel="0" collapsed="false">
      <c r="A755" s="62" t="n">
        <v>729</v>
      </c>
      <c r="B755" s="59" t="n">
        <v>0.301261942270685</v>
      </c>
      <c r="C755" s="59" t="n">
        <v>0.871619339563443</v>
      </c>
      <c r="D755" s="59" t="n">
        <v>-0.658506170965995</v>
      </c>
      <c r="E755" s="60" t="n">
        <v>-0.0223655652059306</v>
      </c>
      <c r="F755" s="61" t="n">
        <v>0.147849363003807</v>
      </c>
      <c r="G755" s="55" t="n">
        <v>-117.0077836871</v>
      </c>
      <c r="H755" s="62" t="n">
        <v>0</v>
      </c>
      <c r="I755" s="62" t="n">
        <v>0</v>
      </c>
      <c r="J755" s="62" t="n">
        <v>0</v>
      </c>
      <c r="K755" s="62" t="n">
        <v>0</v>
      </c>
      <c r="L755" s="62" t="n">
        <v>0</v>
      </c>
      <c r="M755" s="61" t="n">
        <v>0.159167312472572</v>
      </c>
    </row>
    <row r="756" customFormat="false" ht="15" hidden="false" customHeight="true" outlineLevel="0" collapsed="false">
      <c r="A756" s="62" t="n">
        <v>730</v>
      </c>
      <c r="B756" s="59" t="n">
        <v>-0.382210418128197</v>
      </c>
      <c r="C756" s="59" t="n">
        <v>0.62881746356436</v>
      </c>
      <c r="D756" s="59" t="n">
        <v>0.311886957017032</v>
      </c>
      <c r="E756" s="60" t="n">
        <v>-0.0298086324133464</v>
      </c>
      <c r="F756" s="61" t="n">
        <v>0.242551384145306</v>
      </c>
      <c r="G756" s="55" t="n">
        <v>-113.018628903935</v>
      </c>
      <c r="H756" s="62" t="n">
        <v>0</v>
      </c>
      <c r="I756" s="62" t="n">
        <v>0</v>
      </c>
      <c r="J756" s="62" t="n">
        <v>0</v>
      </c>
      <c r="K756" s="62" t="n">
        <v>0</v>
      </c>
      <c r="L756" s="62" t="n">
        <v>1</v>
      </c>
      <c r="M756" s="61" t="n">
        <v>0.361896758190368</v>
      </c>
    </row>
    <row r="757" customFormat="false" ht="15" hidden="false" customHeight="true" outlineLevel="0" collapsed="false">
      <c r="A757" s="62" t="n">
        <v>731</v>
      </c>
      <c r="B757" s="59" t="n">
        <v>-0.153828308792845</v>
      </c>
      <c r="C757" s="59" t="n">
        <v>0.796136816496578</v>
      </c>
      <c r="D757" s="59" t="n">
        <v>0.27115534823933</v>
      </c>
      <c r="E757" s="60" t="n">
        <v>-0.00688478799872939</v>
      </c>
      <c r="F757" s="61" t="n">
        <v>0.20425860263796</v>
      </c>
      <c r="G757" s="55" t="n">
        <v>-12.4354799485729</v>
      </c>
      <c r="H757" s="62" t="n">
        <v>0</v>
      </c>
      <c r="I757" s="62" t="n">
        <v>0</v>
      </c>
      <c r="J757" s="62" t="n">
        <v>0</v>
      </c>
      <c r="K757" s="62" t="n">
        <v>0</v>
      </c>
      <c r="L757" s="62" t="n">
        <v>0</v>
      </c>
      <c r="M757" s="61" t="n">
        <v>0.15840378045946</v>
      </c>
    </row>
    <row r="758" customFormat="false" ht="15" hidden="false" customHeight="true" outlineLevel="0" collapsed="false">
      <c r="A758" s="62" t="n">
        <v>732</v>
      </c>
      <c r="B758" s="59" t="n">
        <v>0.432764966311011</v>
      </c>
      <c r="C758" s="59" t="n">
        <v>0.452939741492118</v>
      </c>
      <c r="D758" s="59" t="n">
        <v>0.0341946370922566</v>
      </c>
      <c r="E758" s="60" t="n">
        <v>-0.00823798760065547</v>
      </c>
      <c r="F758" s="61" t="n">
        <v>0.134851591391401</v>
      </c>
      <c r="G758" s="55" t="n">
        <v>-32.837292162126</v>
      </c>
      <c r="H758" s="62" t="n">
        <v>0</v>
      </c>
      <c r="I758" s="62" t="n">
        <v>0</v>
      </c>
      <c r="J758" s="62" t="n">
        <v>0</v>
      </c>
      <c r="K758" s="62" t="n">
        <v>0</v>
      </c>
      <c r="L758" s="62" t="n">
        <v>0</v>
      </c>
      <c r="M758" s="61" t="n">
        <v>0.158402847561654</v>
      </c>
    </row>
    <row r="759" customFormat="false" ht="15" hidden="false" customHeight="true" outlineLevel="0" collapsed="false">
      <c r="A759" s="62" t="n">
        <v>733</v>
      </c>
      <c r="B759" s="59" t="n">
        <v>0.0709430175057526</v>
      </c>
      <c r="C759" s="59" t="n">
        <v>0.482700564989933</v>
      </c>
      <c r="D759" s="59" t="n">
        <v>0.386692091038955</v>
      </c>
      <c r="E759" s="60" t="n">
        <v>-0.00181863290631725</v>
      </c>
      <c r="F759" s="61" t="n">
        <v>0.172591396699908</v>
      </c>
      <c r="G759" s="55" t="n">
        <v>5.36889616513349</v>
      </c>
      <c r="H759" s="62" t="n">
        <v>0</v>
      </c>
      <c r="I759" s="62" t="n">
        <v>0</v>
      </c>
      <c r="J759" s="62" t="n">
        <v>0</v>
      </c>
      <c r="K759" s="62" t="n">
        <v>0</v>
      </c>
      <c r="L759" s="62" t="n">
        <v>0</v>
      </c>
      <c r="M759" s="61" t="n">
        <v>0.158403013735257</v>
      </c>
    </row>
    <row r="760" customFormat="false" ht="15" hidden="false" customHeight="true" outlineLevel="0" collapsed="false">
      <c r="A760" s="62" t="n">
        <v>734</v>
      </c>
      <c r="B760" s="59" t="n">
        <v>-1.18671400391978</v>
      </c>
      <c r="C760" s="59" t="n">
        <v>-0.766392154444937</v>
      </c>
      <c r="D760" s="59" t="n">
        <v>-0.794641952003908</v>
      </c>
      <c r="E760" s="60" t="n">
        <v>-0.00488787149675721</v>
      </c>
      <c r="F760" s="61" t="n">
        <v>0.404602464368199</v>
      </c>
      <c r="G760" s="55" t="n">
        <v>116.32798467503</v>
      </c>
      <c r="H760" s="62" t="n">
        <v>0</v>
      </c>
      <c r="I760" s="62" t="n">
        <v>0</v>
      </c>
      <c r="J760" s="62" t="n">
        <v>0</v>
      </c>
      <c r="K760" s="62" t="n">
        <v>0</v>
      </c>
      <c r="L760" s="62" t="n">
        <v>0</v>
      </c>
      <c r="M760" s="61" t="n">
        <v>0.215150443898323</v>
      </c>
    </row>
    <row r="761" customFormat="false" ht="15" hidden="false" customHeight="true" outlineLevel="0" collapsed="false">
      <c r="A761" s="62" t="n">
        <v>735</v>
      </c>
      <c r="B761" s="59" t="n">
        <v>0.077962127251663</v>
      </c>
      <c r="C761" s="59" t="n">
        <v>0.139856159633734</v>
      </c>
      <c r="D761" s="59" t="n">
        <v>0.543408011829593</v>
      </c>
      <c r="E761" s="60" t="n">
        <v>-0.0108781711951378</v>
      </c>
      <c r="F761" s="61" t="n">
        <v>0.171800032109543</v>
      </c>
      <c r="G761" s="55" t="n">
        <v>-48.3287128200505</v>
      </c>
      <c r="H761" s="62" t="n">
        <v>0</v>
      </c>
      <c r="I761" s="62" t="n">
        <v>0</v>
      </c>
      <c r="J761" s="62" t="n">
        <v>0</v>
      </c>
      <c r="K761" s="62" t="n">
        <v>0</v>
      </c>
      <c r="L761" s="62" t="n">
        <v>0</v>
      </c>
      <c r="M761" s="61" t="n">
        <v>0.158403004873812</v>
      </c>
    </row>
    <row r="762" customFormat="false" ht="15" hidden="false" customHeight="true" outlineLevel="0" collapsed="false">
      <c r="A762" s="62" t="n">
        <v>736</v>
      </c>
      <c r="B762" s="59" t="n">
        <v>0.718555239687971</v>
      </c>
      <c r="C762" s="59" t="n">
        <v>1.20841320475894</v>
      </c>
      <c r="D762" s="59" t="n">
        <v>-1.30496948356353</v>
      </c>
      <c r="E762" s="60" t="n">
        <v>0.00906176958959253</v>
      </c>
      <c r="F762" s="61" t="n">
        <v>0.109380008667782</v>
      </c>
      <c r="G762" s="55" t="n">
        <v>81.0375217433474</v>
      </c>
      <c r="H762" s="62" t="n">
        <v>0</v>
      </c>
      <c r="I762" s="62" t="n">
        <v>0</v>
      </c>
      <c r="J762" s="62" t="n">
        <v>0</v>
      </c>
      <c r="K762" s="62" t="n">
        <v>0</v>
      </c>
      <c r="L762" s="62" t="n">
        <v>0</v>
      </c>
      <c r="M762" s="61" t="n">
        <v>0.160875001789926</v>
      </c>
    </row>
    <row r="763" customFormat="false" ht="15" hidden="false" customHeight="true" outlineLevel="0" collapsed="false">
      <c r="A763" s="62" t="n">
        <v>737</v>
      </c>
      <c r="B763" s="59" t="n">
        <v>-0.683874830218582</v>
      </c>
      <c r="C763" s="59" t="n">
        <v>0.979920730627498</v>
      </c>
      <c r="D763" s="59" t="n">
        <v>-1.10530126296746</v>
      </c>
      <c r="E763" s="60" t="n">
        <v>0.0205719819968538</v>
      </c>
      <c r="F763" s="61" t="n">
        <v>0.298878741753865</v>
      </c>
      <c r="G763" s="55" t="n">
        <v>218.174385134383</v>
      </c>
      <c r="H763" s="62" t="n">
        <v>0</v>
      </c>
      <c r="I763" s="62" t="n">
        <v>0</v>
      </c>
      <c r="J763" s="62" t="n">
        <v>0</v>
      </c>
      <c r="K763" s="62" t="n">
        <v>0</v>
      </c>
      <c r="L763" s="62" t="n">
        <v>0</v>
      </c>
      <c r="M763" s="61" t="n">
        <v>0.166449881669493</v>
      </c>
    </row>
    <row r="764" customFormat="false" ht="15" hidden="false" customHeight="true" outlineLevel="0" collapsed="false">
      <c r="A764" s="62" t="n">
        <v>738</v>
      </c>
      <c r="B764" s="59" t="n">
        <v>0.280296504475435</v>
      </c>
      <c r="C764" s="59" t="n">
        <v>-0.0432657842342483</v>
      </c>
      <c r="D764" s="59" t="n">
        <v>0.0138769622763707</v>
      </c>
      <c r="E764" s="60" t="n">
        <v>-0.00224986008676338</v>
      </c>
      <c r="F764" s="61" t="n">
        <v>0.14999716149677</v>
      </c>
      <c r="G764" s="55" t="n">
        <v>4.0785327527851</v>
      </c>
      <c r="H764" s="62" t="n">
        <v>0</v>
      </c>
      <c r="I764" s="62" t="n">
        <v>0</v>
      </c>
      <c r="J764" s="62" t="n">
        <v>0</v>
      </c>
      <c r="K764" s="62" t="n">
        <v>0</v>
      </c>
      <c r="L764" s="62" t="n">
        <v>0</v>
      </c>
      <c r="M764" s="61" t="n">
        <v>0.158402847561654</v>
      </c>
    </row>
    <row r="765" customFormat="false" ht="15" hidden="false" customHeight="true" outlineLevel="0" collapsed="false">
      <c r="A765" s="62" t="n">
        <v>739</v>
      </c>
      <c r="B765" s="59" t="n">
        <v>-1.58483637198457</v>
      </c>
      <c r="C765" s="59" t="n">
        <v>-1.45317814241818</v>
      </c>
      <c r="D765" s="59" t="n">
        <v>0.281054698916531</v>
      </c>
      <c r="E765" s="60" t="n">
        <v>0.00473110827004265</v>
      </c>
      <c r="F765" s="61" t="n">
        <v>0.494646021525451</v>
      </c>
      <c r="G765" s="55" t="n">
        <v>220.675946213447</v>
      </c>
      <c r="H765" s="62" t="n">
        <v>0</v>
      </c>
      <c r="I765" s="62" t="n">
        <v>0</v>
      </c>
      <c r="J765" s="62" t="n">
        <v>0</v>
      </c>
      <c r="K765" s="62" t="n">
        <v>0</v>
      </c>
      <c r="L765" s="62" t="n">
        <v>0</v>
      </c>
      <c r="M765" s="61" t="n">
        <v>0.310765887976461</v>
      </c>
    </row>
    <row r="766" customFormat="false" ht="15" hidden="false" customHeight="true" outlineLevel="0" collapsed="false">
      <c r="A766" s="62" t="n">
        <v>740</v>
      </c>
      <c r="B766" s="59" t="n">
        <v>-0.632689186560633</v>
      </c>
      <c r="C766" s="59" t="n">
        <v>-1.38057529733848</v>
      </c>
      <c r="D766" s="59" t="n">
        <v>-0.830236318734714</v>
      </c>
      <c r="E766" s="60" t="n">
        <v>-0.0143853689059893</v>
      </c>
      <c r="F766" s="61" t="n">
        <v>0.288891892126584</v>
      </c>
      <c r="G766" s="55" t="n">
        <v>7.00039054462142</v>
      </c>
      <c r="H766" s="62" t="n">
        <v>0</v>
      </c>
      <c r="I766" s="62" t="n">
        <v>0</v>
      </c>
      <c r="J766" s="62" t="n">
        <v>0</v>
      </c>
      <c r="K766" s="62" t="n">
        <v>0</v>
      </c>
      <c r="L766" s="62" t="n">
        <v>0</v>
      </c>
      <c r="M766" s="61" t="n">
        <v>0.164937425147374</v>
      </c>
    </row>
    <row r="767" customFormat="false" ht="15" hidden="false" customHeight="true" outlineLevel="0" collapsed="false">
      <c r="A767" s="62" t="n">
        <v>741</v>
      </c>
      <c r="B767" s="59" t="n">
        <v>-0.304756463506631</v>
      </c>
      <c r="C767" s="59" t="n">
        <v>-0.696790599639804</v>
      </c>
      <c r="D767" s="59" t="n">
        <v>0.0729316945168451</v>
      </c>
      <c r="E767" s="60" t="n">
        <v>0.00288181245193744</v>
      </c>
      <c r="F767" s="61" t="n">
        <v>0.229125476093001</v>
      </c>
      <c r="G767" s="55" t="n">
        <v>71.5500829746588</v>
      </c>
      <c r="H767" s="62" t="n">
        <v>0</v>
      </c>
      <c r="I767" s="62" t="n">
        <v>0</v>
      </c>
      <c r="J767" s="62" t="n">
        <v>0</v>
      </c>
      <c r="K767" s="62" t="n">
        <v>0</v>
      </c>
      <c r="L767" s="62" t="n">
        <v>0</v>
      </c>
      <c r="M767" s="61" t="n">
        <v>0.15867341829998</v>
      </c>
    </row>
    <row r="768" customFormat="false" ht="15" hidden="false" customHeight="true" outlineLevel="0" collapsed="false">
      <c r="A768" s="62" t="n">
        <v>742</v>
      </c>
      <c r="B768" s="59" t="n">
        <v>0.105105436146483</v>
      </c>
      <c r="C768" s="59" t="n">
        <v>-0.702518096997167</v>
      </c>
      <c r="D768" s="59" t="n">
        <v>-0.251104180802964</v>
      </c>
      <c r="E768" s="60" t="n">
        <v>0.0102873487371964</v>
      </c>
      <c r="F768" s="61" t="n">
        <v>0.168761872424856</v>
      </c>
      <c r="G768" s="55" t="n">
        <v>102.855072046322</v>
      </c>
      <c r="H768" s="62" t="n">
        <v>0</v>
      </c>
      <c r="I768" s="62" t="n">
        <v>0</v>
      </c>
      <c r="J768" s="62" t="n">
        <v>0</v>
      </c>
      <c r="K768" s="62" t="n">
        <v>0</v>
      </c>
      <c r="L768" s="62" t="n">
        <v>0</v>
      </c>
      <c r="M768" s="61" t="n">
        <v>0.158632750326776</v>
      </c>
    </row>
    <row r="769" customFormat="false" ht="15" hidden="false" customHeight="true" outlineLevel="0" collapsed="false">
      <c r="A769" s="62" t="n">
        <v>743</v>
      </c>
      <c r="B769" s="59" t="n">
        <v>-0.268595251535481</v>
      </c>
      <c r="C769" s="59" t="n">
        <v>0.852773451157874</v>
      </c>
      <c r="D769" s="59" t="n">
        <v>-0.705849686510736</v>
      </c>
      <c r="E769" s="60" t="n">
        <v>0.00514956742739124</v>
      </c>
      <c r="F769" s="61" t="n">
        <v>0.223010108480152</v>
      </c>
      <c r="G769" s="55" t="n">
        <v>73.7612510802844</v>
      </c>
      <c r="H769" s="62" t="n">
        <v>0</v>
      </c>
      <c r="I769" s="62" t="n">
        <v>0</v>
      </c>
      <c r="J769" s="62" t="n">
        <v>0</v>
      </c>
      <c r="K769" s="62" t="n">
        <v>0</v>
      </c>
      <c r="L769" s="62" t="n">
        <v>0</v>
      </c>
      <c r="M769" s="61" t="n">
        <v>0.159786154478373</v>
      </c>
    </row>
    <row r="770" customFormat="false" ht="15" hidden="false" customHeight="true" outlineLevel="0" collapsed="false">
      <c r="A770" s="62" t="n">
        <v>744</v>
      </c>
      <c r="B770" s="59" t="n">
        <v>0.063413043703555</v>
      </c>
      <c r="C770" s="59" t="n">
        <v>0.825252404093695</v>
      </c>
      <c r="D770" s="59" t="n">
        <v>-0.488002221353292</v>
      </c>
      <c r="E770" s="60" t="n">
        <v>0.00553998182617859</v>
      </c>
      <c r="F770" s="61" t="n">
        <v>0.17344296786732</v>
      </c>
      <c r="G770" s="55" t="n">
        <v>54.3629112038451</v>
      </c>
      <c r="H770" s="62" t="n">
        <v>0</v>
      </c>
      <c r="I770" s="62" t="n">
        <v>0</v>
      </c>
      <c r="J770" s="62" t="n">
        <v>0</v>
      </c>
      <c r="K770" s="62" t="n">
        <v>0</v>
      </c>
      <c r="L770" s="62" t="n">
        <v>0</v>
      </c>
      <c r="M770" s="61" t="n">
        <v>0.158918110331364</v>
      </c>
    </row>
    <row r="771" customFormat="false" ht="15" hidden="false" customHeight="true" outlineLevel="0" collapsed="false">
      <c r="A771" s="62" t="n">
        <v>745</v>
      </c>
      <c r="B771" s="59" t="n">
        <v>-0.852295248597895</v>
      </c>
      <c r="C771" s="59" t="n">
        <v>0.800593150728089</v>
      </c>
      <c r="D771" s="59" t="n">
        <v>-1.06282677868873</v>
      </c>
      <c r="E771" s="60" t="n">
        <v>-0.00793039482223225</v>
      </c>
      <c r="F771" s="61" t="n">
        <v>0.332858446360157</v>
      </c>
      <c r="G771" s="55" t="n">
        <v>43.5237653576523</v>
      </c>
      <c r="H771" s="62" t="n">
        <v>0</v>
      </c>
      <c r="I771" s="62" t="n">
        <v>0</v>
      </c>
      <c r="J771" s="62" t="n">
        <v>0</v>
      </c>
      <c r="K771" s="62" t="n">
        <v>0</v>
      </c>
      <c r="L771" s="62" t="n">
        <v>0</v>
      </c>
      <c r="M771" s="61" t="n">
        <v>0.168469278043898</v>
      </c>
    </row>
    <row r="772" customFormat="false" ht="15" hidden="false" customHeight="true" outlineLevel="0" collapsed="false">
      <c r="A772" s="62" t="n">
        <v>746</v>
      </c>
      <c r="B772" s="59" t="n">
        <v>-1.60948624450295</v>
      </c>
      <c r="C772" s="59" t="n">
        <v>-1.1641472351302</v>
      </c>
      <c r="D772" s="59" t="n">
        <v>-0.1458189971473</v>
      </c>
      <c r="E772" s="60" t="n">
        <v>-0.00168663386560361</v>
      </c>
      <c r="F772" s="61" t="n">
        <v>0.5002925692665</v>
      </c>
      <c r="G772" s="55" t="n">
        <v>189.834449729001</v>
      </c>
      <c r="H772" s="62" t="n">
        <v>0</v>
      </c>
      <c r="I772" s="62" t="n">
        <v>0</v>
      </c>
      <c r="J772" s="62" t="n">
        <v>0</v>
      </c>
      <c r="K772" s="62" t="n">
        <v>0</v>
      </c>
      <c r="L772" s="62" t="n">
        <v>0</v>
      </c>
      <c r="M772" s="61" t="n">
        <v>0.316679019070465</v>
      </c>
    </row>
    <row r="773" customFormat="false" ht="15" hidden="false" customHeight="true" outlineLevel="0" collapsed="false">
      <c r="A773" s="62" t="n">
        <v>747</v>
      </c>
      <c r="B773" s="59" t="n">
        <v>0.0457633231802366</v>
      </c>
      <c r="C773" s="59" t="n">
        <v>0.854642732386771</v>
      </c>
      <c r="D773" s="59" t="n">
        <v>0.246136770825641</v>
      </c>
      <c r="E773" s="60" t="n">
        <v>0.00436415026281374</v>
      </c>
      <c r="F773" s="61" t="n">
        <v>0.175449572914203</v>
      </c>
      <c r="G773" s="55" t="n">
        <v>46.1492130506257</v>
      </c>
      <c r="H773" s="62" t="n">
        <v>0</v>
      </c>
      <c r="I773" s="62" t="n">
        <v>0</v>
      </c>
      <c r="J773" s="62" t="n">
        <v>0</v>
      </c>
      <c r="K773" s="62" t="n">
        <v>0</v>
      </c>
      <c r="L773" s="62" t="n">
        <v>0</v>
      </c>
      <c r="M773" s="61" t="n">
        <v>0.158403045728736</v>
      </c>
    </row>
    <row r="774" customFormat="false" ht="15" hidden="false" customHeight="true" outlineLevel="0" collapsed="false">
      <c r="A774" s="62" t="n">
        <v>748</v>
      </c>
      <c r="B774" s="59" t="n">
        <v>0.911270256165325</v>
      </c>
      <c r="C774" s="59" t="n">
        <v>0.577691417635829</v>
      </c>
      <c r="D774" s="59" t="n">
        <v>0.00979687677076094</v>
      </c>
      <c r="E774" s="60" t="n">
        <v>-0.00314026047514091</v>
      </c>
      <c r="F774" s="61" t="n">
        <v>0.0942829267947273</v>
      </c>
      <c r="G774" s="55" t="n">
        <v>-2.5513362145586</v>
      </c>
      <c r="H774" s="62" t="n">
        <v>0</v>
      </c>
      <c r="I774" s="62" t="n">
        <v>0</v>
      </c>
      <c r="J774" s="62" t="n">
        <v>0</v>
      </c>
      <c r="K774" s="62" t="n">
        <v>0</v>
      </c>
      <c r="L774" s="62" t="n">
        <v>0</v>
      </c>
      <c r="M774" s="61" t="n">
        <v>0.158402847561654</v>
      </c>
    </row>
    <row r="775" customFormat="false" ht="15" hidden="false" customHeight="true" outlineLevel="0" collapsed="false">
      <c r="A775" s="62" t="n">
        <v>749</v>
      </c>
      <c r="B775" s="59" t="n">
        <v>0.397028157207011</v>
      </c>
      <c r="C775" s="59" t="n">
        <v>1.40787456683405</v>
      </c>
      <c r="D775" s="59" t="n">
        <v>-0.184586853232312</v>
      </c>
      <c r="E775" s="60" t="n">
        <v>0.00509457588934971</v>
      </c>
      <c r="F775" s="61" t="n">
        <v>0.138303161880481</v>
      </c>
      <c r="G775" s="55" t="n">
        <v>51.0929258681128</v>
      </c>
      <c r="H775" s="62" t="n">
        <v>0</v>
      </c>
      <c r="I775" s="62" t="n">
        <v>0</v>
      </c>
      <c r="J775" s="62" t="n">
        <v>0</v>
      </c>
      <c r="K775" s="62" t="n">
        <v>0</v>
      </c>
      <c r="L775" s="62" t="n">
        <v>0</v>
      </c>
      <c r="M775" s="61" t="n">
        <v>0.1585644388557</v>
      </c>
    </row>
    <row r="776" customFormat="false" ht="15" hidden="false" customHeight="true" outlineLevel="0" collapsed="false">
      <c r="A776" s="62" t="n">
        <v>750</v>
      </c>
      <c r="B776" s="59" t="n">
        <v>0.0706826225550769</v>
      </c>
      <c r="C776" s="59" t="n">
        <v>-0.348530751209291</v>
      </c>
      <c r="D776" s="59" t="n">
        <v>-0.595235235937949</v>
      </c>
      <c r="E776" s="60" t="n">
        <v>-0.0031116801460219</v>
      </c>
      <c r="F776" s="61" t="n">
        <v>0.172620799899572</v>
      </c>
      <c r="G776" s="55" t="n">
        <v>5.52624492404103</v>
      </c>
      <c r="H776" s="62" t="n">
        <v>0</v>
      </c>
      <c r="I776" s="62" t="n">
        <v>0</v>
      </c>
      <c r="J776" s="62" t="n">
        <v>0</v>
      </c>
      <c r="K776" s="62" t="n">
        <v>0</v>
      </c>
      <c r="L776" s="62" t="n">
        <v>0</v>
      </c>
      <c r="M776" s="61" t="n">
        <v>0.159076037140935</v>
      </c>
    </row>
    <row r="777" customFormat="false" ht="15" hidden="false" customHeight="true" outlineLevel="0" collapsed="false">
      <c r="A777" s="62" t="n">
        <v>751</v>
      </c>
      <c r="B777" s="59" t="n">
        <v>0.760916410417688</v>
      </c>
      <c r="C777" s="59" t="n">
        <v>1.90323484058573</v>
      </c>
      <c r="D777" s="59" t="n">
        <v>-0.707888130461609</v>
      </c>
      <c r="E777" s="60" t="n">
        <v>0.0207813902459344</v>
      </c>
      <c r="F777" s="61" t="n">
        <v>0.105920910568464</v>
      </c>
      <c r="G777" s="55" t="n">
        <v>159.501578420163</v>
      </c>
      <c r="H777" s="62" t="n">
        <v>0</v>
      </c>
      <c r="I777" s="62" t="n">
        <v>0</v>
      </c>
      <c r="J777" s="62" t="n">
        <v>0</v>
      </c>
      <c r="K777" s="62" t="n">
        <v>0</v>
      </c>
      <c r="L777" s="62" t="n">
        <v>0</v>
      </c>
      <c r="M777" s="61" t="n">
        <v>0.159238253325561</v>
      </c>
    </row>
    <row r="778" customFormat="false" ht="15" hidden="false" customHeight="true" outlineLevel="0" collapsed="false">
      <c r="A778" s="62" t="n">
        <v>752</v>
      </c>
      <c r="B778" s="59" t="n">
        <v>-0.0233501049205038</v>
      </c>
      <c r="C778" s="59" t="n">
        <v>0.0294993599028361</v>
      </c>
      <c r="D778" s="59" t="n">
        <v>-0.235920657573764</v>
      </c>
      <c r="E778" s="60" t="n">
        <v>-0.00588299576518266</v>
      </c>
      <c r="F778" s="61" t="n">
        <v>0.184175325915431</v>
      </c>
      <c r="G778" s="55" t="n">
        <v>-16.547024398873</v>
      </c>
      <c r="H778" s="62" t="n">
        <v>0</v>
      </c>
      <c r="I778" s="62" t="n">
        <v>0</v>
      </c>
      <c r="J778" s="62" t="n">
        <v>0</v>
      </c>
      <c r="K778" s="62" t="n">
        <v>0</v>
      </c>
      <c r="L778" s="62" t="n">
        <v>0</v>
      </c>
      <c r="M778" s="61" t="n">
        <v>0.158617468985437</v>
      </c>
    </row>
    <row r="779" customFormat="false" ht="15" hidden="false" customHeight="true" outlineLevel="0" collapsed="false">
      <c r="A779" s="62" t="n">
        <v>753</v>
      </c>
      <c r="B779" s="59" t="n">
        <v>-0.686683013857582</v>
      </c>
      <c r="C779" s="59" t="n">
        <v>-0.325055094724227</v>
      </c>
      <c r="D779" s="59" t="n">
        <v>-0.411225036062985</v>
      </c>
      <c r="E779" s="60" t="n">
        <v>-0.00694251795326596</v>
      </c>
      <c r="F779" s="61" t="n">
        <v>0.299431426695774</v>
      </c>
      <c r="G779" s="55" t="n">
        <v>52.7495172204252</v>
      </c>
      <c r="H779" s="62" t="n">
        <v>0</v>
      </c>
      <c r="I779" s="62" t="n">
        <v>0</v>
      </c>
      <c r="J779" s="62" t="n">
        <v>0</v>
      </c>
      <c r="K779" s="62" t="n">
        <v>0</v>
      </c>
      <c r="L779" s="62" t="n">
        <v>1</v>
      </c>
      <c r="M779" s="61" t="n">
        <v>0.367483699107422</v>
      </c>
    </row>
    <row r="780" customFormat="false" ht="15" hidden="false" customHeight="true" outlineLevel="0" collapsed="false">
      <c r="A780" s="62" t="n">
        <v>754</v>
      </c>
      <c r="B780" s="59" t="n">
        <v>-0.390066387510856</v>
      </c>
      <c r="C780" s="59" t="n">
        <v>-0.497115252187227</v>
      </c>
      <c r="D780" s="59" t="n">
        <v>-0.4964530416171</v>
      </c>
      <c r="E780" s="60" t="n">
        <v>0.00229580742486123</v>
      </c>
      <c r="F780" s="61" t="n">
        <v>0.243937760662948</v>
      </c>
      <c r="G780" s="55" t="n">
        <v>68.7849125325466</v>
      </c>
      <c r="H780" s="62" t="n">
        <v>0</v>
      </c>
      <c r="I780" s="62" t="n">
        <v>0</v>
      </c>
      <c r="J780" s="62" t="n">
        <v>0</v>
      </c>
      <c r="K780" s="62" t="n">
        <v>0</v>
      </c>
      <c r="L780" s="62" t="n">
        <v>0</v>
      </c>
      <c r="M780" s="61" t="n">
        <v>0.159480278443895</v>
      </c>
    </row>
    <row r="781" customFormat="false" ht="15" hidden="false" customHeight="true" outlineLevel="0" collapsed="false">
      <c r="A781" s="62" t="n">
        <v>755</v>
      </c>
      <c r="B781" s="59" t="n">
        <v>1.18276709502986</v>
      </c>
      <c r="C781" s="59" t="n">
        <v>1.47118905549804</v>
      </c>
      <c r="D781" s="59" t="n">
        <v>1.22558475937457</v>
      </c>
      <c r="E781" s="60" t="n">
        <v>0.00183161935031909</v>
      </c>
      <c r="F781" s="61" t="n">
        <v>0.0757008408801181</v>
      </c>
      <c r="G781" s="55" t="n">
        <v>45.6561234375773</v>
      </c>
      <c r="H781" s="62" t="n">
        <v>0</v>
      </c>
      <c r="I781" s="62" t="n">
        <v>0</v>
      </c>
      <c r="J781" s="62" t="n">
        <v>0</v>
      </c>
      <c r="K781" s="62" t="n">
        <v>0</v>
      </c>
      <c r="L781" s="62" t="n">
        <v>1</v>
      </c>
      <c r="M781" s="61" t="n">
        <v>0.361450124073559</v>
      </c>
    </row>
    <row r="782" customFormat="false" ht="15" hidden="false" customHeight="true" outlineLevel="0" collapsed="false">
      <c r="A782" s="62" t="n">
        <v>756</v>
      </c>
      <c r="B782" s="59" t="n">
        <v>-1.04341531715042</v>
      </c>
      <c r="C782" s="59" t="n">
        <v>-1.84324086734921</v>
      </c>
      <c r="D782" s="59" t="n">
        <v>-1.2289677838339</v>
      </c>
      <c r="E782" s="60" t="n">
        <v>-0.00117586182881505</v>
      </c>
      <c r="F782" s="61" t="n">
        <v>0.373258930142803</v>
      </c>
      <c r="G782" s="55" t="n">
        <v>175.686429520127</v>
      </c>
      <c r="H782" s="62" t="n">
        <v>0</v>
      </c>
      <c r="I782" s="62" t="n">
        <v>0</v>
      </c>
      <c r="J782" s="62" t="n">
        <v>0</v>
      </c>
      <c r="K782" s="62" t="n">
        <v>0</v>
      </c>
      <c r="L782" s="62" t="n">
        <v>0</v>
      </c>
      <c r="M782" s="61" t="n">
        <v>0.236325355432067</v>
      </c>
    </row>
    <row r="783" customFormat="false" ht="15" hidden="false" customHeight="true" outlineLevel="0" collapsed="false">
      <c r="A783" s="62" t="n">
        <v>757</v>
      </c>
      <c r="B783" s="59" t="n">
        <v>-0.605851755394502</v>
      </c>
      <c r="C783" s="59" t="n">
        <v>-0.223072957473105</v>
      </c>
      <c r="D783" s="59" t="n">
        <v>-0.88132779361019</v>
      </c>
      <c r="E783" s="60" t="n">
        <v>-0.00825022036754464</v>
      </c>
      <c r="F783" s="61" t="n">
        <v>0.28372282111263</v>
      </c>
      <c r="G783" s="55" t="n">
        <v>20.1277418200378</v>
      </c>
      <c r="H783" s="62" t="n">
        <v>0</v>
      </c>
      <c r="I783" s="62" t="n">
        <v>0</v>
      </c>
      <c r="J783" s="62" t="n">
        <v>0</v>
      </c>
      <c r="K783" s="62" t="n">
        <v>0</v>
      </c>
      <c r="L783" s="62" t="n">
        <v>0</v>
      </c>
      <c r="M783" s="61" t="n">
        <v>0.164144426596986</v>
      </c>
    </row>
    <row r="784" customFormat="false" ht="15" hidden="false" customHeight="true" outlineLevel="0" collapsed="false">
      <c r="A784" s="62" t="n">
        <v>758</v>
      </c>
      <c r="B784" s="59" t="n">
        <v>-0.313777099163244</v>
      </c>
      <c r="C784" s="59" t="n">
        <v>-0.0529845466734536</v>
      </c>
      <c r="D784" s="59" t="n">
        <v>0.150366299424665</v>
      </c>
      <c r="E784" s="60" t="n">
        <v>0.00580883420042109</v>
      </c>
      <c r="F784" s="61" t="n">
        <v>0.230666255255731</v>
      </c>
      <c r="G784" s="55" t="n">
        <v>82.448927058186</v>
      </c>
      <c r="H784" s="62" t="n">
        <v>0</v>
      </c>
      <c r="I784" s="62" t="n">
        <v>0</v>
      </c>
      <c r="J784" s="62" t="n">
        <v>0</v>
      </c>
      <c r="K784" s="62" t="n">
        <v>0</v>
      </c>
      <c r="L784" s="62" t="n">
        <v>0</v>
      </c>
      <c r="M784" s="61" t="n">
        <v>0.158418952055462</v>
      </c>
    </row>
    <row r="785" customFormat="false" ht="15" hidden="false" customHeight="true" outlineLevel="0" collapsed="false">
      <c r="A785" s="62" t="n">
        <v>759</v>
      </c>
      <c r="B785" s="59" t="n">
        <v>-1.4378497303902</v>
      </c>
      <c r="C785" s="59" t="n">
        <v>-1.15954025863911</v>
      </c>
      <c r="D785" s="59" t="n">
        <v>-1.46476875166799</v>
      </c>
      <c r="E785" s="60" t="n">
        <v>-0.0120018871483634</v>
      </c>
      <c r="F785" s="61" t="n">
        <v>0.461069384774234</v>
      </c>
      <c r="G785" s="55" t="n">
        <v>487.126519155075</v>
      </c>
      <c r="H785" s="62" t="n">
        <v>10</v>
      </c>
      <c r="I785" s="62" t="n">
        <v>0</v>
      </c>
      <c r="J785" s="62" t="n">
        <v>0</v>
      </c>
      <c r="K785" s="62" t="n">
        <v>1</v>
      </c>
      <c r="L785" s="62" t="n">
        <v>1</v>
      </c>
      <c r="M785" s="61" t="n">
        <v>0.999999903898325</v>
      </c>
    </row>
    <row r="786" customFormat="false" ht="15" hidden="false" customHeight="true" outlineLevel="0" collapsed="false">
      <c r="A786" s="62" t="n">
        <v>760</v>
      </c>
      <c r="B786" s="59" t="n">
        <v>-0.765403662670633</v>
      </c>
      <c r="C786" s="59" t="n">
        <v>-0.212841820574068</v>
      </c>
      <c r="D786" s="59" t="n">
        <v>0.147192484479424</v>
      </c>
      <c r="E786" s="60" t="n">
        <v>0.0124362623895359</v>
      </c>
      <c r="F786" s="61" t="n">
        <v>0.315120596584639</v>
      </c>
      <c r="G786" s="55" t="n">
        <v>165.845812160155</v>
      </c>
      <c r="H786" s="62" t="n">
        <v>0</v>
      </c>
      <c r="I786" s="62" t="n">
        <v>0</v>
      </c>
      <c r="J786" s="62" t="n">
        <v>0</v>
      </c>
      <c r="K786" s="62" t="n">
        <v>0</v>
      </c>
      <c r="L786" s="62" t="n">
        <v>0</v>
      </c>
      <c r="M786" s="61" t="n">
        <v>0.158849261456128</v>
      </c>
    </row>
    <row r="787" customFormat="false" ht="15" hidden="false" customHeight="true" outlineLevel="0" collapsed="false">
      <c r="A787" s="62" t="n">
        <v>761</v>
      </c>
      <c r="B787" s="59" t="n">
        <v>-0.502566915536005</v>
      </c>
      <c r="C787" s="59" t="n">
        <v>0.723669450579484</v>
      </c>
      <c r="D787" s="59" t="n">
        <v>-0.731209604420599</v>
      </c>
      <c r="E787" s="60" t="n">
        <v>0.0015107464495013</v>
      </c>
      <c r="F787" s="61" t="n">
        <v>0.264276720222727</v>
      </c>
      <c r="G787" s="55" t="n">
        <v>67.9264852220985</v>
      </c>
      <c r="H787" s="62" t="n">
        <v>0</v>
      </c>
      <c r="I787" s="62" t="n">
        <v>0</v>
      </c>
      <c r="J787" s="62" t="n">
        <v>0</v>
      </c>
      <c r="K787" s="62" t="n">
        <v>0</v>
      </c>
      <c r="L787" s="62" t="n">
        <v>0</v>
      </c>
      <c r="M787" s="61" t="n">
        <v>0.160204758198113</v>
      </c>
    </row>
    <row r="788" customFormat="false" ht="15" hidden="false" customHeight="true" outlineLevel="0" collapsed="false">
      <c r="A788" s="62" t="n">
        <v>762</v>
      </c>
      <c r="B788" s="59" t="n">
        <v>0.560227338072037</v>
      </c>
      <c r="C788" s="59" t="n">
        <v>-0.201960915178295</v>
      </c>
      <c r="D788" s="59" t="n">
        <v>0.343160714543482</v>
      </c>
      <c r="E788" s="60" t="n">
        <v>0.0247658880745006</v>
      </c>
      <c r="F788" s="61" t="n">
        <v>0.123026777510451</v>
      </c>
      <c r="G788" s="55" t="n">
        <v>191.704351187159</v>
      </c>
      <c r="H788" s="62" t="n">
        <v>0</v>
      </c>
      <c r="I788" s="62" t="n">
        <v>0</v>
      </c>
      <c r="J788" s="62" t="n">
        <v>0</v>
      </c>
      <c r="K788" s="62" t="n">
        <v>0</v>
      </c>
      <c r="L788" s="62" t="n">
        <v>0</v>
      </c>
      <c r="M788" s="61" t="n">
        <v>0.158402847561654</v>
      </c>
    </row>
    <row r="789" customFormat="false" ht="15" hidden="false" customHeight="true" outlineLevel="0" collapsed="false">
      <c r="A789" s="62" t="n">
        <v>763</v>
      </c>
      <c r="B789" s="59" t="n">
        <v>-1.20419490366273</v>
      </c>
      <c r="C789" s="59" t="n">
        <v>1.10047302319026</v>
      </c>
      <c r="D789" s="59" t="n">
        <v>-1.15617120252703</v>
      </c>
      <c r="E789" s="60" t="n">
        <v>-0.00161783088836723</v>
      </c>
      <c r="F789" s="61" t="n">
        <v>0.408477218348084</v>
      </c>
      <c r="G789" s="55" t="n">
        <v>153.348830586521</v>
      </c>
      <c r="H789" s="62" t="n">
        <v>0</v>
      </c>
      <c r="I789" s="62" t="n">
        <v>0</v>
      </c>
      <c r="J789" s="62" t="n">
        <v>0</v>
      </c>
      <c r="K789" s="62" t="n">
        <v>0</v>
      </c>
      <c r="L789" s="62" t="n">
        <v>0</v>
      </c>
      <c r="M789" s="61" t="n">
        <v>0.234331722015812</v>
      </c>
    </row>
    <row r="790" customFormat="false" ht="15" hidden="false" customHeight="true" outlineLevel="0" collapsed="false">
      <c r="A790" s="62" t="n">
        <v>764</v>
      </c>
      <c r="B790" s="59" t="n">
        <v>-0.354385260507687</v>
      </c>
      <c r="C790" s="59" t="n">
        <v>-0.327744858088689</v>
      </c>
      <c r="D790" s="59" t="n">
        <v>-0.74972496324865</v>
      </c>
      <c r="E790" s="60" t="n">
        <v>-0.0136875152320493</v>
      </c>
      <c r="F790" s="61" t="n">
        <v>0.237677230356704</v>
      </c>
      <c r="G790" s="55" t="n">
        <v>-33.8911695477841</v>
      </c>
      <c r="H790" s="62" t="n">
        <v>0</v>
      </c>
      <c r="I790" s="62" t="n">
        <v>0</v>
      </c>
      <c r="J790" s="62" t="n">
        <v>0</v>
      </c>
      <c r="K790" s="62" t="n">
        <v>0</v>
      </c>
      <c r="L790" s="62" t="n">
        <v>0</v>
      </c>
      <c r="M790" s="61" t="n">
        <v>0.160054110603512</v>
      </c>
    </row>
    <row r="791" customFormat="false" ht="15" hidden="false" customHeight="true" outlineLevel="0" collapsed="false">
      <c r="A791" s="62" t="n">
        <v>765</v>
      </c>
      <c r="B791" s="59" t="n">
        <v>0.278552194151248</v>
      </c>
      <c r="C791" s="59" t="n">
        <v>0.420682176752945</v>
      </c>
      <c r="D791" s="59" t="n">
        <v>0.890665058088933</v>
      </c>
      <c r="E791" s="60" t="n">
        <v>0.0119600406915717</v>
      </c>
      <c r="F791" s="61" t="n">
        <v>0.150176796776129</v>
      </c>
      <c r="G791" s="55" t="n">
        <v>98.7689345350171</v>
      </c>
      <c r="H791" s="62" t="n">
        <v>0</v>
      </c>
      <c r="I791" s="62" t="n">
        <v>0</v>
      </c>
      <c r="J791" s="62" t="n">
        <v>0</v>
      </c>
      <c r="K791" s="62" t="n">
        <v>0</v>
      </c>
      <c r="L791" s="62" t="n">
        <v>0</v>
      </c>
      <c r="M791" s="61" t="n">
        <v>0.158402847561654</v>
      </c>
    </row>
    <row r="792" customFormat="false" ht="15" hidden="false" customHeight="true" outlineLevel="0" collapsed="false">
      <c r="A792" s="62" t="n">
        <v>766</v>
      </c>
      <c r="B792" s="59" t="n">
        <v>-0.814644210265705</v>
      </c>
      <c r="C792" s="59" t="n">
        <v>-0.627290154610682</v>
      </c>
      <c r="D792" s="59" t="n">
        <v>-0.110325308557879</v>
      </c>
      <c r="E792" s="60" t="n">
        <v>0.00555271908915977</v>
      </c>
      <c r="F792" s="61" t="n">
        <v>0.325120268459091</v>
      </c>
      <c r="G792" s="55" t="n">
        <v>125.212427262836</v>
      </c>
      <c r="H792" s="62" t="n">
        <v>0</v>
      </c>
      <c r="I792" s="62" t="n">
        <v>0</v>
      </c>
      <c r="J792" s="62" t="n">
        <v>0</v>
      </c>
      <c r="K792" s="62" t="n">
        <v>0</v>
      </c>
      <c r="L792" s="62" t="n">
        <v>0</v>
      </c>
      <c r="M792" s="61" t="n">
        <v>0.159065109441503</v>
      </c>
    </row>
    <row r="793" customFormat="false" ht="15" hidden="false" customHeight="true" outlineLevel="0" collapsed="false">
      <c r="A793" s="62" t="n">
        <v>767</v>
      </c>
      <c r="B793" s="59" t="n">
        <v>-0.801652569346617</v>
      </c>
      <c r="C793" s="59" t="n">
        <v>-0.89789716742739</v>
      </c>
      <c r="D793" s="59" t="n">
        <v>-0.0504389022241639</v>
      </c>
      <c r="E793" s="60" t="n">
        <v>0.0102089463984594</v>
      </c>
      <c r="F793" s="61" t="n">
        <v>0.322468494466477</v>
      </c>
      <c r="G793" s="55" t="n">
        <v>159.705920437255</v>
      </c>
      <c r="H793" s="62" t="n">
        <v>0</v>
      </c>
      <c r="I793" s="62" t="n">
        <v>0</v>
      </c>
      <c r="J793" s="62" t="n">
        <v>0</v>
      </c>
      <c r="K793" s="62" t="n">
        <v>0</v>
      </c>
      <c r="L793" s="62" t="n">
        <v>0</v>
      </c>
      <c r="M793" s="61" t="n">
        <v>0.15896447132951</v>
      </c>
    </row>
    <row r="794" customFormat="false" ht="15" hidden="false" customHeight="true" outlineLevel="0" collapsed="false">
      <c r="A794" s="62" t="n">
        <v>768</v>
      </c>
      <c r="B794" s="59" t="n">
        <v>-0.610099612632441</v>
      </c>
      <c r="C794" s="59" t="n">
        <v>-0.461718929284206</v>
      </c>
      <c r="D794" s="59" t="n">
        <v>-0.112441929755902</v>
      </c>
      <c r="E794" s="60" t="n">
        <v>-0.00951737835380681</v>
      </c>
      <c r="F794" s="61" t="n">
        <v>0.284537859724447</v>
      </c>
      <c r="G794" s="55" t="n">
        <v>30.3606028622028</v>
      </c>
      <c r="H794" s="62" t="n">
        <v>0</v>
      </c>
      <c r="I794" s="62" t="n">
        <v>0</v>
      </c>
      <c r="J794" s="62" t="n">
        <v>0</v>
      </c>
      <c r="K794" s="62" t="n">
        <v>0</v>
      </c>
      <c r="L794" s="62" t="n">
        <v>1</v>
      </c>
      <c r="M794" s="61" t="n">
        <v>0.362832957885431</v>
      </c>
    </row>
    <row r="795" customFormat="false" ht="15" hidden="false" customHeight="true" outlineLevel="0" collapsed="false">
      <c r="A795" s="62" t="n">
        <v>769</v>
      </c>
      <c r="B795" s="59" t="n">
        <v>0.717582232538142</v>
      </c>
      <c r="C795" s="59" t="n">
        <v>-0.764474225624663</v>
      </c>
      <c r="D795" s="59" t="n">
        <v>0.117768050247286</v>
      </c>
      <c r="E795" s="60" t="n">
        <v>-0.00148007857923912</v>
      </c>
      <c r="F795" s="61" t="n">
        <v>0.109460405345742</v>
      </c>
      <c r="G795" s="55" t="n">
        <v>24.4464752103322</v>
      </c>
      <c r="H795" s="62" t="n">
        <v>0</v>
      </c>
      <c r="I795" s="62" t="n">
        <v>0</v>
      </c>
      <c r="J795" s="62" t="n">
        <v>0</v>
      </c>
      <c r="K795" s="62" t="n">
        <v>0</v>
      </c>
      <c r="L795" s="62" t="n">
        <v>0</v>
      </c>
      <c r="M795" s="61" t="n">
        <v>0.158402847561654</v>
      </c>
    </row>
    <row r="796" customFormat="false" ht="15" hidden="false" customHeight="true" outlineLevel="0" collapsed="false">
      <c r="A796" s="62" t="n">
        <v>770</v>
      </c>
      <c r="B796" s="59" t="n">
        <v>0.386901611648725</v>
      </c>
      <c r="C796" s="59" t="n">
        <v>0.387352233986931</v>
      </c>
      <c r="D796" s="59" t="n">
        <v>0.604706574968225</v>
      </c>
      <c r="E796" s="60" t="n">
        <v>-0.000597495607065954</v>
      </c>
      <c r="F796" s="61" t="n">
        <v>0.139292132727127</v>
      </c>
      <c r="G796" s="55" t="n">
        <v>12.6979713453836</v>
      </c>
      <c r="H796" s="62" t="n">
        <v>0</v>
      </c>
      <c r="I796" s="62" t="n">
        <v>0</v>
      </c>
      <c r="J796" s="62" t="n">
        <v>0</v>
      </c>
      <c r="K796" s="62" t="n">
        <v>0</v>
      </c>
      <c r="L796" s="62" t="n">
        <v>0</v>
      </c>
      <c r="M796" s="61" t="n">
        <v>0.158402847561654</v>
      </c>
    </row>
    <row r="797" customFormat="false" ht="15" hidden="false" customHeight="true" outlineLevel="0" collapsed="false">
      <c r="A797" s="62" t="n">
        <v>771</v>
      </c>
      <c r="B797" s="59" t="n">
        <v>1.91004559157887</v>
      </c>
      <c r="C797" s="59" t="n">
        <v>2.2718331323365</v>
      </c>
      <c r="D797" s="59" t="n">
        <v>1.86750083396128</v>
      </c>
      <c r="E797" s="60" t="n">
        <v>-0.0089735015154098</v>
      </c>
      <c r="F797" s="61" t="n">
        <v>0.0395540653290014</v>
      </c>
      <c r="G797" s="55" t="n">
        <v>-20.4664412313133</v>
      </c>
      <c r="H797" s="62" t="n">
        <v>0</v>
      </c>
      <c r="I797" s="62" t="n">
        <v>0</v>
      </c>
      <c r="J797" s="62" t="n">
        <v>0</v>
      </c>
      <c r="K797" s="62" t="n">
        <v>0</v>
      </c>
      <c r="L797" s="62" t="n">
        <v>1</v>
      </c>
      <c r="M797" s="61" t="n">
        <v>0.361449355764895</v>
      </c>
    </row>
    <row r="798" customFormat="false" ht="15" hidden="false" customHeight="true" outlineLevel="0" collapsed="false">
      <c r="A798" s="62" t="n">
        <v>772</v>
      </c>
      <c r="B798" s="59" t="n">
        <v>0.141580087308554</v>
      </c>
      <c r="C798" s="59" t="n">
        <v>0.19501811750521</v>
      </c>
      <c r="D798" s="59" t="n">
        <v>0.303188432288507</v>
      </c>
      <c r="E798" s="60" t="n">
        <v>0.00870960432856693</v>
      </c>
      <c r="F798" s="61" t="n">
        <v>0.164734554853121</v>
      </c>
      <c r="G798" s="55" t="n">
        <v>76.5006565845497</v>
      </c>
      <c r="H798" s="62" t="n">
        <v>0</v>
      </c>
      <c r="I798" s="62" t="n">
        <v>0</v>
      </c>
      <c r="J798" s="62" t="n">
        <v>0</v>
      </c>
      <c r="K798" s="62" t="n">
        <v>0</v>
      </c>
      <c r="L798" s="62" t="n">
        <v>0</v>
      </c>
      <c r="M798" s="61" t="n">
        <v>0.158402925695078</v>
      </c>
    </row>
    <row r="799" customFormat="false" ht="15" hidden="false" customHeight="true" outlineLevel="0" collapsed="false">
      <c r="A799" s="62" t="n">
        <v>773</v>
      </c>
      <c r="B799" s="59" t="n">
        <v>0.716367052299606</v>
      </c>
      <c r="C799" s="59" t="n">
        <v>-0.203070009714996</v>
      </c>
      <c r="D799" s="59" t="n">
        <v>0.161991022774569</v>
      </c>
      <c r="E799" s="60" t="n">
        <v>-0.0142150687896509</v>
      </c>
      <c r="F799" s="61" t="n">
        <v>0.109560871744911</v>
      </c>
      <c r="G799" s="55" t="n">
        <v>-63.8199440213425</v>
      </c>
      <c r="H799" s="62" t="n">
        <v>0</v>
      </c>
      <c r="I799" s="62" t="n">
        <v>0</v>
      </c>
      <c r="J799" s="62" t="n">
        <v>0</v>
      </c>
      <c r="K799" s="62" t="n">
        <v>0</v>
      </c>
      <c r="L799" s="62" t="n">
        <v>0</v>
      </c>
      <c r="M799" s="61" t="n">
        <v>0.158402847561654</v>
      </c>
    </row>
    <row r="800" customFormat="false" ht="15" hidden="false" customHeight="true" outlineLevel="0" collapsed="false">
      <c r="A800" s="62" t="n">
        <v>774</v>
      </c>
      <c r="B800" s="59" t="n">
        <v>-1.09948457633194</v>
      </c>
      <c r="C800" s="59" t="n">
        <v>-1.09972172988733</v>
      </c>
      <c r="D800" s="59" t="n">
        <v>-0.827171283727658</v>
      </c>
      <c r="E800" s="60" t="n">
        <v>-0.00361338187673244</v>
      </c>
      <c r="F800" s="61" t="n">
        <v>0.385428158330462</v>
      </c>
      <c r="G800" s="55" t="n">
        <v>116.099767937338</v>
      </c>
      <c r="H800" s="62" t="n">
        <v>0</v>
      </c>
      <c r="I800" s="62" t="n">
        <v>0</v>
      </c>
      <c r="J800" s="62" t="n">
        <v>0</v>
      </c>
      <c r="K800" s="62" t="n">
        <v>0</v>
      </c>
      <c r="L800" s="62" t="n">
        <v>0</v>
      </c>
      <c r="M800" s="61" t="n">
        <v>0.213395550171332</v>
      </c>
    </row>
    <row r="801" customFormat="false" ht="15" hidden="false" customHeight="true" outlineLevel="0" collapsed="false">
      <c r="A801" s="62" t="n">
        <v>775</v>
      </c>
      <c r="B801" s="59" t="n">
        <v>-1.35388084596719</v>
      </c>
      <c r="C801" s="59" t="n">
        <v>-1.54430528306567</v>
      </c>
      <c r="D801" s="59" t="n">
        <v>-1.13142206207516</v>
      </c>
      <c r="E801" s="60" t="n">
        <v>-0.0040256538301389</v>
      </c>
      <c r="F801" s="61" t="n">
        <v>0.442022809426174</v>
      </c>
      <c r="G801" s="55" t="n">
        <v>242.222665246853</v>
      </c>
      <c r="H801" s="62" t="n">
        <v>0</v>
      </c>
      <c r="I801" s="62" t="n">
        <v>0</v>
      </c>
      <c r="J801" s="62" t="n">
        <v>0</v>
      </c>
      <c r="K801" s="62" t="n">
        <v>0</v>
      </c>
      <c r="L801" s="62" t="n">
        <v>0</v>
      </c>
      <c r="M801" s="61" t="n">
        <v>0.432966150396586</v>
      </c>
    </row>
    <row r="802" customFormat="false" ht="15" hidden="false" customHeight="true" outlineLevel="0" collapsed="false">
      <c r="A802" s="62" t="n">
        <v>776</v>
      </c>
      <c r="B802" s="59" t="n">
        <v>-0.403608097765484</v>
      </c>
      <c r="C802" s="59" t="n">
        <v>-1.16149437827892</v>
      </c>
      <c r="D802" s="59" t="n">
        <v>1.57132534832632</v>
      </c>
      <c r="E802" s="60" t="n">
        <v>-0.00625895722373007</v>
      </c>
      <c r="F802" s="61" t="n">
        <v>0.246338048492438</v>
      </c>
      <c r="G802" s="55" t="n">
        <v>32.0859497305642</v>
      </c>
      <c r="H802" s="62" t="n">
        <v>0</v>
      </c>
      <c r="I802" s="62" t="n">
        <v>0</v>
      </c>
      <c r="J802" s="62" t="n">
        <v>0</v>
      </c>
      <c r="K802" s="62" t="n">
        <v>0</v>
      </c>
      <c r="L802" s="62" t="n">
        <v>0</v>
      </c>
      <c r="M802" s="61" t="n">
        <v>0.158722705845385</v>
      </c>
    </row>
    <row r="803" customFormat="false" ht="15" hidden="false" customHeight="true" outlineLevel="0" collapsed="false">
      <c r="A803" s="62" t="n">
        <v>777</v>
      </c>
      <c r="B803" s="59" t="n">
        <v>-0.862575310516797</v>
      </c>
      <c r="C803" s="59" t="n">
        <v>0.548611521226617</v>
      </c>
      <c r="D803" s="59" t="n">
        <v>-0.319818329775647</v>
      </c>
      <c r="E803" s="60" t="n">
        <v>0.00402333946633243</v>
      </c>
      <c r="F803" s="61" t="n">
        <v>0.334984696602194</v>
      </c>
      <c r="G803" s="55" t="n">
        <v>115.15188449198</v>
      </c>
      <c r="H803" s="62" t="n">
        <v>0</v>
      </c>
      <c r="I803" s="62" t="n">
        <v>0</v>
      </c>
      <c r="J803" s="62" t="n">
        <v>0</v>
      </c>
      <c r="K803" s="62" t="n">
        <v>0</v>
      </c>
      <c r="L803" s="62" t="n">
        <v>0</v>
      </c>
      <c r="M803" s="61" t="n">
        <v>0.159508499771464</v>
      </c>
    </row>
    <row r="804" customFormat="false" ht="15" hidden="false" customHeight="true" outlineLevel="0" collapsed="false">
      <c r="A804" s="62" t="n">
        <v>778</v>
      </c>
      <c r="B804" s="59" t="n">
        <v>0.706455972247892</v>
      </c>
      <c r="C804" s="59" t="n">
        <v>0.665858178726379</v>
      </c>
      <c r="D804" s="59" t="n">
        <v>0.180166488995348</v>
      </c>
      <c r="E804" s="60" t="n">
        <v>-0.00731247495152525</v>
      </c>
      <c r="F804" s="61" t="n">
        <v>0.11038275849589</v>
      </c>
      <c r="G804" s="55" t="n">
        <v>-27.4358215237185</v>
      </c>
      <c r="H804" s="62" t="n">
        <v>0</v>
      </c>
      <c r="I804" s="62" t="n">
        <v>0</v>
      </c>
      <c r="J804" s="62" t="n">
        <v>0</v>
      </c>
      <c r="K804" s="62" t="n">
        <v>0</v>
      </c>
      <c r="L804" s="62" t="n">
        <v>0</v>
      </c>
      <c r="M804" s="61" t="n">
        <v>0.158402847561654</v>
      </c>
    </row>
    <row r="805" customFormat="false" ht="15" hidden="false" customHeight="true" outlineLevel="0" collapsed="false">
      <c r="A805" s="62" t="n">
        <v>779</v>
      </c>
      <c r="B805" s="59" t="n">
        <v>0.657490505130074</v>
      </c>
      <c r="C805" s="59" t="n">
        <v>1.01872156455242</v>
      </c>
      <c r="D805" s="59" t="n">
        <v>0.736936711466766</v>
      </c>
      <c r="E805" s="60" t="n">
        <v>0.0123064423923068</v>
      </c>
      <c r="F805" s="61" t="n">
        <v>0.114508278175587</v>
      </c>
      <c r="G805" s="55" t="n">
        <v>100.909232519453</v>
      </c>
      <c r="H805" s="62" t="n">
        <v>0</v>
      </c>
      <c r="I805" s="62" t="n">
        <v>0</v>
      </c>
      <c r="J805" s="62" t="n">
        <v>0</v>
      </c>
      <c r="K805" s="62" t="n">
        <v>0</v>
      </c>
      <c r="L805" s="62" t="n">
        <v>0</v>
      </c>
      <c r="M805" s="61" t="n">
        <v>0.158402847561654</v>
      </c>
    </row>
    <row r="806" customFormat="false" ht="15" hidden="false" customHeight="true" outlineLevel="0" collapsed="false">
      <c r="A806" s="62" t="n">
        <v>780</v>
      </c>
      <c r="B806" s="59" t="n">
        <v>0.0337431235607262</v>
      </c>
      <c r="C806" s="59" t="n">
        <v>-0.250242486409341</v>
      </c>
      <c r="D806" s="59" t="n">
        <v>0.392895800294615</v>
      </c>
      <c r="E806" s="60" t="n">
        <v>-0.00144644181383383</v>
      </c>
      <c r="F806" s="61" t="n">
        <v>0.176824644825782</v>
      </c>
      <c r="G806" s="55" t="n">
        <v>13.2116488746144</v>
      </c>
      <c r="H806" s="62" t="n">
        <v>0</v>
      </c>
      <c r="I806" s="62" t="n">
        <v>0</v>
      </c>
      <c r="J806" s="62" t="n">
        <v>0</v>
      </c>
      <c r="K806" s="62" t="n">
        <v>0</v>
      </c>
      <c r="L806" s="62" t="n">
        <v>0</v>
      </c>
      <c r="M806" s="61" t="n">
        <v>0.15840306864104</v>
      </c>
    </row>
    <row r="807" customFormat="false" ht="15" hidden="false" customHeight="true" outlineLevel="0" collapsed="false">
      <c r="A807" s="62" t="n">
        <v>781</v>
      </c>
      <c r="B807" s="59" t="n">
        <v>-0.651995385859766</v>
      </c>
      <c r="C807" s="59" t="n">
        <v>-0.501676982941263</v>
      </c>
      <c r="D807" s="59" t="n">
        <v>-0.633413015850489</v>
      </c>
      <c r="E807" s="60" t="n">
        <v>-0.00409009076039814</v>
      </c>
      <c r="F807" s="61" t="n">
        <v>0.292639179688752</v>
      </c>
      <c r="G807" s="55" t="n">
        <v>49.0997021914756</v>
      </c>
      <c r="H807" s="62" t="n">
        <v>0</v>
      </c>
      <c r="I807" s="62" t="n">
        <v>0</v>
      </c>
      <c r="J807" s="62" t="n">
        <v>0</v>
      </c>
      <c r="K807" s="62" t="n">
        <v>0</v>
      </c>
      <c r="L807" s="62" t="n">
        <v>0</v>
      </c>
      <c r="M807" s="61" t="n">
        <v>0.160655382287029</v>
      </c>
    </row>
    <row r="808" customFormat="false" ht="15" hidden="false" customHeight="true" outlineLevel="0" collapsed="false">
      <c r="A808" s="62" t="n">
        <v>782</v>
      </c>
      <c r="B808" s="59" t="n">
        <v>0.581571043959362</v>
      </c>
      <c r="C808" s="59" t="n">
        <v>0.473306779794108</v>
      </c>
      <c r="D808" s="59" t="n">
        <v>0.442316026896787</v>
      </c>
      <c r="E808" s="60" t="n">
        <v>0.00838622381413398</v>
      </c>
      <c r="F808" s="61" t="n">
        <v>0.121120311410712</v>
      </c>
      <c r="G808" s="55" t="n">
        <v>74.0751429559685</v>
      </c>
      <c r="H808" s="62" t="n">
        <v>0</v>
      </c>
      <c r="I808" s="62" t="n">
        <v>0</v>
      </c>
      <c r="J808" s="62" t="n">
        <v>0</v>
      </c>
      <c r="K808" s="62" t="n">
        <v>0</v>
      </c>
      <c r="L808" s="62" t="n">
        <v>0</v>
      </c>
      <c r="M808" s="61" t="n">
        <v>0.158402847561654</v>
      </c>
    </row>
    <row r="809" customFormat="false" ht="15" hidden="false" customHeight="true" outlineLevel="0" collapsed="false">
      <c r="A809" s="62" t="n">
        <v>783</v>
      </c>
      <c r="B809" s="59" t="n">
        <v>0.585303694599065</v>
      </c>
      <c r="C809" s="59" t="n">
        <v>0.61937372722158</v>
      </c>
      <c r="D809" s="59" t="n">
        <v>-0.402036655808083</v>
      </c>
      <c r="E809" s="60" t="n">
        <v>-0.00804856038809243</v>
      </c>
      <c r="F809" s="61" t="n">
        <v>0.120789056714108</v>
      </c>
      <c r="G809" s="55" t="n">
        <v>-31.7292582683279</v>
      </c>
      <c r="H809" s="62" t="n">
        <v>0</v>
      </c>
      <c r="I809" s="62" t="n">
        <v>0</v>
      </c>
      <c r="J809" s="62" t="n">
        <v>0</v>
      </c>
      <c r="K809" s="62" t="n">
        <v>0</v>
      </c>
      <c r="L809" s="62" t="n">
        <v>0</v>
      </c>
      <c r="M809" s="61" t="n">
        <v>0.158801196231026</v>
      </c>
    </row>
    <row r="810" customFormat="false" ht="15" hidden="false" customHeight="true" outlineLevel="0" collapsed="false">
      <c r="A810" s="62" t="n">
        <v>784</v>
      </c>
      <c r="B810" s="59" t="n">
        <v>-0.331594060399212</v>
      </c>
      <c r="C810" s="59" t="n">
        <v>-0.103550216533349</v>
      </c>
      <c r="D810" s="59" t="n">
        <v>-0.250225576952987</v>
      </c>
      <c r="E810" s="60" t="n">
        <v>-0.00941828477415719</v>
      </c>
      <c r="F810" s="61" t="n">
        <v>0.233727301172533</v>
      </c>
      <c r="G810" s="55" t="n">
        <v>-11.9271056360966</v>
      </c>
      <c r="H810" s="62" t="n">
        <v>0</v>
      </c>
      <c r="I810" s="62" t="n">
        <v>0</v>
      </c>
      <c r="J810" s="62" t="n">
        <v>0</v>
      </c>
      <c r="K810" s="62" t="n">
        <v>0</v>
      </c>
      <c r="L810" s="62" t="n">
        <v>0</v>
      </c>
      <c r="M810" s="61" t="n">
        <v>0.158971098531151</v>
      </c>
    </row>
    <row r="811" customFormat="false" ht="15" hidden="false" customHeight="true" outlineLevel="0" collapsed="false">
      <c r="A811" s="62" t="n">
        <v>785</v>
      </c>
      <c r="B811" s="59" t="n">
        <v>-1.48469570379166</v>
      </c>
      <c r="C811" s="59" t="n">
        <v>-1.43405792753333</v>
      </c>
      <c r="D811" s="59" t="n">
        <v>-1.17941568439028</v>
      </c>
      <c r="E811" s="60" t="n">
        <v>-0.00219389766770792</v>
      </c>
      <c r="F811" s="61" t="n">
        <v>0.471745703159388</v>
      </c>
      <c r="G811" s="55" t="n">
        <v>521.946758098968</v>
      </c>
      <c r="H811" s="62" t="n">
        <v>10</v>
      </c>
      <c r="I811" s="62" t="n">
        <v>1</v>
      </c>
      <c r="J811" s="62" t="n">
        <v>1</v>
      </c>
      <c r="K811" s="62" t="n">
        <v>1</v>
      </c>
      <c r="L811" s="62" t="n">
        <v>0</v>
      </c>
      <c r="M811" s="61" t="n">
        <v>0.999999999996945</v>
      </c>
    </row>
    <row r="812" customFormat="false" ht="15" hidden="false" customHeight="true" outlineLevel="0" collapsed="false">
      <c r="A812" s="62" t="n">
        <v>786</v>
      </c>
      <c r="B812" s="59" t="n">
        <v>-0.852951475003121</v>
      </c>
      <c r="C812" s="59" t="n">
        <v>0.00406828636669811</v>
      </c>
      <c r="D812" s="59" t="n">
        <v>0.152447870954156</v>
      </c>
      <c r="E812" s="60" t="n">
        <v>-0.00416741649594456</v>
      </c>
      <c r="F812" s="61" t="n">
        <v>0.332994004954387</v>
      </c>
      <c r="G812" s="55" t="n">
        <v>61.3429531185069</v>
      </c>
      <c r="H812" s="62" t="n">
        <v>0</v>
      </c>
      <c r="I812" s="62" t="n">
        <v>0</v>
      </c>
      <c r="J812" s="62" t="n">
        <v>0</v>
      </c>
      <c r="K812" s="62" t="n">
        <v>0</v>
      </c>
      <c r="L812" s="62" t="n">
        <v>0</v>
      </c>
      <c r="M812" s="61" t="n">
        <v>0.158881117534754</v>
      </c>
    </row>
    <row r="813" customFormat="false" ht="15" hidden="false" customHeight="true" outlineLevel="0" collapsed="false">
      <c r="A813" s="62" t="n">
        <v>787</v>
      </c>
      <c r="B813" s="59" t="n">
        <v>-0.493013684807214</v>
      </c>
      <c r="C813" s="59" t="n">
        <v>0.424344709043736</v>
      </c>
      <c r="D813" s="59" t="n">
        <v>-0.148098917409223</v>
      </c>
      <c r="E813" s="60" t="n">
        <v>-0.00204924484632824</v>
      </c>
      <c r="F813" s="61" t="n">
        <v>0.262514863229294</v>
      </c>
      <c r="G813" s="55" t="n">
        <v>44.2332773274788</v>
      </c>
      <c r="H813" s="62" t="n">
        <v>0</v>
      </c>
      <c r="I813" s="62" t="n">
        <v>0</v>
      </c>
      <c r="J813" s="62" t="n">
        <v>0</v>
      </c>
      <c r="K813" s="62" t="n">
        <v>0</v>
      </c>
      <c r="L813" s="62" t="n">
        <v>0</v>
      </c>
      <c r="M813" s="61" t="n">
        <v>0.158918608054468</v>
      </c>
    </row>
    <row r="814" customFormat="false" ht="15" hidden="false" customHeight="true" outlineLevel="0" collapsed="false">
      <c r="A814" s="62" t="n">
        <v>788</v>
      </c>
      <c r="B814" s="59" t="n">
        <v>2.77687890569779</v>
      </c>
      <c r="C814" s="59" t="n">
        <v>2.6827221310289</v>
      </c>
      <c r="D814" s="59" t="n">
        <v>1.47988258874417</v>
      </c>
      <c r="E814" s="60" t="n">
        <v>-0.0205883059946477</v>
      </c>
      <c r="F814" s="61" t="n">
        <v>0.0161479059289465</v>
      </c>
      <c r="G814" s="55" t="n">
        <v>-106.747727853235</v>
      </c>
      <c r="H814" s="62" t="n">
        <v>0</v>
      </c>
      <c r="I814" s="62" t="n">
        <v>0</v>
      </c>
      <c r="J814" s="62" t="n">
        <v>0</v>
      </c>
      <c r="K814" s="62" t="n">
        <v>0</v>
      </c>
      <c r="L814" s="62" t="n">
        <v>0</v>
      </c>
      <c r="M814" s="61" t="n">
        <v>0.158402847561654</v>
      </c>
    </row>
    <row r="815" customFormat="false" ht="15" hidden="false" customHeight="true" outlineLevel="0" collapsed="false">
      <c r="A815" s="62" t="n">
        <v>789</v>
      </c>
      <c r="B815" s="59" t="n">
        <v>1.18006130240667</v>
      </c>
      <c r="C815" s="59" t="n">
        <v>0.50181991136533</v>
      </c>
      <c r="D815" s="59" t="n">
        <v>0.752422691912195</v>
      </c>
      <c r="E815" s="60" t="n">
        <v>-0.00949932007195444</v>
      </c>
      <c r="F815" s="61" t="n">
        <v>0.0758711823397616</v>
      </c>
      <c r="G815" s="55" t="n">
        <v>-40.3758211863546</v>
      </c>
      <c r="H815" s="62" t="n">
        <v>0</v>
      </c>
      <c r="I815" s="62" t="n">
        <v>0</v>
      </c>
      <c r="J815" s="62" t="n">
        <v>0</v>
      </c>
      <c r="K815" s="62" t="n">
        <v>0</v>
      </c>
      <c r="L815" s="62" t="n">
        <v>0</v>
      </c>
      <c r="M815" s="61" t="n">
        <v>0.158402847561654</v>
      </c>
    </row>
    <row r="816" customFormat="false" ht="15" hidden="false" customHeight="true" outlineLevel="0" collapsed="false">
      <c r="A816" s="62" t="n">
        <v>790</v>
      </c>
      <c r="B816" s="59" t="n">
        <v>-0.0107762459033514</v>
      </c>
      <c r="C816" s="59" t="n">
        <v>-0.798273006125708</v>
      </c>
      <c r="D816" s="59" t="n">
        <v>0.106168936199931</v>
      </c>
      <c r="E816" s="60" t="n">
        <v>0.0103563091554073</v>
      </c>
      <c r="F816" s="61" t="n">
        <v>0.182310146706825</v>
      </c>
      <c r="G816" s="55" t="n">
        <v>106.220143711747</v>
      </c>
      <c r="H816" s="62" t="n">
        <v>0</v>
      </c>
      <c r="I816" s="62" t="n">
        <v>0</v>
      </c>
      <c r="J816" s="62" t="n">
        <v>0</v>
      </c>
      <c r="K816" s="62" t="n">
        <v>0</v>
      </c>
      <c r="L816" s="62" t="n">
        <v>0</v>
      </c>
      <c r="M816" s="61" t="n">
        <v>0.158403175527614</v>
      </c>
    </row>
    <row r="817" customFormat="false" ht="15" hidden="false" customHeight="true" outlineLevel="0" collapsed="false">
      <c r="A817" s="62" t="n">
        <v>791</v>
      </c>
      <c r="B817" s="59" t="n">
        <v>-1.2790072583635</v>
      </c>
      <c r="C817" s="59" t="n">
        <v>-1.20402388070008</v>
      </c>
      <c r="D817" s="59" t="n">
        <v>0.939459834312392</v>
      </c>
      <c r="E817" s="60" t="n">
        <v>0.0163374080787998</v>
      </c>
      <c r="F817" s="61" t="n">
        <v>0.425167143665254</v>
      </c>
      <c r="G817" s="55" t="n">
        <v>245.263827827329</v>
      </c>
      <c r="H817" s="62" t="n">
        <v>0</v>
      </c>
      <c r="I817" s="62" t="n">
        <v>0</v>
      </c>
      <c r="J817" s="62" t="n">
        <v>0</v>
      </c>
      <c r="K817" s="62" t="n">
        <v>0</v>
      </c>
      <c r="L817" s="62" t="n">
        <v>0</v>
      </c>
      <c r="M817" s="61" t="n">
        <v>0.1866707653733</v>
      </c>
    </row>
    <row r="818" customFormat="false" ht="15" hidden="false" customHeight="true" outlineLevel="0" collapsed="false">
      <c r="A818" s="62" t="n">
        <v>792</v>
      </c>
      <c r="B818" s="59" t="n">
        <v>-0.247850670863878</v>
      </c>
      <c r="C818" s="59" t="n">
        <v>-0.0141597714688002</v>
      </c>
      <c r="D818" s="59" t="n">
        <v>0.698612109196319</v>
      </c>
      <c r="E818" s="60" t="n">
        <v>-0.00802682452421606</v>
      </c>
      <c r="F818" s="61" t="n">
        <v>0.219546375221344</v>
      </c>
      <c r="G818" s="55" t="n">
        <v>-10.9890922906158</v>
      </c>
      <c r="H818" s="62" t="n">
        <v>0</v>
      </c>
      <c r="I818" s="62" t="n">
        <v>0</v>
      </c>
      <c r="J818" s="62" t="n">
        <v>0</v>
      </c>
      <c r="K818" s="62" t="n">
        <v>0</v>
      </c>
      <c r="L818" s="62" t="n">
        <v>0</v>
      </c>
      <c r="M818" s="61" t="n">
        <v>0.158406207005814</v>
      </c>
    </row>
    <row r="819" customFormat="false" ht="15" hidden="false" customHeight="true" outlineLevel="0" collapsed="false">
      <c r="A819" s="62" t="n">
        <v>793</v>
      </c>
      <c r="B819" s="59" t="n">
        <v>-1.31525501851277</v>
      </c>
      <c r="C819" s="59" t="n">
        <v>-0.0379853668069041</v>
      </c>
      <c r="D819" s="59" t="n">
        <v>-0.464583064694768</v>
      </c>
      <c r="E819" s="60" t="n">
        <v>0.00942652204017173</v>
      </c>
      <c r="F819" s="61" t="n">
        <v>0.433310156957002</v>
      </c>
      <c r="G819" s="55" t="n">
        <v>205.103990664121</v>
      </c>
      <c r="H819" s="62" t="n">
        <v>0</v>
      </c>
      <c r="I819" s="62" t="n">
        <v>0</v>
      </c>
      <c r="J819" s="62" t="n">
        <v>0</v>
      </c>
      <c r="K819" s="62" t="n">
        <v>0</v>
      </c>
      <c r="L819" s="62" t="n">
        <v>0</v>
      </c>
      <c r="M819" s="61" t="n">
        <v>0.201507645142967</v>
      </c>
    </row>
    <row r="820" customFormat="false" ht="15" hidden="false" customHeight="true" outlineLevel="0" collapsed="false">
      <c r="A820" s="62" t="n">
        <v>794</v>
      </c>
      <c r="B820" s="59" t="n">
        <v>-2.04702846500799</v>
      </c>
      <c r="C820" s="59" t="n">
        <v>-0.828643094596709</v>
      </c>
      <c r="D820" s="59" t="n">
        <v>-0.901204296173406</v>
      </c>
      <c r="E820" s="60" t="n">
        <v>-0.0023578346239085</v>
      </c>
      <c r="F820" s="61" t="n">
        <v>0.597650286211802</v>
      </c>
      <c r="G820" s="55" t="n">
        <v>590.756646649077</v>
      </c>
      <c r="H820" s="62" t="n">
        <v>11</v>
      </c>
      <c r="I820" s="62" t="n">
        <v>1</v>
      </c>
      <c r="J820" s="62" t="n">
        <v>1</v>
      </c>
      <c r="K820" s="62" t="n">
        <v>1</v>
      </c>
      <c r="L820" s="62" t="n">
        <v>0</v>
      </c>
      <c r="M820" s="61" t="n">
        <v>0.999999999999807</v>
      </c>
    </row>
    <row r="821" customFormat="false" ht="15" hidden="false" customHeight="true" outlineLevel="0" collapsed="false">
      <c r="A821" s="62" t="n">
        <v>795</v>
      </c>
      <c r="B821" s="59" t="n">
        <v>-0.260696928436156</v>
      </c>
      <c r="C821" s="59" t="n">
        <v>0.114184115841587</v>
      </c>
      <c r="D821" s="59" t="n">
        <v>-0.0193967075116235</v>
      </c>
      <c r="E821" s="60" t="n">
        <v>0.00628164177385591</v>
      </c>
      <c r="F821" s="61" t="n">
        <v>0.221687485353556</v>
      </c>
      <c r="G821" s="55" t="n">
        <v>81.0248324241661</v>
      </c>
      <c r="H821" s="62" t="n">
        <v>0</v>
      </c>
      <c r="I821" s="62" t="n">
        <v>0</v>
      </c>
      <c r="J821" s="62" t="n">
        <v>0</v>
      </c>
      <c r="K821" s="62" t="n">
        <v>0</v>
      </c>
      <c r="L821" s="62" t="n">
        <v>0</v>
      </c>
      <c r="M821" s="61" t="n">
        <v>0.158423231833108</v>
      </c>
    </row>
    <row r="822" customFormat="false" ht="15" hidden="false" customHeight="true" outlineLevel="0" collapsed="false">
      <c r="A822" s="62" t="n">
        <v>796</v>
      </c>
      <c r="B822" s="59" t="n">
        <v>-1.0181192331994</v>
      </c>
      <c r="C822" s="59" t="n">
        <v>-0.35001685671539</v>
      </c>
      <c r="D822" s="59" t="n">
        <v>0.708865349371831</v>
      </c>
      <c r="E822" s="60" t="n">
        <v>0.0137068704748236</v>
      </c>
      <c r="F822" s="61" t="n">
        <v>0.367812282912065</v>
      </c>
      <c r="G822" s="55" t="n">
        <v>196.314011276715</v>
      </c>
      <c r="H822" s="62" t="n">
        <v>0</v>
      </c>
      <c r="I822" s="62" t="n">
        <v>0</v>
      </c>
      <c r="J822" s="62" t="n">
        <v>0</v>
      </c>
      <c r="K822" s="62" t="n">
        <v>0</v>
      </c>
      <c r="L822" s="62" t="n">
        <v>0</v>
      </c>
      <c r="M822" s="61" t="n">
        <v>0.160061677281075</v>
      </c>
    </row>
    <row r="823" customFormat="false" ht="15" hidden="false" customHeight="true" outlineLevel="0" collapsed="false">
      <c r="A823" s="62" t="n">
        <v>797</v>
      </c>
      <c r="B823" s="59" t="n">
        <v>-1.02416755382335</v>
      </c>
      <c r="C823" s="59" t="n">
        <v>-1.27761940914453</v>
      </c>
      <c r="D823" s="59" t="n">
        <v>0.935007670901537</v>
      </c>
      <c r="E823" s="60" t="n">
        <v>0.00676208294582177</v>
      </c>
      <c r="F823" s="61" t="n">
        <v>0.369112024490247</v>
      </c>
      <c r="G823" s="55" t="n">
        <v>160.348633161351</v>
      </c>
      <c r="H823" s="62" t="n">
        <v>0</v>
      </c>
      <c r="I823" s="62" t="n">
        <v>0</v>
      </c>
      <c r="J823" s="62" t="n">
        <v>0</v>
      </c>
      <c r="K823" s="62" t="n">
        <v>0</v>
      </c>
      <c r="L823" s="62" t="n">
        <v>0</v>
      </c>
      <c r="M823" s="61" t="n">
        <v>0.162589092569878</v>
      </c>
    </row>
    <row r="824" customFormat="false" ht="15" hidden="false" customHeight="true" outlineLevel="0" collapsed="false">
      <c r="A824" s="62" t="n">
        <v>798</v>
      </c>
      <c r="B824" s="59" t="n">
        <v>-0.0452483407518216</v>
      </c>
      <c r="C824" s="59" t="n">
        <v>0.869767317438824</v>
      </c>
      <c r="D824" s="59" t="n">
        <v>1.12017389429908</v>
      </c>
      <c r="E824" s="60" t="n">
        <v>-0.00266114767326517</v>
      </c>
      <c r="F824" s="61" t="n">
        <v>0.18745321367257</v>
      </c>
      <c r="G824" s="55" t="n">
        <v>3.85832484093609</v>
      </c>
      <c r="H824" s="62" t="n">
        <v>0</v>
      </c>
      <c r="I824" s="62" t="n">
        <v>0</v>
      </c>
      <c r="J824" s="62" t="n">
        <v>0</v>
      </c>
      <c r="K824" s="62" t="n">
        <v>0</v>
      </c>
      <c r="L824" s="62" t="n">
        <v>0</v>
      </c>
      <c r="M824" s="61" t="n">
        <v>0.158403300393609</v>
      </c>
    </row>
    <row r="825" customFormat="false" ht="15" hidden="false" customHeight="true" outlineLevel="0" collapsed="false">
      <c r="A825" s="62" t="n">
        <v>799</v>
      </c>
      <c r="B825" s="59" t="n">
        <v>0.418285383046851</v>
      </c>
      <c r="C825" s="59" t="n">
        <v>0.655632127866856</v>
      </c>
      <c r="D825" s="59" t="n">
        <v>1.33185347865795</v>
      </c>
      <c r="E825" s="60" t="n">
        <v>-0.00108637912524662</v>
      </c>
      <c r="F825" s="61" t="n">
        <v>0.136242845689906</v>
      </c>
      <c r="G825" s="55" t="n">
        <v>9.64144711326484</v>
      </c>
      <c r="H825" s="62" t="n">
        <v>0</v>
      </c>
      <c r="I825" s="62" t="n">
        <v>0</v>
      </c>
      <c r="J825" s="62" t="n">
        <v>0</v>
      </c>
      <c r="K825" s="62" t="n">
        <v>0</v>
      </c>
      <c r="L825" s="62" t="n">
        <v>0</v>
      </c>
      <c r="M825" s="61" t="n">
        <v>0.158402847561654</v>
      </c>
    </row>
    <row r="826" customFormat="false" ht="15" hidden="false" customHeight="true" outlineLevel="0" collapsed="false">
      <c r="A826" s="62" t="n">
        <v>800</v>
      </c>
      <c r="B826" s="59" t="n">
        <v>-0.375484018772066</v>
      </c>
      <c r="C826" s="59" t="n">
        <v>-1.91344927416608</v>
      </c>
      <c r="D826" s="59" t="n">
        <v>-1.01997341662485</v>
      </c>
      <c r="E826" s="60" t="n">
        <v>-0.00952017878606866</v>
      </c>
      <c r="F826" s="61" t="n">
        <v>0.241367922284781</v>
      </c>
      <c r="G826" s="55" t="n">
        <v>34.2653717687786</v>
      </c>
      <c r="H826" s="62" t="n">
        <v>0</v>
      </c>
      <c r="I826" s="62" t="n">
        <v>0</v>
      </c>
      <c r="J826" s="62" t="n">
        <v>0</v>
      </c>
      <c r="K826" s="62" t="n">
        <v>0</v>
      </c>
      <c r="L826" s="62" t="n">
        <v>0</v>
      </c>
      <c r="M826" s="61" t="n">
        <v>0.164456672630003</v>
      </c>
    </row>
    <row r="827" customFormat="false" ht="15" hidden="false" customHeight="true" outlineLevel="0" collapsed="false">
      <c r="A827" s="62" t="n">
        <v>801</v>
      </c>
      <c r="B827" s="59" t="n">
        <v>-0.18994076544994</v>
      </c>
      <c r="C827" s="59" t="n">
        <v>0.236905162712319</v>
      </c>
      <c r="D827" s="59" t="n">
        <v>0.155528819218736</v>
      </c>
      <c r="E827" s="60" t="n">
        <v>0.000132020964805327</v>
      </c>
      <c r="F827" s="61" t="n">
        <v>0.210050265928253</v>
      </c>
      <c r="G827" s="55" t="n">
        <v>32.7190047201768</v>
      </c>
      <c r="H827" s="62" t="n">
        <v>0</v>
      </c>
      <c r="I827" s="62" t="n">
        <v>0</v>
      </c>
      <c r="J827" s="62" t="n">
        <v>0</v>
      </c>
      <c r="K827" s="62" t="n">
        <v>0</v>
      </c>
      <c r="L827" s="62" t="n">
        <v>0</v>
      </c>
      <c r="M827" s="61" t="n">
        <v>0.158404447974553</v>
      </c>
    </row>
    <row r="828" customFormat="false" ht="15" hidden="false" customHeight="true" outlineLevel="0" collapsed="false">
      <c r="A828" s="62" t="n">
        <v>802</v>
      </c>
      <c r="B828" s="59" t="n">
        <v>0.261840099949335</v>
      </c>
      <c r="C828" s="59" t="n">
        <v>0.629263157207784</v>
      </c>
      <c r="D828" s="59" t="n">
        <v>-0.653551937580956</v>
      </c>
      <c r="E828" s="60" t="n">
        <v>0.00521189503795828</v>
      </c>
      <c r="F828" s="61" t="n">
        <v>0.151905191400302</v>
      </c>
      <c r="G828" s="55" t="n">
        <v>52.2257888328412</v>
      </c>
      <c r="H828" s="62" t="n">
        <v>0</v>
      </c>
      <c r="I828" s="62" t="n">
        <v>0</v>
      </c>
      <c r="J828" s="62" t="n">
        <v>0</v>
      </c>
      <c r="K828" s="62" t="n">
        <v>0</v>
      </c>
      <c r="L828" s="62" t="n">
        <v>0</v>
      </c>
      <c r="M828" s="61" t="n">
        <v>0.159160307429607</v>
      </c>
    </row>
    <row r="829" customFormat="false" ht="15" hidden="false" customHeight="true" outlineLevel="0" collapsed="false">
      <c r="A829" s="62" t="n">
        <v>803</v>
      </c>
      <c r="B829" s="59" t="n">
        <v>1.16018549154468</v>
      </c>
      <c r="C829" s="59" t="n">
        <v>0.254420612304539</v>
      </c>
      <c r="D829" s="59" t="n">
        <v>1.12033957733292</v>
      </c>
      <c r="E829" s="60" t="n">
        <v>-0.00524199245517432</v>
      </c>
      <c r="F829" s="61" t="n">
        <v>0.077131382462104</v>
      </c>
      <c r="G829" s="55" t="n">
        <v>-14.8633337942409</v>
      </c>
      <c r="H829" s="62" t="n">
        <v>0</v>
      </c>
      <c r="I829" s="62" t="n">
        <v>0</v>
      </c>
      <c r="J829" s="62" t="n">
        <v>0</v>
      </c>
      <c r="K829" s="62" t="n">
        <v>0</v>
      </c>
      <c r="L829" s="62" t="n">
        <v>0</v>
      </c>
      <c r="M829" s="61" t="n">
        <v>0.158402847561654</v>
      </c>
    </row>
    <row r="830" customFormat="false" ht="15" hidden="false" customHeight="true" outlineLevel="0" collapsed="false">
      <c r="A830" s="62" t="n">
        <v>804</v>
      </c>
      <c r="B830" s="59" t="n">
        <v>2.26011639260535</v>
      </c>
      <c r="C830" s="59" t="n">
        <v>2.2040714626541</v>
      </c>
      <c r="D830" s="59" t="n">
        <v>-2.33665896877753</v>
      </c>
      <c r="E830" s="60" t="n">
        <v>0.0412949137095174</v>
      </c>
      <c r="F830" s="61" t="n">
        <v>0.0280032911460056</v>
      </c>
      <c r="G830" s="55" t="n">
        <v>643.041724801253</v>
      </c>
      <c r="H830" s="62" t="n">
        <v>8</v>
      </c>
      <c r="I830" s="62" t="n">
        <v>1</v>
      </c>
      <c r="J830" s="62" t="n">
        <v>1</v>
      </c>
      <c r="K830" s="62" t="n">
        <v>1</v>
      </c>
      <c r="L830" s="62" t="n">
        <v>0</v>
      </c>
      <c r="M830" s="61" t="n">
        <v>0.999999996738424</v>
      </c>
    </row>
    <row r="831" customFormat="false" ht="15" hidden="false" customHeight="true" outlineLevel="0" collapsed="false">
      <c r="A831" s="62" t="n">
        <v>805</v>
      </c>
      <c r="B831" s="59" t="n">
        <v>-1.58948017568592</v>
      </c>
      <c r="C831" s="59" t="n">
        <v>-0.716992107607988</v>
      </c>
      <c r="D831" s="59" t="n">
        <v>-2.09883922144904</v>
      </c>
      <c r="E831" s="60" t="n">
        <v>-0.00834486864508924</v>
      </c>
      <c r="F831" s="61" t="n">
        <v>0.495709613198719</v>
      </c>
      <c r="G831" s="55" t="n">
        <v>694.52622872029</v>
      </c>
      <c r="H831" s="62" t="n">
        <v>11</v>
      </c>
      <c r="I831" s="62" t="n">
        <v>1</v>
      </c>
      <c r="J831" s="62" t="n">
        <v>2</v>
      </c>
      <c r="K831" s="62" t="n">
        <v>1</v>
      </c>
      <c r="L831" s="62" t="n">
        <v>0</v>
      </c>
      <c r="M831" s="61" t="n">
        <v>0.999999999999902</v>
      </c>
    </row>
    <row r="832" customFormat="false" ht="15" hidden="false" customHeight="true" outlineLevel="0" collapsed="false">
      <c r="A832" s="62" t="n">
        <v>806</v>
      </c>
      <c r="B832" s="59" t="n">
        <v>-1.76403282370861</v>
      </c>
      <c r="C832" s="59" t="n">
        <v>-0.540504399770958</v>
      </c>
      <c r="D832" s="59" t="n">
        <v>-0.72430831557057</v>
      </c>
      <c r="E832" s="60" t="n">
        <v>4.5443256406146E-005</v>
      </c>
      <c r="F832" s="61" t="n">
        <v>0.535681551752582</v>
      </c>
      <c r="G832" s="55" t="n">
        <v>511.147648358697</v>
      </c>
      <c r="H832" s="62" t="n">
        <v>10</v>
      </c>
      <c r="I832" s="62" t="n">
        <v>1</v>
      </c>
      <c r="J832" s="62" t="n">
        <v>1</v>
      </c>
      <c r="K832" s="62" t="n">
        <v>1</v>
      </c>
      <c r="L832" s="62" t="n">
        <v>0</v>
      </c>
      <c r="M832" s="61" t="n">
        <v>0.999999999997</v>
      </c>
    </row>
    <row r="833" customFormat="false" ht="15" hidden="false" customHeight="true" outlineLevel="0" collapsed="false">
      <c r="A833" s="62" t="n">
        <v>807</v>
      </c>
      <c r="B833" s="59" t="n">
        <v>-0.303539373522876</v>
      </c>
      <c r="C833" s="59" t="n">
        <v>0.0541295185317404</v>
      </c>
      <c r="D833" s="59" t="n">
        <v>0.387808728159367</v>
      </c>
      <c r="E833" s="60" t="n">
        <v>0.00704550882449405</v>
      </c>
      <c r="F833" s="61" t="n">
        <v>0.228918054887892</v>
      </c>
      <c r="G833" s="55" t="n">
        <v>106.991940952082</v>
      </c>
      <c r="H833" s="62" t="n">
        <v>0</v>
      </c>
      <c r="I833" s="62" t="n">
        <v>0</v>
      </c>
      <c r="J833" s="62" t="n">
        <v>0</v>
      </c>
      <c r="K833" s="62" t="n">
        <v>0</v>
      </c>
      <c r="L833" s="62" t="n">
        <v>1</v>
      </c>
      <c r="M833" s="61" t="n">
        <v>0.361845337351304</v>
      </c>
    </row>
    <row r="834" customFormat="false" ht="15" hidden="false" customHeight="true" outlineLevel="0" collapsed="false">
      <c r="A834" s="62" t="n">
        <v>808</v>
      </c>
      <c r="B834" s="59" t="n">
        <v>-0.767541322937209</v>
      </c>
      <c r="C834" s="59" t="n">
        <v>-1.28915084914972</v>
      </c>
      <c r="D834" s="59" t="n">
        <v>0.951135456580662</v>
      </c>
      <c r="E834" s="60" t="n">
        <v>0.0154573259701084</v>
      </c>
      <c r="F834" s="61" t="n">
        <v>0.315551802456172</v>
      </c>
      <c r="G834" s="55" t="n">
        <v>203.26842896936</v>
      </c>
      <c r="H834" s="62" t="n">
        <v>0</v>
      </c>
      <c r="I834" s="62" t="n">
        <v>0</v>
      </c>
      <c r="J834" s="62" t="n">
        <v>0</v>
      </c>
      <c r="K834" s="62" t="n">
        <v>0</v>
      </c>
      <c r="L834" s="62" t="n">
        <v>0</v>
      </c>
      <c r="M834" s="61" t="n">
        <v>0.158880084392328</v>
      </c>
    </row>
    <row r="835" customFormat="false" ht="15" hidden="false" customHeight="true" outlineLevel="0" collapsed="false">
      <c r="A835" s="62" t="n">
        <v>809</v>
      </c>
      <c r="B835" s="59" t="n">
        <v>0.155639254401625</v>
      </c>
      <c r="C835" s="59" t="n">
        <v>0.488466285883841</v>
      </c>
      <c r="D835" s="59" t="n">
        <v>0.372792680110552</v>
      </c>
      <c r="E835" s="60" t="n">
        <v>0.000768566824907804</v>
      </c>
      <c r="F835" s="61" t="n">
        <v>0.163199157669169</v>
      </c>
      <c r="G835" s="55" t="n">
        <v>38.6138345385653</v>
      </c>
      <c r="H835" s="62" t="n">
        <v>0</v>
      </c>
      <c r="I835" s="62" t="n">
        <v>0</v>
      </c>
      <c r="J835" s="62" t="n">
        <v>0</v>
      </c>
      <c r="K835" s="62" t="n">
        <v>0</v>
      </c>
      <c r="L835" s="62" t="n">
        <v>1</v>
      </c>
      <c r="M835" s="61" t="n">
        <v>0.361456702771347</v>
      </c>
    </row>
    <row r="836" customFormat="false" ht="15" hidden="false" customHeight="true" outlineLevel="0" collapsed="false">
      <c r="A836" s="62" t="n">
        <v>810</v>
      </c>
      <c r="B836" s="59" t="n">
        <v>-0.686542291897486</v>
      </c>
      <c r="C836" s="59" t="n">
        <v>0.892816760888073</v>
      </c>
      <c r="D836" s="59" t="n">
        <v>0.929309687160376</v>
      </c>
      <c r="E836" s="60" t="n">
        <v>0.0018052317964313</v>
      </c>
      <c r="F836" s="61" t="n">
        <v>0.299403719204427</v>
      </c>
      <c r="G836" s="55" t="n">
        <v>84.4179731428908</v>
      </c>
      <c r="H836" s="62" t="n">
        <v>0</v>
      </c>
      <c r="I836" s="62" t="n">
        <v>0</v>
      </c>
      <c r="J836" s="62" t="n">
        <v>0</v>
      </c>
      <c r="K836" s="62" t="n">
        <v>0</v>
      </c>
      <c r="L836" s="62" t="n">
        <v>0</v>
      </c>
      <c r="M836" s="61" t="n">
        <v>0.158809096412548</v>
      </c>
    </row>
    <row r="837" customFormat="false" ht="15" hidden="false" customHeight="true" outlineLevel="0" collapsed="false">
      <c r="A837" s="62" t="n">
        <v>811</v>
      </c>
      <c r="B837" s="59" t="n">
        <v>-1.98198671913791</v>
      </c>
      <c r="C837" s="59" t="n">
        <v>-1.02387601642401</v>
      </c>
      <c r="D837" s="59" t="n">
        <v>-0.669558350859635</v>
      </c>
      <c r="E837" s="60" t="n">
        <v>0.0191455039839356</v>
      </c>
      <c r="F837" s="61" t="n">
        <v>0.585139248605484</v>
      </c>
      <c r="G837" s="55" t="n">
        <v>694.294494300664</v>
      </c>
      <c r="H837" s="62" t="n">
        <v>14</v>
      </c>
      <c r="I837" s="62" t="n">
        <v>1</v>
      </c>
      <c r="J837" s="62" t="n">
        <v>1</v>
      </c>
      <c r="K837" s="62" t="n">
        <v>1</v>
      </c>
      <c r="L837" s="62" t="n">
        <v>0</v>
      </c>
      <c r="M837" s="61" t="n">
        <v>0.999999999999992</v>
      </c>
    </row>
    <row r="838" customFormat="false" ht="15" hidden="false" customHeight="true" outlineLevel="0" collapsed="false">
      <c r="A838" s="62" t="n">
        <v>812</v>
      </c>
      <c r="B838" s="59" t="n">
        <v>-1.3340485169148</v>
      </c>
      <c r="C838" s="59" t="n">
        <v>-1.33874726330283</v>
      </c>
      <c r="D838" s="59" t="n">
        <v>0.313838456198757</v>
      </c>
      <c r="E838" s="60" t="n">
        <v>0.0137055407901828</v>
      </c>
      <c r="F838" s="61" t="n">
        <v>0.437545005597719</v>
      </c>
      <c r="G838" s="55" t="n">
        <v>235.266437235135</v>
      </c>
      <c r="H838" s="62" t="n">
        <v>0</v>
      </c>
      <c r="I838" s="62" t="n">
        <v>0</v>
      </c>
      <c r="J838" s="62" t="n">
        <v>0</v>
      </c>
      <c r="K838" s="62" t="n">
        <v>0</v>
      </c>
      <c r="L838" s="62" t="n">
        <v>0</v>
      </c>
      <c r="M838" s="61" t="n">
        <v>0.187610029876928</v>
      </c>
    </row>
    <row r="839" customFormat="false" ht="15" hidden="false" customHeight="true" outlineLevel="0" collapsed="false">
      <c r="A839" s="62" t="n">
        <v>813</v>
      </c>
      <c r="B839" s="59" t="n">
        <v>0.00697163389027494</v>
      </c>
      <c r="C839" s="59" t="n">
        <v>0.575730442354967</v>
      </c>
      <c r="D839" s="59" t="n">
        <v>0.321294923538503</v>
      </c>
      <c r="E839" s="60" t="n">
        <v>-0.000451363234241258</v>
      </c>
      <c r="F839" s="61" t="n">
        <v>0.179911921755069</v>
      </c>
      <c r="G839" s="55" t="n">
        <v>13.4604576369484</v>
      </c>
      <c r="H839" s="62" t="n">
        <v>0</v>
      </c>
      <c r="I839" s="62" t="n">
        <v>0</v>
      </c>
      <c r="J839" s="62" t="n">
        <v>0</v>
      </c>
      <c r="K839" s="62" t="n">
        <v>0</v>
      </c>
      <c r="L839" s="62" t="n">
        <v>0</v>
      </c>
      <c r="M839" s="61" t="n">
        <v>0.158403095643291</v>
      </c>
    </row>
    <row r="840" customFormat="false" ht="15" hidden="false" customHeight="true" outlineLevel="0" collapsed="false">
      <c r="A840" s="62" t="n">
        <v>814</v>
      </c>
      <c r="B840" s="59" t="n">
        <v>-0.897294366265188</v>
      </c>
      <c r="C840" s="59" t="n">
        <v>-0.788977936875401</v>
      </c>
      <c r="D840" s="59" t="n">
        <v>-0.581954899833838</v>
      </c>
      <c r="E840" s="60" t="n">
        <v>0.000406711114915794</v>
      </c>
      <c r="F840" s="61" t="n">
        <v>0.342207230818392</v>
      </c>
      <c r="G840" s="55" t="n">
        <v>99.8965181937869</v>
      </c>
      <c r="H840" s="62" t="n">
        <v>0</v>
      </c>
      <c r="I840" s="62" t="n">
        <v>0</v>
      </c>
      <c r="J840" s="62" t="n">
        <v>0</v>
      </c>
      <c r="K840" s="62" t="n">
        <v>0</v>
      </c>
      <c r="L840" s="62" t="n">
        <v>0</v>
      </c>
      <c r="M840" s="61" t="n">
        <v>0.164265046868379</v>
      </c>
    </row>
    <row r="841" customFormat="false" ht="15" hidden="false" customHeight="true" outlineLevel="0" collapsed="false">
      <c r="A841" s="62" t="n">
        <v>815</v>
      </c>
      <c r="B841" s="59" t="n">
        <v>0.474968259346289</v>
      </c>
      <c r="C841" s="59" t="n">
        <v>0.525529034950052</v>
      </c>
      <c r="D841" s="59" t="n">
        <v>-0.455720742839121</v>
      </c>
      <c r="E841" s="60" t="n">
        <v>-0.00638198864760929</v>
      </c>
      <c r="F841" s="61" t="n">
        <v>0.130852558812498</v>
      </c>
      <c r="G841" s="55" t="n">
        <v>-21.7459762880751</v>
      </c>
      <c r="H841" s="62" t="n">
        <v>0</v>
      </c>
      <c r="I841" s="62" t="n">
        <v>0</v>
      </c>
      <c r="J841" s="62" t="n">
        <v>0</v>
      </c>
      <c r="K841" s="62" t="n">
        <v>0</v>
      </c>
      <c r="L841" s="62" t="n">
        <v>0</v>
      </c>
      <c r="M841" s="61" t="n">
        <v>0.158868533199311</v>
      </c>
    </row>
    <row r="842" customFormat="false" ht="15" hidden="false" customHeight="true" outlineLevel="0" collapsed="false">
      <c r="A842" s="62" t="n">
        <v>816</v>
      </c>
      <c r="B842" s="59" t="n">
        <v>-1.43152226767013</v>
      </c>
      <c r="C842" s="59" t="n">
        <v>-0.387415170772874</v>
      </c>
      <c r="D842" s="59" t="n">
        <v>-2.31265738333197</v>
      </c>
      <c r="E842" s="60" t="n">
        <v>0.0050813572991475</v>
      </c>
      <c r="F842" s="61" t="n">
        <v>0.459629774783246</v>
      </c>
      <c r="G842" s="55" t="n">
        <v>795.195283601293</v>
      </c>
      <c r="H842" s="62" t="n">
        <v>13</v>
      </c>
      <c r="I842" s="62" t="n">
        <v>1</v>
      </c>
      <c r="J842" s="62" t="n">
        <v>2</v>
      </c>
      <c r="K842" s="62" t="n">
        <v>1</v>
      </c>
      <c r="L842" s="62" t="n">
        <v>0</v>
      </c>
      <c r="M842" s="61" t="n">
        <v>0.999999999999994</v>
      </c>
    </row>
    <row r="843" customFormat="false" ht="15" hidden="false" customHeight="true" outlineLevel="0" collapsed="false">
      <c r="A843" s="62" t="n">
        <v>817</v>
      </c>
      <c r="B843" s="59" t="n">
        <v>0.125799332162315</v>
      </c>
      <c r="C843" s="59" t="n">
        <v>-1.057775163519</v>
      </c>
      <c r="D843" s="59" t="n">
        <v>0.152491955017434</v>
      </c>
      <c r="E843" s="60" t="n">
        <v>0.00425906713949675</v>
      </c>
      <c r="F843" s="61" t="n">
        <v>0.166469189790632</v>
      </c>
      <c r="G843" s="55" t="n">
        <v>69.6910381783029</v>
      </c>
      <c r="H843" s="62" t="n">
        <v>0</v>
      </c>
      <c r="I843" s="62" t="n">
        <v>0</v>
      </c>
      <c r="J843" s="62" t="n">
        <v>0</v>
      </c>
      <c r="K843" s="62" t="n">
        <v>0</v>
      </c>
      <c r="L843" s="62" t="n">
        <v>0</v>
      </c>
      <c r="M843" s="61" t="n">
        <v>0.158402976421644</v>
      </c>
    </row>
    <row r="844" customFormat="false" ht="15" hidden="false" customHeight="true" outlineLevel="0" collapsed="false">
      <c r="A844" s="62" t="n">
        <v>818</v>
      </c>
      <c r="B844" s="59" t="n">
        <v>-0.432374511896883</v>
      </c>
      <c r="C844" s="59" t="n">
        <v>0.0463996315588698</v>
      </c>
      <c r="D844" s="59" t="n">
        <v>-0.259695288608613</v>
      </c>
      <c r="E844" s="60" t="n">
        <v>0.00730040146517905</v>
      </c>
      <c r="F844" s="61" t="n">
        <v>0.251480866234146</v>
      </c>
      <c r="G844" s="55" t="n">
        <v>102.20754750068</v>
      </c>
      <c r="H844" s="62" t="n">
        <v>0</v>
      </c>
      <c r="I844" s="62" t="n">
        <v>0</v>
      </c>
      <c r="J844" s="62" t="n">
        <v>0</v>
      </c>
      <c r="K844" s="62" t="n">
        <v>0</v>
      </c>
      <c r="L844" s="62" t="n">
        <v>0</v>
      </c>
      <c r="M844" s="61" t="n">
        <v>0.159048589463756</v>
      </c>
    </row>
    <row r="845" customFormat="false" ht="15" hidden="false" customHeight="true" outlineLevel="0" collapsed="false">
      <c r="A845" s="62" t="n">
        <v>819</v>
      </c>
      <c r="B845" s="59" t="n">
        <v>-0.893900491943614</v>
      </c>
      <c r="C845" s="59" t="n">
        <v>0.574578046182105</v>
      </c>
      <c r="D845" s="59" t="n">
        <v>-0.669694275496315</v>
      </c>
      <c r="E845" s="60" t="n">
        <v>-0.00200232113468019</v>
      </c>
      <c r="F845" s="61" t="n">
        <v>0.34149842585515</v>
      </c>
      <c r="G845" s="55" t="n">
        <v>79.8068216772892</v>
      </c>
      <c r="H845" s="62" t="n">
        <v>0</v>
      </c>
      <c r="I845" s="62" t="n">
        <v>0</v>
      </c>
      <c r="J845" s="62" t="n">
        <v>0</v>
      </c>
      <c r="K845" s="62" t="n">
        <v>0</v>
      </c>
      <c r="L845" s="62" t="n">
        <v>0</v>
      </c>
      <c r="M845" s="61" t="n">
        <v>0.16456058051108</v>
      </c>
    </row>
    <row r="846" customFormat="false" ht="15" hidden="false" customHeight="true" outlineLevel="0" collapsed="false">
      <c r="A846" s="62" t="n">
        <v>820</v>
      </c>
      <c r="B846" s="59" t="n">
        <v>-0.479941981439365</v>
      </c>
      <c r="C846" s="59" t="n">
        <v>-0.329206122989783</v>
      </c>
      <c r="D846" s="59" t="n">
        <v>-0.00418489409035466</v>
      </c>
      <c r="E846" s="60" t="n">
        <v>0.00967404119717071</v>
      </c>
      <c r="F846" s="61" t="n">
        <v>0.260114417458615</v>
      </c>
      <c r="G846" s="55" t="n">
        <v>124.135930181828</v>
      </c>
      <c r="H846" s="62" t="n">
        <v>0</v>
      </c>
      <c r="I846" s="62" t="n">
        <v>0</v>
      </c>
      <c r="J846" s="62" t="n">
        <v>0</v>
      </c>
      <c r="K846" s="62" t="n">
        <v>0</v>
      </c>
      <c r="L846" s="62" t="n">
        <v>0</v>
      </c>
      <c r="M846" s="61" t="n">
        <v>0.158737571651414</v>
      </c>
    </row>
    <row r="847" customFormat="false" ht="15" hidden="false" customHeight="true" outlineLevel="0" collapsed="false">
      <c r="A847" s="62" t="n">
        <v>821</v>
      </c>
      <c r="B847" s="59" t="n">
        <v>-0.125783362835641</v>
      </c>
      <c r="C847" s="59" t="n">
        <v>0.0450377888589665</v>
      </c>
      <c r="D847" s="59" t="n">
        <v>0.848875774529837</v>
      </c>
      <c r="E847" s="60" t="n">
        <v>-0.00933357760290998</v>
      </c>
      <c r="F847" s="61" t="n">
        <v>0.199830227848067</v>
      </c>
      <c r="G847" s="55" t="n">
        <v>-28.8179582100868</v>
      </c>
      <c r="H847" s="62" t="n">
        <v>0</v>
      </c>
      <c r="I847" s="62" t="n">
        <v>0</v>
      </c>
      <c r="J847" s="62" t="n">
        <v>0</v>
      </c>
      <c r="K847" s="62" t="n">
        <v>0</v>
      </c>
      <c r="L847" s="62" t="n">
        <v>0</v>
      </c>
      <c r="M847" s="61" t="n">
        <v>0.15840365504318</v>
      </c>
    </row>
    <row r="848" customFormat="false" ht="15" hidden="false" customHeight="true" outlineLevel="0" collapsed="false">
      <c r="A848" s="62" t="n">
        <v>822</v>
      </c>
      <c r="B848" s="59" t="n">
        <v>-0.109419025987892</v>
      </c>
      <c r="C848" s="59" t="n">
        <v>0.86180239711061</v>
      </c>
      <c r="D848" s="59" t="n">
        <v>0.222498400580542</v>
      </c>
      <c r="E848" s="60" t="n">
        <v>0.000383091100672265</v>
      </c>
      <c r="F848" s="61" t="n">
        <v>0.197274410374341</v>
      </c>
      <c r="G848" s="55" t="n">
        <v>27.5676043962201</v>
      </c>
      <c r="H848" s="62" t="n">
        <v>0</v>
      </c>
      <c r="I848" s="62" t="n">
        <v>0</v>
      </c>
      <c r="J848" s="62" t="n">
        <v>0</v>
      </c>
      <c r="K848" s="62" t="n">
        <v>0</v>
      </c>
      <c r="L848" s="62" t="n">
        <v>0</v>
      </c>
      <c r="M848" s="61" t="n">
        <v>0.158403582320416</v>
      </c>
    </row>
    <row r="849" customFormat="false" ht="15" hidden="false" customHeight="true" outlineLevel="0" collapsed="false">
      <c r="A849" s="62" t="n">
        <v>823</v>
      </c>
      <c r="B849" s="59" t="n">
        <v>1.30253038425313</v>
      </c>
      <c r="C849" s="59" t="n">
        <v>1.41791483532265</v>
      </c>
      <c r="D849" s="59" t="n">
        <v>0.480610473812807</v>
      </c>
      <c r="E849" s="60" t="n">
        <v>-0.0114118046375325</v>
      </c>
      <c r="F849" s="61" t="n">
        <v>0.0684484706532911</v>
      </c>
      <c r="G849" s="55" t="n">
        <v>-52.0422611952388</v>
      </c>
      <c r="H849" s="62" t="n">
        <v>0</v>
      </c>
      <c r="I849" s="62" t="n">
        <v>0</v>
      </c>
      <c r="J849" s="62" t="n">
        <v>0</v>
      </c>
      <c r="K849" s="62" t="n">
        <v>0</v>
      </c>
      <c r="L849" s="62" t="n">
        <v>0</v>
      </c>
      <c r="M849" s="61" t="n">
        <v>0.158402847561654</v>
      </c>
    </row>
    <row r="850" customFormat="false" ht="15" hidden="false" customHeight="true" outlineLevel="0" collapsed="false">
      <c r="A850" s="62" t="n">
        <v>824</v>
      </c>
      <c r="B850" s="59" t="n">
        <v>-0.409881492565572</v>
      </c>
      <c r="C850" s="59" t="n">
        <v>-0.844678544922449</v>
      </c>
      <c r="D850" s="59" t="n">
        <v>-0.390460259831413</v>
      </c>
      <c r="E850" s="60" t="n">
        <v>-0.00672251873865851</v>
      </c>
      <c r="F850" s="61" t="n">
        <v>0.247454516480567</v>
      </c>
      <c r="G850" s="55" t="n">
        <v>22.1205316883224</v>
      </c>
      <c r="H850" s="62" t="n">
        <v>0</v>
      </c>
      <c r="I850" s="62" t="n">
        <v>0</v>
      </c>
      <c r="J850" s="62" t="n">
        <v>0</v>
      </c>
      <c r="K850" s="62" t="n">
        <v>0</v>
      </c>
      <c r="L850" s="62" t="n">
        <v>0</v>
      </c>
      <c r="M850" s="61" t="n">
        <v>0.159302444292935</v>
      </c>
    </row>
    <row r="851" customFormat="false" ht="15" hidden="false" customHeight="true" outlineLevel="0" collapsed="false">
      <c r="A851" s="62" t="n">
        <v>825</v>
      </c>
      <c r="B851" s="59" t="n">
        <v>-0.9328135984167</v>
      </c>
      <c r="C851" s="59" t="n">
        <v>-0.0844903616471035</v>
      </c>
      <c r="D851" s="59" t="n">
        <v>-0.27739859422673</v>
      </c>
      <c r="E851" s="60" t="n">
        <v>-0.0110442726763423</v>
      </c>
      <c r="F851" s="61" t="n">
        <v>0.349660659178036</v>
      </c>
      <c r="G851" s="55" t="n">
        <v>28.6480234350012</v>
      </c>
      <c r="H851" s="62" t="n">
        <v>0</v>
      </c>
      <c r="I851" s="62" t="n">
        <v>0</v>
      </c>
      <c r="J851" s="62" t="n">
        <v>0</v>
      </c>
      <c r="K851" s="62" t="n">
        <v>0</v>
      </c>
      <c r="L851" s="62" t="n">
        <v>0</v>
      </c>
      <c r="M851" s="61" t="n">
        <v>0.163161977017354</v>
      </c>
    </row>
    <row r="852" customFormat="false" ht="15" hidden="false" customHeight="true" outlineLevel="0" collapsed="false">
      <c r="A852" s="62" t="n">
        <v>826</v>
      </c>
      <c r="B852" s="59" t="n">
        <v>-1.35041399993832</v>
      </c>
      <c r="C852" s="59" t="n">
        <v>-2.52345926180831</v>
      </c>
      <c r="D852" s="59" t="n">
        <v>0.581183271295639</v>
      </c>
      <c r="E852" s="60" t="n">
        <v>0.00847874867057624</v>
      </c>
      <c r="F852" s="61" t="n">
        <v>0.441239421699261</v>
      </c>
      <c r="G852" s="55" t="n">
        <v>243.08656233362</v>
      </c>
      <c r="H852" s="62" t="n">
        <v>0</v>
      </c>
      <c r="I852" s="62" t="n">
        <v>0</v>
      </c>
      <c r="J852" s="62" t="n">
        <v>0</v>
      </c>
      <c r="K852" s="62" t="n">
        <v>0</v>
      </c>
      <c r="L852" s="62" t="n">
        <v>0</v>
      </c>
      <c r="M852" s="61" t="n">
        <v>0.250549137771798</v>
      </c>
    </row>
    <row r="853" customFormat="false" ht="15" hidden="false" customHeight="true" outlineLevel="0" collapsed="false">
      <c r="A853" s="62" t="n">
        <v>827</v>
      </c>
      <c r="B853" s="59" t="n">
        <v>-0.424630334054582</v>
      </c>
      <c r="C853" s="59" t="n">
        <v>0.258355281158061</v>
      </c>
      <c r="D853" s="59" t="n">
        <v>-0.893329385551192</v>
      </c>
      <c r="E853" s="60" t="n">
        <v>7.08756542769426E-005</v>
      </c>
      <c r="F853" s="61" t="n">
        <v>0.250090523133137</v>
      </c>
      <c r="G853" s="55" t="n">
        <v>52.3790985006103</v>
      </c>
      <c r="H853" s="62" t="n">
        <v>0</v>
      </c>
      <c r="I853" s="62" t="n">
        <v>0</v>
      </c>
      <c r="J853" s="62" t="n">
        <v>0</v>
      </c>
      <c r="K853" s="62" t="n">
        <v>0</v>
      </c>
      <c r="L853" s="62" t="n">
        <v>0</v>
      </c>
      <c r="M853" s="61" t="n">
        <v>0.16060427485494</v>
      </c>
    </row>
    <row r="854" customFormat="false" ht="15" hidden="false" customHeight="true" outlineLevel="0" collapsed="false">
      <c r="A854" s="62" t="n">
        <v>828</v>
      </c>
      <c r="B854" s="59" t="n">
        <v>0.0386097575733231</v>
      </c>
      <c r="C854" s="59" t="n">
        <v>-2.0254436875541</v>
      </c>
      <c r="D854" s="59" t="n">
        <v>0.693199561121001</v>
      </c>
      <c r="E854" s="60" t="n">
        <v>0.00396600184782653</v>
      </c>
      <c r="F854" s="61" t="n">
        <v>0.176267089136149</v>
      </c>
      <c r="G854" s="55" t="n">
        <v>94.5231954251887</v>
      </c>
      <c r="H854" s="62" t="n">
        <v>0</v>
      </c>
      <c r="I854" s="62" t="n">
        <v>0</v>
      </c>
      <c r="J854" s="62" t="n">
        <v>0</v>
      </c>
      <c r="K854" s="62" t="n">
        <v>0</v>
      </c>
      <c r="L854" s="62" t="n">
        <v>0</v>
      </c>
      <c r="M854" s="61" t="n">
        <v>0.158403317650777</v>
      </c>
    </row>
    <row r="855" customFormat="false" ht="15" hidden="false" customHeight="true" outlineLevel="0" collapsed="false">
      <c r="A855" s="62" t="n">
        <v>829</v>
      </c>
      <c r="B855" s="59" t="n">
        <v>0.0939109187072567</v>
      </c>
      <c r="C855" s="59" t="n">
        <v>0.0488915650387621</v>
      </c>
      <c r="D855" s="59" t="n">
        <v>-0.0519859349719035</v>
      </c>
      <c r="E855" s="60" t="n">
        <v>0.000371825828111177</v>
      </c>
      <c r="F855" s="61" t="n">
        <v>0.170010624091863</v>
      </c>
      <c r="G855" s="55" t="n">
        <v>19.1023412988902</v>
      </c>
      <c r="H855" s="62" t="n">
        <v>0</v>
      </c>
      <c r="I855" s="62" t="n">
        <v>0</v>
      </c>
      <c r="J855" s="62" t="n">
        <v>0</v>
      </c>
      <c r="K855" s="62" t="n">
        <v>0</v>
      </c>
      <c r="L855" s="62" t="n">
        <v>0</v>
      </c>
      <c r="M855" s="61" t="n">
        <v>0.158445202851478</v>
      </c>
    </row>
    <row r="856" customFormat="false" ht="15" hidden="false" customHeight="true" outlineLevel="0" collapsed="false">
      <c r="A856" s="62" t="n">
        <v>830</v>
      </c>
      <c r="B856" s="59" t="n">
        <v>-1.10926653543415</v>
      </c>
      <c r="C856" s="59" t="n">
        <v>-0.554041827387275</v>
      </c>
      <c r="D856" s="59" t="n">
        <v>-0.514775689855724</v>
      </c>
      <c r="E856" s="60" t="n">
        <v>0.00114349741866931</v>
      </c>
      <c r="F856" s="61" t="n">
        <v>0.387564247382956</v>
      </c>
      <c r="G856" s="55" t="n">
        <v>121.82230210138</v>
      </c>
      <c r="H856" s="62" t="n">
        <v>0</v>
      </c>
      <c r="I856" s="62" t="n">
        <v>0</v>
      </c>
      <c r="J856" s="62" t="n">
        <v>0</v>
      </c>
      <c r="K856" s="62" t="n">
        <v>0</v>
      </c>
      <c r="L856" s="62" t="n">
        <v>0</v>
      </c>
      <c r="M856" s="61" t="n">
        <v>0.168855598994492</v>
      </c>
    </row>
    <row r="857" customFormat="false" ht="15" hidden="false" customHeight="true" outlineLevel="0" collapsed="false">
      <c r="A857" s="62" t="n">
        <v>831</v>
      </c>
      <c r="B857" s="59" t="n">
        <v>1.23203478644502</v>
      </c>
      <c r="C857" s="59" t="n">
        <v>2.0464650031251</v>
      </c>
      <c r="D857" s="59" t="n">
        <v>1.03615753578116</v>
      </c>
      <c r="E857" s="60" t="n">
        <v>-0.0191380774600909</v>
      </c>
      <c r="F857" s="61" t="n">
        <v>0.0726497745746672</v>
      </c>
      <c r="G857" s="55" t="n">
        <v>-98.0978448770364</v>
      </c>
      <c r="H857" s="62" t="n">
        <v>0</v>
      </c>
      <c r="I857" s="62" t="n">
        <v>0</v>
      </c>
      <c r="J857" s="62" t="n">
        <v>0</v>
      </c>
      <c r="K857" s="62" t="n">
        <v>0</v>
      </c>
      <c r="L857" s="62" t="n">
        <v>0</v>
      </c>
      <c r="M857" s="61" t="n">
        <v>0.158402847561654</v>
      </c>
    </row>
    <row r="858" customFormat="false" ht="15" hidden="false" customHeight="true" outlineLevel="0" collapsed="false">
      <c r="A858" s="62" t="n">
        <v>832</v>
      </c>
      <c r="B858" s="59" t="n">
        <v>0.331495727746036</v>
      </c>
      <c r="C858" s="59" t="n">
        <v>1.1001704149568</v>
      </c>
      <c r="D858" s="59" t="n">
        <v>0.87881792686301</v>
      </c>
      <c r="E858" s="60" t="n">
        <v>0.00224332930550219</v>
      </c>
      <c r="F858" s="61" t="n">
        <v>0.144788759486138</v>
      </c>
      <c r="G858" s="55" t="n">
        <v>31.4454874452474</v>
      </c>
      <c r="H858" s="62" t="n">
        <v>0</v>
      </c>
      <c r="I858" s="62" t="n">
        <v>0</v>
      </c>
      <c r="J858" s="62" t="n">
        <v>0</v>
      </c>
      <c r="K858" s="62" t="n">
        <v>0</v>
      </c>
      <c r="L858" s="62" t="n">
        <v>0</v>
      </c>
      <c r="M858" s="61" t="n">
        <v>0.158402847561654</v>
      </c>
    </row>
    <row r="859" customFormat="false" ht="15" hidden="false" customHeight="true" outlineLevel="0" collapsed="false">
      <c r="A859" s="62" t="n">
        <v>833</v>
      </c>
      <c r="B859" s="59" t="n">
        <v>-1.30356951437911</v>
      </c>
      <c r="C859" s="59" t="n">
        <v>-1.76966218000112</v>
      </c>
      <c r="D859" s="59" t="n">
        <v>-1.05333830571887</v>
      </c>
      <c r="E859" s="60" t="n">
        <v>-0.00656211886989889</v>
      </c>
      <c r="F859" s="61" t="n">
        <v>0.430681334996192</v>
      </c>
      <c r="G859" s="55" t="n">
        <v>208.48144457114</v>
      </c>
      <c r="H859" s="62" t="n">
        <v>0</v>
      </c>
      <c r="I859" s="62" t="n">
        <v>0</v>
      </c>
      <c r="J859" s="62" t="n">
        <v>0</v>
      </c>
      <c r="K859" s="62" t="n">
        <v>0</v>
      </c>
      <c r="L859" s="62" t="n">
        <v>0</v>
      </c>
      <c r="M859" s="61" t="n">
        <v>0.39543781488064</v>
      </c>
    </row>
    <row r="860" customFormat="false" ht="15" hidden="false" customHeight="true" outlineLevel="0" collapsed="false">
      <c r="A860" s="62" t="n">
        <v>834</v>
      </c>
      <c r="B860" s="59" t="n">
        <v>-0.303077407172569</v>
      </c>
      <c r="C860" s="59" t="n">
        <v>-0.043777201393697</v>
      </c>
      <c r="D860" s="59" t="n">
        <v>-0.0410058071648534</v>
      </c>
      <c r="E860" s="60" t="n">
        <v>0.0042850296865829</v>
      </c>
      <c r="F860" s="61" t="n">
        <v>0.228839353771425</v>
      </c>
      <c r="G860" s="55" t="n">
        <v>88.1904093589704</v>
      </c>
      <c r="H860" s="62" t="n">
        <v>0</v>
      </c>
      <c r="I860" s="62" t="n">
        <v>0</v>
      </c>
      <c r="J860" s="62" t="n">
        <v>0</v>
      </c>
      <c r="K860" s="62" t="n">
        <v>0</v>
      </c>
      <c r="L860" s="62" t="n">
        <v>1</v>
      </c>
      <c r="M860" s="61" t="n">
        <v>0.361920943781694</v>
      </c>
    </row>
    <row r="861" customFormat="false" ht="15" hidden="false" customHeight="true" outlineLevel="0" collapsed="false">
      <c r="A861" s="62" t="n">
        <v>835</v>
      </c>
      <c r="B861" s="59" t="n">
        <v>-0.238928335006968</v>
      </c>
      <c r="C861" s="59" t="n">
        <v>0.546353133071003</v>
      </c>
      <c r="D861" s="59" t="n">
        <v>0.42083479884428</v>
      </c>
      <c r="E861" s="60" t="n">
        <v>0.00644645821669546</v>
      </c>
      <c r="F861" s="61" t="n">
        <v>0.218066633081241</v>
      </c>
      <c r="G861" s="55" t="n">
        <v>80.0812806809476</v>
      </c>
      <c r="H861" s="62" t="n">
        <v>0</v>
      </c>
      <c r="I861" s="62" t="n">
        <v>0</v>
      </c>
      <c r="J861" s="62" t="n">
        <v>0</v>
      </c>
      <c r="K861" s="62" t="n">
        <v>0</v>
      </c>
      <c r="L861" s="62" t="n">
        <v>0</v>
      </c>
      <c r="M861" s="61" t="n">
        <v>0.158405844469621</v>
      </c>
    </row>
    <row r="862" customFormat="false" ht="15" hidden="false" customHeight="true" outlineLevel="0" collapsed="false">
      <c r="A862" s="62" t="n">
        <v>836</v>
      </c>
      <c r="B862" s="59" t="n">
        <v>-0.444649983195174</v>
      </c>
      <c r="C862" s="59" t="n">
        <v>-0.28808014488499</v>
      </c>
      <c r="D862" s="59" t="n">
        <v>-0.684048956608606</v>
      </c>
      <c r="E862" s="60" t="n">
        <v>-0.00957510526466602</v>
      </c>
      <c r="F862" s="61" t="n">
        <v>0.253693513638772</v>
      </c>
      <c r="G862" s="55" t="n">
        <v>-2.40320875603557</v>
      </c>
      <c r="H862" s="62" t="n">
        <v>0</v>
      </c>
      <c r="I862" s="62" t="n">
        <v>0</v>
      </c>
      <c r="J862" s="62" t="n">
        <v>0</v>
      </c>
      <c r="K862" s="62" t="n">
        <v>0</v>
      </c>
      <c r="L862" s="62" t="n">
        <v>0</v>
      </c>
      <c r="M862" s="61" t="n">
        <v>0.160001694490385</v>
      </c>
    </row>
    <row r="863" customFormat="false" ht="15" hidden="false" customHeight="true" outlineLevel="0" collapsed="false">
      <c r="A863" s="62" t="n">
        <v>837</v>
      </c>
      <c r="B863" s="59" t="n">
        <v>0.419613096512864</v>
      </c>
      <c r="C863" s="59" t="n">
        <v>-0.698972898543243</v>
      </c>
      <c r="D863" s="59" t="n">
        <v>0.0857496597660513</v>
      </c>
      <c r="E863" s="60" t="n">
        <v>-0.00143446741487668</v>
      </c>
      <c r="F863" s="61" t="n">
        <v>0.13611486409356</v>
      </c>
      <c r="G863" s="55" t="n">
        <v>23.2028602599025</v>
      </c>
      <c r="H863" s="62" t="n">
        <v>0</v>
      </c>
      <c r="I863" s="62" t="n">
        <v>0</v>
      </c>
      <c r="J863" s="62" t="n">
        <v>0</v>
      </c>
      <c r="K863" s="62" t="n">
        <v>0</v>
      </c>
      <c r="L863" s="62" t="n">
        <v>0</v>
      </c>
      <c r="M863" s="61" t="n">
        <v>0.158402847561654</v>
      </c>
    </row>
    <row r="864" customFormat="false" ht="15" hidden="false" customHeight="true" outlineLevel="0" collapsed="false">
      <c r="A864" s="62" t="n">
        <v>838</v>
      </c>
      <c r="B864" s="59" t="n">
        <v>-0.44540659529636</v>
      </c>
      <c r="C864" s="59" t="n">
        <v>0.0675295986787148</v>
      </c>
      <c r="D864" s="59" t="n">
        <v>0.17857114326914</v>
      </c>
      <c r="E864" s="60" t="n">
        <v>-0.00190793964752341</v>
      </c>
      <c r="F864" s="61" t="n">
        <v>0.253830243991464</v>
      </c>
      <c r="G864" s="55" t="n">
        <v>41.4221397168231</v>
      </c>
      <c r="H864" s="62" t="n">
        <v>0</v>
      </c>
      <c r="I864" s="62" t="n">
        <v>0</v>
      </c>
      <c r="J864" s="62" t="n">
        <v>0</v>
      </c>
      <c r="K864" s="62" t="n">
        <v>0</v>
      </c>
      <c r="L864" s="62" t="n">
        <v>0</v>
      </c>
      <c r="M864" s="61" t="n">
        <v>0.158710337505977</v>
      </c>
    </row>
    <row r="865" customFormat="false" ht="15" hidden="false" customHeight="true" outlineLevel="0" collapsed="false">
      <c r="A865" s="62" t="n">
        <v>839</v>
      </c>
      <c r="B865" s="59" t="n">
        <v>1.26776125134448</v>
      </c>
      <c r="C865" s="59" t="n">
        <v>0.565977212029354</v>
      </c>
      <c r="D865" s="59" t="n">
        <v>1.85349104974984</v>
      </c>
      <c r="E865" s="60" t="n">
        <v>0.0107125501565335</v>
      </c>
      <c r="F865" s="61" t="n">
        <v>0.0704966491035125</v>
      </c>
      <c r="G865" s="55" t="n">
        <v>90.0785558080366</v>
      </c>
      <c r="H865" s="62" t="n">
        <v>0</v>
      </c>
      <c r="I865" s="62" t="n">
        <v>0</v>
      </c>
      <c r="J865" s="62" t="n">
        <v>0</v>
      </c>
      <c r="K865" s="62" t="n">
        <v>0</v>
      </c>
      <c r="L865" s="62" t="n">
        <v>0</v>
      </c>
      <c r="M865" s="61" t="n">
        <v>0.158402847561654</v>
      </c>
    </row>
    <row r="866" customFormat="false" ht="15" hidden="false" customHeight="true" outlineLevel="0" collapsed="false">
      <c r="A866" s="62" t="n">
        <v>840</v>
      </c>
      <c r="B866" s="59" t="n">
        <v>0.596778116010645</v>
      </c>
      <c r="C866" s="59" t="n">
        <v>0.411384776032436</v>
      </c>
      <c r="D866" s="59" t="n">
        <v>0.233902000391234</v>
      </c>
      <c r="E866" s="60" t="n">
        <v>0.0167736486564409</v>
      </c>
      <c r="F866" s="61" t="n">
        <v>0.119774764763992</v>
      </c>
      <c r="G866" s="55" t="n">
        <v>131.992664400432</v>
      </c>
      <c r="H866" s="62" t="n">
        <v>0</v>
      </c>
      <c r="I866" s="62" t="n">
        <v>0</v>
      </c>
      <c r="J866" s="62" t="n">
        <v>0</v>
      </c>
      <c r="K866" s="62" t="n">
        <v>0</v>
      </c>
      <c r="L866" s="62" t="n">
        <v>0</v>
      </c>
      <c r="M866" s="61" t="n">
        <v>0.158402847561654</v>
      </c>
    </row>
    <row r="867" customFormat="false" ht="15" hidden="false" customHeight="true" outlineLevel="0" collapsed="false">
      <c r="A867" s="62" t="n">
        <v>841</v>
      </c>
      <c r="B867" s="59" t="n">
        <v>0.115199130625459</v>
      </c>
      <c r="C867" s="59" t="n">
        <v>0.0247576683487286</v>
      </c>
      <c r="D867" s="59" t="n">
        <v>-0.648390841117794</v>
      </c>
      <c r="E867" s="60" t="n">
        <v>0.00667944535621028</v>
      </c>
      <c r="F867" s="61" t="n">
        <v>0.167641038960593</v>
      </c>
      <c r="G867" s="55" t="n">
        <v>62.7834396015788</v>
      </c>
      <c r="H867" s="62" t="n">
        <v>0</v>
      </c>
      <c r="I867" s="62" t="n">
        <v>0</v>
      </c>
      <c r="J867" s="62" t="n">
        <v>0</v>
      </c>
      <c r="K867" s="62" t="n">
        <v>0</v>
      </c>
      <c r="L867" s="62" t="n">
        <v>0</v>
      </c>
      <c r="M867" s="61" t="n">
        <v>0.159156241749883</v>
      </c>
    </row>
    <row r="868" customFormat="false" ht="15" hidden="false" customHeight="true" outlineLevel="0" collapsed="false">
      <c r="A868" s="62" t="n">
        <v>842</v>
      </c>
      <c r="B868" s="59" t="n">
        <v>-1.61513980347894</v>
      </c>
      <c r="C868" s="59" t="n">
        <v>-1.06772383321905</v>
      </c>
      <c r="D868" s="59" t="n">
        <v>0.209963031477283</v>
      </c>
      <c r="E868" s="60" t="n">
        <v>0.00159629674710023</v>
      </c>
      <c r="F868" s="61" t="n">
        <v>0.501587877679104</v>
      </c>
      <c r="G868" s="55" t="n">
        <v>199.124443860845</v>
      </c>
      <c r="H868" s="62" t="n">
        <v>0</v>
      </c>
      <c r="I868" s="62" t="n">
        <v>0</v>
      </c>
      <c r="J868" s="62" t="n">
        <v>0</v>
      </c>
      <c r="K868" s="62" t="n">
        <v>0</v>
      </c>
      <c r="L868" s="62" t="n">
        <v>0</v>
      </c>
      <c r="M868" s="61" t="n">
        <v>0.310836997404088</v>
      </c>
    </row>
    <row r="869" customFormat="false" ht="15" hidden="false" customHeight="true" outlineLevel="0" collapsed="false">
      <c r="A869" s="62" t="n">
        <v>843</v>
      </c>
      <c r="B869" s="59" t="n">
        <v>-0.245280004453776</v>
      </c>
      <c r="C869" s="59" t="n">
        <v>-0.29302154824761</v>
      </c>
      <c r="D869" s="59" t="n">
        <v>0.213057532457388</v>
      </c>
      <c r="E869" s="60" t="n">
        <v>0.0053403317030029</v>
      </c>
      <c r="F869" s="61" t="n">
        <v>0.219119418534473</v>
      </c>
      <c r="G869" s="55" t="n">
        <v>92.7964511641779</v>
      </c>
      <c r="H869" s="62" t="n">
        <v>0</v>
      </c>
      <c r="I869" s="62" t="n">
        <v>0</v>
      </c>
      <c r="J869" s="62" t="n">
        <v>0</v>
      </c>
      <c r="K869" s="62" t="n">
        <v>0</v>
      </c>
      <c r="L869" s="62" t="n">
        <v>1</v>
      </c>
      <c r="M869" s="61" t="n">
        <v>0.361821080177344</v>
      </c>
    </row>
    <row r="870" customFormat="false" ht="15" hidden="false" customHeight="true" outlineLevel="0" collapsed="false">
      <c r="A870" s="62" t="n">
        <v>844</v>
      </c>
      <c r="B870" s="59" t="n">
        <v>-2.16305820477803</v>
      </c>
      <c r="C870" s="59" t="n">
        <v>1.1436677360681</v>
      </c>
      <c r="D870" s="59" t="n">
        <v>-2.1756553376225</v>
      </c>
      <c r="E870" s="60" t="n">
        <v>-0.00350165822878452</v>
      </c>
      <c r="F870" s="61" t="n">
        <v>0.618356739634715</v>
      </c>
      <c r="G870" s="55" t="n">
        <v>851.527149216681</v>
      </c>
      <c r="H870" s="62" t="n">
        <v>13</v>
      </c>
      <c r="I870" s="62" t="n">
        <v>3</v>
      </c>
      <c r="J870" s="62" t="n">
        <v>4</v>
      </c>
      <c r="K870" s="62" t="n">
        <v>1</v>
      </c>
      <c r="L870" s="62" t="n">
        <v>0</v>
      </c>
      <c r="M870" s="61" t="n">
        <v>0.999999999999999</v>
      </c>
    </row>
    <row r="871" customFormat="false" ht="15" hidden="false" customHeight="true" outlineLevel="0" collapsed="false">
      <c r="A871" s="62" t="n">
        <v>845</v>
      </c>
      <c r="B871" s="59" t="n">
        <v>-2.64357449055153</v>
      </c>
      <c r="C871" s="59" t="n">
        <v>-1.10299923018215</v>
      </c>
      <c r="D871" s="59" t="n">
        <v>-1.38066020015563</v>
      </c>
      <c r="E871" s="60" t="n">
        <v>0.015804407111962</v>
      </c>
      <c r="F871" s="61" t="n">
        <v>0.700222580791492</v>
      </c>
      <c r="G871" s="55" t="n">
        <v>931.768116023176</v>
      </c>
      <c r="H871" s="62" t="n">
        <v>16</v>
      </c>
      <c r="I871" s="62" t="n">
        <v>3</v>
      </c>
      <c r="J871" s="62" t="n">
        <v>4</v>
      </c>
      <c r="K871" s="62" t="n">
        <v>1</v>
      </c>
      <c r="L871" s="62" t="n">
        <v>0</v>
      </c>
      <c r="M871" s="61" t="n">
        <v>1</v>
      </c>
    </row>
    <row r="872" customFormat="false" ht="15" hidden="false" customHeight="true" outlineLevel="0" collapsed="false">
      <c r="A872" s="62" t="n">
        <v>846</v>
      </c>
      <c r="B872" s="59" t="n">
        <v>-0.590366514058352</v>
      </c>
      <c r="C872" s="59" t="n">
        <v>0.374835951885969</v>
      </c>
      <c r="D872" s="59" t="n">
        <v>0.0540699702459007</v>
      </c>
      <c r="E872" s="60" t="n">
        <v>-0.0049393599226951</v>
      </c>
      <c r="F872" s="61" t="n">
        <v>0.280761704380781</v>
      </c>
      <c r="G872" s="55" t="n">
        <v>34.9457480122738</v>
      </c>
      <c r="H872" s="62" t="n">
        <v>0</v>
      </c>
      <c r="I872" s="62" t="n">
        <v>0</v>
      </c>
      <c r="J872" s="62" t="n">
        <v>0</v>
      </c>
      <c r="K872" s="62" t="n">
        <v>0</v>
      </c>
      <c r="L872" s="62" t="n">
        <v>0</v>
      </c>
      <c r="M872" s="61" t="n">
        <v>0.158768906139498</v>
      </c>
    </row>
    <row r="873" customFormat="false" ht="15" hidden="false" customHeight="true" outlineLevel="0" collapsed="false">
      <c r="A873" s="62" t="n">
        <v>847</v>
      </c>
      <c r="B873" s="59" t="n">
        <v>-0.0196937996707301</v>
      </c>
      <c r="C873" s="59" t="n">
        <v>0.229960646103936</v>
      </c>
      <c r="D873" s="59" t="n">
        <v>1.00918770974997</v>
      </c>
      <c r="E873" s="60" t="n">
        <v>-0.00189239932024609</v>
      </c>
      <c r="F873" s="61" t="n">
        <v>0.183631680421489</v>
      </c>
      <c r="G873" s="55" t="n">
        <v>6.70008852663619</v>
      </c>
      <c r="H873" s="62" t="n">
        <v>0</v>
      </c>
      <c r="I873" s="62" t="n">
        <v>0</v>
      </c>
      <c r="J873" s="62" t="n">
        <v>0</v>
      </c>
      <c r="K873" s="62" t="n">
        <v>0</v>
      </c>
      <c r="L873" s="62" t="n">
        <v>0</v>
      </c>
      <c r="M873" s="61" t="n">
        <v>0.15840318955681</v>
      </c>
    </row>
    <row r="874" customFormat="false" ht="15" hidden="false" customHeight="true" outlineLevel="0" collapsed="false">
      <c r="A874" s="62" t="n">
        <v>848</v>
      </c>
      <c r="B874" s="59" t="n">
        <v>-0.98641090587245</v>
      </c>
      <c r="C874" s="59" t="n">
        <v>-0.872300262389557</v>
      </c>
      <c r="D874" s="59" t="n">
        <v>-1.60624133370049</v>
      </c>
      <c r="E874" s="60" t="n">
        <v>-0.0196605212050638</v>
      </c>
      <c r="F874" s="61" t="n">
        <v>0.361025387771449</v>
      </c>
      <c r="G874" s="55" t="n">
        <v>61.9322839879289</v>
      </c>
      <c r="H874" s="62" t="n">
        <v>0</v>
      </c>
      <c r="I874" s="62" t="n">
        <v>0</v>
      </c>
      <c r="J874" s="62" t="n">
        <v>0</v>
      </c>
      <c r="K874" s="62" t="n">
        <v>0</v>
      </c>
      <c r="L874" s="62" t="n">
        <v>0</v>
      </c>
      <c r="M874" s="61" t="n">
        <v>0.253976594033498</v>
      </c>
    </row>
    <row r="875" customFormat="false" ht="15" hidden="false" customHeight="true" outlineLevel="0" collapsed="false">
      <c r="A875" s="62" t="n">
        <v>849</v>
      </c>
      <c r="B875" s="59" t="n">
        <v>-2.42797531670989</v>
      </c>
      <c r="C875" s="59" t="n">
        <v>-2.12619718024563</v>
      </c>
      <c r="D875" s="59" t="n">
        <v>-1.90647659930623</v>
      </c>
      <c r="E875" s="60" t="n">
        <v>0.00285087211794765</v>
      </c>
      <c r="F875" s="61" t="n">
        <v>0.66438504743972</v>
      </c>
      <c r="G875" s="55" t="n">
        <v>917.569489739443</v>
      </c>
      <c r="H875" s="62" t="n">
        <v>15</v>
      </c>
      <c r="I875" s="62" t="n">
        <v>3</v>
      </c>
      <c r="J875" s="62" t="n">
        <v>4</v>
      </c>
      <c r="K875" s="62" t="n">
        <v>1</v>
      </c>
      <c r="L875" s="62" t="n">
        <v>0</v>
      </c>
      <c r="M875" s="61" t="n">
        <v>1</v>
      </c>
    </row>
    <row r="876" customFormat="false" ht="15" hidden="false" customHeight="true" outlineLevel="0" collapsed="false">
      <c r="A876" s="62" t="n">
        <v>850</v>
      </c>
      <c r="B876" s="59" t="n">
        <v>-0.101544764796811</v>
      </c>
      <c r="C876" s="59" t="n">
        <v>0.551290675509932</v>
      </c>
      <c r="D876" s="59" t="n">
        <v>0.342366090233167</v>
      </c>
      <c r="E876" s="60" t="n">
        <v>0.000478591248741145</v>
      </c>
      <c r="F876" s="61" t="n">
        <v>0.196052003208134</v>
      </c>
      <c r="G876" s="55" t="n">
        <v>27.7161990569629</v>
      </c>
      <c r="H876" s="62" t="n">
        <v>0</v>
      </c>
      <c r="I876" s="62" t="n">
        <v>0</v>
      </c>
      <c r="J876" s="62" t="n">
        <v>0</v>
      </c>
      <c r="K876" s="62" t="n">
        <v>0</v>
      </c>
      <c r="L876" s="62" t="n">
        <v>0</v>
      </c>
      <c r="M876" s="61" t="n">
        <v>0.158403547447499</v>
      </c>
    </row>
    <row r="877" customFormat="false" ht="15" hidden="false" customHeight="true" outlineLevel="0" collapsed="false">
      <c r="A877" s="62" t="n">
        <v>851</v>
      </c>
      <c r="B877" s="59" t="n">
        <v>-0.859365400499792</v>
      </c>
      <c r="C877" s="59" t="n">
        <v>-0.683442994222815</v>
      </c>
      <c r="D877" s="59" t="n">
        <v>-0.342553235637909</v>
      </c>
      <c r="E877" s="60" t="n">
        <v>-0.00715442667760177</v>
      </c>
      <c r="F877" s="61" t="n">
        <v>0.334320172380324</v>
      </c>
      <c r="G877" s="55" t="n">
        <v>49.4411397925517</v>
      </c>
      <c r="H877" s="62" t="n">
        <v>0</v>
      </c>
      <c r="I877" s="62" t="n">
        <v>0</v>
      </c>
      <c r="J877" s="62" t="n">
        <v>0</v>
      </c>
      <c r="K877" s="62" t="n">
        <v>0</v>
      </c>
      <c r="L877" s="62" t="n">
        <v>0</v>
      </c>
      <c r="M877" s="61" t="n">
        <v>0.163320044910723</v>
      </c>
    </row>
    <row r="878" customFormat="false" ht="15" hidden="false" customHeight="true" outlineLevel="0" collapsed="false">
      <c r="A878" s="62" t="n">
        <v>852</v>
      </c>
      <c r="B878" s="59" t="n">
        <v>-0.673675224258384</v>
      </c>
      <c r="C878" s="59" t="n">
        <v>-0.778480557720901</v>
      </c>
      <c r="D878" s="59" t="n">
        <v>-1.63491309112039</v>
      </c>
      <c r="E878" s="60" t="n">
        <v>-0.0184099611421881</v>
      </c>
      <c r="F878" s="61" t="n">
        <v>0.296875477142251</v>
      </c>
      <c r="G878" s="55" t="n">
        <v>-7.86907318140722</v>
      </c>
      <c r="H878" s="62" t="n">
        <v>0</v>
      </c>
      <c r="I878" s="62" t="n">
        <v>0</v>
      </c>
      <c r="J878" s="62" t="n">
        <v>0</v>
      </c>
      <c r="K878" s="62" t="n">
        <v>0</v>
      </c>
      <c r="L878" s="62" t="n">
        <v>0</v>
      </c>
      <c r="M878" s="61" t="n">
        <v>0.182342934422445</v>
      </c>
    </row>
    <row r="879" customFormat="false" ht="15" hidden="false" customHeight="true" outlineLevel="0" collapsed="false">
      <c r="A879" s="62" t="n">
        <v>853</v>
      </c>
      <c r="B879" s="59" t="n">
        <v>-1.25636230571962</v>
      </c>
      <c r="C879" s="59" t="n">
        <v>-0.558525709380748</v>
      </c>
      <c r="D879" s="59" t="n">
        <v>-0.361270475672412</v>
      </c>
      <c r="E879" s="60" t="n">
        <v>0.000858131461553009</v>
      </c>
      <c r="F879" s="61" t="n">
        <v>0.420097872994289</v>
      </c>
      <c r="G879" s="55" t="n">
        <v>137.400974787885</v>
      </c>
      <c r="H879" s="62" t="n">
        <v>0</v>
      </c>
      <c r="I879" s="62" t="n">
        <v>0</v>
      </c>
      <c r="J879" s="62" t="n">
        <v>0</v>
      </c>
      <c r="K879" s="62" t="n">
        <v>0</v>
      </c>
      <c r="L879" s="62" t="n">
        <v>0</v>
      </c>
      <c r="M879" s="61" t="n">
        <v>0.190078837441843</v>
      </c>
    </row>
    <row r="880" customFormat="false" ht="15" hidden="false" customHeight="true" outlineLevel="0" collapsed="false">
      <c r="A880" s="62" t="n">
        <v>854</v>
      </c>
      <c r="B880" s="59" t="n">
        <v>0.945917734612652</v>
      </c>
      <c r="C880" s="59" t="n">
        <v>0.669943079893656</v>
      </c>
      <c r="D880" s="59" t="n">
        <v>0.654297280661515</v>
      </c>
      <c r="E880" s="60" t="n">
        <v>-0.00180494155212585</v>
      </c>
      <c r="F880" s="61" t="n">
        <v>0.0917400799455549</v>
      </c>
      <c r="G880" s="55" t="n">
        <v>5.35649483559046</v>
      </c>
      <c r="H880" s="62" t="n">
        <v>0</v>
      </c>
      <c r="I880" s="62" t="n">
        <v>0</v>
      </c>
      <c r="J880" s="62" t="n">
        <v>0</v>
      </c>
      <c r="K880" s="62" t="n">
        <v>0</v>
      </c>
      <c r="L880" s="62" t="n">
        <v>0</v>
      </c>
      <c r="M880" s="61" t="n">
        <v>0.158402847561654</v>
      </c>
    </row>
    <row r="881" customFormat="false" ht="15" hidden="false" customHeight="true" outlineLevel="0" collapsed="false">
      <c r="A881" s="62" t="n">
        <v>855</v>
      </c>
      <c r="B881" s="59" t="n">
        <v>-0.6831274600567</v>
      </c>
      <c r="C881" s="59" t="n">
        <v>-0.470470322730793</v>
      </c>
      <c r="D881" s="59" t="n">
        <v>0.597702366235921</v>
      </c>
      <c r="E881" s="60" t="n">
        <v>-0.0341149045919392</v>
      </c>
      <c r="F881" s="61" t="n">
        <v>0.298731732942002</v>
      </c>
      <c r="G881" s="55" t="n">
        <v>-128.345497838925</v>
      </c>
      <c r="H881" s="62" t="n">
        <v>0</v>
      </c>
      <c r="I881" s="62" t="n">
        <v>0</v>
      </c>
      <c r="J881" s="62" t="n">
        <v>0</v>
      </c>
      <c r="K881" s="62" t="n">
        <v>0</v>
      </c>
      <c r="L881" s="62" t="n">
        <v>0</v>
      </c>
      <c r="M881" s="61" t="n">
        <v>0.158821176883786</v>
      </c>
    </row>
    <row r="882" customFormat="false" ht="15" hidden="false" customHeight="true" outlineLevel="0" collapsed="false">
      <c r="A882" s="62" t="n">
        <v>856</v>
      </c>
      <c r="B882" s="59" t="n">
        <v>-0.621849030534895</v>
      </c>
      <c r="C882" s="59" t="n">
        <v>-1.5041076120028</v>
      </c>
      <c r="D882" s="59" t="n">
        <v>-0.321491476600051</v>
      </c>
      <c r="E882" s="60" t="n">
        <v>-0.000439540561753792</v>
      </c>
      <c r="F882" s="61" t="n">
        <v>0.286798366356441</v>
      </c>
      <c r="G882" s="55" t="n">
        <v>90.4666258483694</v>
      </c>
      <c r="H882" s="62" t="n">
        <v>0</v>
      </c>
      <c r="I882" s="62" t="n">
        <v>0</v>
      </c>
      <c r="J882" s="62" t="n">
        <v>0</v>
      </c>
      <c r="K882" s="62" t="n">
        <v>0</v>
      </c>
      <c r="L882" s="62" t="n">
        <v>0</v>
      </c>
      <c r="M882" s="61" t="n">
        <v>0.15938160902616</v>
      </c>
    </row>
    <row r="883" customFormat="false" ht="15" hidden="false" customHeight="true" outlineLevel="0" collapsed="false">
      <c r="A883" s="62" t="n">
        <v>857</v>
      </c>
      <c r="B883" s="59" t="n">
        <v>0.530617292511496</v>
      </c>
      <c r="C883" s="59" t="n">
        <v>-0.707793343024487</v>
      </c>
      <c r="D883" s="59" t="n">
        <v>0.878912120196943</v>
      </c>
      <c r="E883" s="60" t="n">
        <v>0.00248020917809353</v>
      </c>
      <c r="F883" s="61" t="n">
        <v>0.125706421937035</v>
      </c>
      <c r="G883" s="55" t="n">
        <v>49.0627130139043</v>
      </c>
      <c r="H883" s="62" t="n">
        <v>0</v>
      </c>
      <c r="I883" s="62" t="n">
        <v>0</v>
      </c>
      <c r="J883" s="62" t="n">
        <v>0</v>
      </c>
      <c r="K883" s="62" t="n">
        <v>0</v>
      </c>
      <c r="L883" s="62" t="n">
        <v>0</v>
      </c>
      <c r="M883" s="61" t="n">
        <v>0.158402847561654</v>
      </c>
    </row>
    <row r="884" customFormat="false" ht="15" hidden="false" customHeight="true" outlineLevel="0" collapsed="false">
      <c r="A884" s="62" t="n">
        <v>858</v>
      </c>
      <c r="B884" s="59" t="n">
        <v>0.596055819303557</v>
      </c>
      <c r="C884" s="59" t="n">
        <v>0.8419979849151</v>
      </c>
      <c r="D884" s="59" t="n">
        <v>-0.0295112347303291</v>
      </c>
      <c r="E884" s="60" t="n">
        <v>-0.0106705915833513</v>
      </c>
      <c r="F884" s="61" t="n">
        <v>0.119838434613713</v>
      </c>
      <c r="G884" s="55" t="n">
        <v>-47.4961621048266</v>
      </c>
      <c r="H884" s="62" t="n">
        <v>0</v>
      </c>
      <c r="I884" s="62" t="n">
        <v>0</v>
      </c>
      <c r="J884" s="62" t="n">
        <v>0</v>
      </c>
      <c r="K884" s="62" t="n">
        <v>0</v>
      </c>
      <c r="L884" s="62" t="n">
        <v>0</v>
      </c>
      <c r="M884" s="61" t="n">
        <v>0.158426308491841</v>
      </c>
    </row>
    <row r="885" customFormat="false" ht="15" hidden="false" customHeight="true" outlineLevel="0" collapsed="false">
      <c r="A885" s="62" t="n">
        <v>859</v>
      </c>
      <c r="B885" s="59" t="n">
        <v>-0.220036636493111</v>
      </c>
      <c r="C885" s="59" t="n">
        <v>0.460518709399413</v>
      </c>
      <c r="D885" s="59" t="n">
        <v>-1.22880567147046</v>
      </c>
      <c r="E885" s="60" t="n">
        <v>0.0185056642194694</v>
      </c>
      <c r="F885" s="61" t="n">
        <v>0.214953477149458</v>
      </c>
      <c r="G885" s="55" t="n">
        <v>164.164237049836</v>
      </c>
      <c r="H885" s="62" t="n">
        <v>0</v>
      </c>
      <c r="I885" s="62" t="n">
        <v>0</v>
      </c>
      <c r="J885" s="62" t="n">
        <v>0</v>
      </c>
      <c r="K885" s="62" t="n">
        <v>0</v>
      </c>
      <c r="L885" s="62" t="n">
        <v>0</v>
      </c>
      <c r="M885" s="61" t="n">
        <v>0.161462846865553</v>
      </c>
    </row>
    <row r="886" customFormat="false" ht="15" hidden="false" customHeight="true" outlineLevel="0" collapsed="false">
      <c r="A886" s="62" t="n">
        <v>860</v>
      </c>
      <c r="B886" s="59" t="n">
        <v>0.489581763475119</v>
      </c>
      <c r="C886" s="59" t="n">
        <v>0.801344116774453</v>
      </c>
      <c r="D886" s="59" t="n">
        <v>-0.259476181266075</v>
      </c>
      <c r="E886" s="60" t="n">
        <v>0.00422536735260597</v>
      </c>
      <c r="F886" s="61" t="n">
        <v>0.129487227518647</v>
      </c>
      <c r="G886" s="55" t="n">
        <v>45.2493673450691</v>
      </c>
      <c r="H886" s="62" t="n">
        <v>0</v>
      </c>
      <c r="I886" s="62" t="n">
        <v>0</v>
      </c>
      <c r="J886" s="62" t="n">
        <v>0</v>
      </c>
      <c r="K886" s="62" t="n">
        <v>0</v>
      </c>
      <c r="L886" s="62" t="n">
        <v>0</v>
      </c>
      <c r="M886" s="61" t="n">
        <v>0.15863994575728</v>
      </c>
    </row>
    <row r="887" customFormat="false" ht="15" hidden="false" customHeight="true" outlineLevel="0" collapsed="false">
      <c r="A887" s="62" t="n">
        <v>861</v>
      </c>
      <c r="B887" s="59" t="n">
        <v>1.2520438033331</v>
      </c>
      <c r="C887" s="59" t="n">
        <v>1.83789007961485</v>
      </c>
      <c r="D887" s="59" t="n">
        <v>0.843985955920608</v>
      </c>
      <c r="E887" s="60" t="n">
        <v>0.0137003563479868</v>
      </c>
      <c r="F887" s="61" t="n">
        <v>0.071437793275117</v>
      </c>
      <c r="G887" s="55" t="n">
        <v>110.41275880275</v>
      </c>
      <c r="H887" s="62" t="n">
        <v>0</v>
      </c>
      <c r="I887" s="62" t="n">
        <v>0</v>
      </c>
      <c r="J887" s="62" t="n">
        <v>0</v>
      </c>
      <c r="K887" s="62" t="n">
        <v>0</v>
      </c>
      <c r="L887" s="62" t="n">
        <v>0</v>
      </c>
      <c r="M887" s="61" t="n">
        <v>0.158402847561654</v>
      </c>
    </row>
    <row r="888" customFormat="false" ht="15" hidden="false" customHeight="true" outlineLevel="0" collapsed="false">
      <c r="A888" s="62" t="n">
        <v>862</v>
      </c>
      <c r="B888" s="59" t="n">
        <v>-1.11421324116521</v>
      </c>
      <c r="C888" s="59" t="n">
        <v>-0.185723420276095</v>
      </c>
      <c r="D888" s="59" t="n">
        <v>-0.827124775053505</v>
      </c>
      <c r="E888" s="60" t="n">
        <v>-0.00165213810928741</v>
      </c>
      <c r="F888" s="61" t="n">
        <v>0.388645877893195</v>
      </c>
      <c r="G888" s="55" t="n">
        <v>114.212588086127</v>
      </c>
      <c r="H888" s="62" t="n">
        <v>0</v>
      </c>
      <c r="I888" s="62" t="n">
        <v>0</v>
      </c>
      <c r="J888" s="62" t="n">
        <v>0</v>
      </c>
      <c r="K888" s="62" t="n">
        <v>0</v>
      </c>
      <c r="L888" s="62" t="n">
        <v>0</v>
      </c>
      <c r="M888" s="61" t="n">
        <v>0.193976307952752</v>
      </c>
    </row>
    <row r="889" customFormat="false" ht="15" hidden="false" customHeight="true" outlineLevel="0" collapsed="false">
      <c r="A889" s="62" t="n">
        <v>863</v>
      </c>
      <c r="B889" s="59" t="n">
        <v>0.341038357233099</v>
      </c>
      <c r="C889" s="59" t="n">
        <v>1.10127223747147</v>
      </c>
      <c r="D889" s="59" t="n">
        <v>0.926011681259389</v>
      </c>
      <c r="E889" s="60" t="n">
        <v>0.00457762314405457</v>
      </c>
      <c r="F889" s="61" t="n">
        <v>0.143831731492676</v>
      </c>
      <c r="G889" s="55" t="n">
        <v>47.5538250045428</v>
      </c>
      <c r="H889" s="62" t="n">
        <v>0</v>
      </c>
      <c r="I889" s="62" t="n">
        <v>0</v>
      </c>
      <c r="J889" s="62" t="n">
        <v>0</v>
      </c>
      <c r="K889" s="62" t="n">
        <v>0</v>
      </c>
      <c r="L889" s="62" t="n">
        <v>0</v>
      </c>
      <c r="M889" s="61" t="n">
        <v>0.158402847561654</v>
      </c>
    </row>
    <row r="890" customFormat="false" ht="15" hidden="false" customHeight="true" outlineLevel="0" collapsed="false">
      <c r="A890" s="62" t="n">
        <v>864</v>
      </c>
      <c r="B890" s="59" t="n">
        <v>-1.44582229254476</v>
      </c>
      <c r="C890" s="59" t="n">
        <v>-1.28182573472384</v>
      </c>
      <c r="D890" s="59" t="n">
        <v>1.26679158022596</v>
      </c>
      <c r="E890" s="60" t="n">
        <v>0.0142386719652752</v>
      </c>
      <c r="F890" s="61" t="n">
        <v>0.462884164860521</v>
      </c>
      <c r="G890" s="55" t="n">
        <v>435.575507427152</v>
      </c>
      <c r="H890" s="62" t="n">
        <v>7</v>
      </c>
      <c r="I890" s="62" t="n">
        <v>0</v>
      </c>
      <c r="J890" s="62" t="n">
        <v>0</v>
      </c>
      <c r="K890" s="62" t="n">
        <v>1</v>
      </c>
      <c r="L890" s="62" t="n">
        <v>0</v>
      </c>
      <c r="M890" s="61" t="n">
        <v>0.999978332423121</v>
      </c>
    </row>
    <row r="891" customFormat="false" ht="15" hidden="false" customHeight="true" outlineLevel="0" collapsed="false">
      <c r="A891" s="62" t="n">
        <v>865</v>
      </c>
      <c r="B891" s="59" t="n">
        <v>1.02039321759393</v>
      </c>
      <c r="C891" s="59" t="n">
        <v>1.07757043893284</v>
      </c>
      <c r="D891" s="59" t="n">
        <v>1.35339818661445</v>
      </c>
      <c r="E891" s="60" t="n">
        <v>0.0223134302777281</v>
      </c>
      <c r="F891" s="61" t="n">
        <v>0.0864465915173031</v>
      </c>
      <c r="G891" s="55" t="n">
        <v>187.066226140061</v>
      </c>
      <c r="H891" s="62" t="n">
        <v>0</v>
      </c>
      <c r="I891" s="62" t="n">
        <v>0</v>
      </c>
      <c r="J891" s="62" t="n">
        <v>0</v>
      </c>
      <c r="K891" s="62" t="n">
        <v>0</v>
      </c>
      <c r="L891" s="62" t="n">
        <v>1</v>
      </c>
      <c r="M891" s="61" t="n">
        <v>0.361450347627867</v>
      </c>
    </row>
    <row r="892" customFormat="false" ht="15" hidden="false" customHeight="true" outlineLevel="0" collapsed="false">
      <c r="A892" s="62" t="n">
        <v>866</v>
      </c>
      <c r="B892" s="59" t="n">
        <v>-0.384117634839348</v>
      </c>
      <c r="C892" s="59" t="n">
        <v>1.35828162400614</v>
      </c>
      <c r="D892" s="59" t="n">
        <v>0.0356855197494063</v>
      </c>
      <c r="E892" s="60" t="n">
        <v>0.00394633525435894</v>
      </c>
      <c r="F892" s="61" t="n">
        <v>0.242887545788839</v>
      </c>
      <c r="G892" s="55" t="n">
        <v>74.4091147345886</v>
      </c>
      <c r="H892" s="62" t="n">
        <v>0</v>
      </c>
      <c r="I892" s="62" t="n">
        <v>0</v>
      </c>
      <c r="J892" s="62" t="n">
        <v>0</v>
      </c>
      <c r="K892" s="62" t="n">
        <v>0</v>
      </c>
      <c r="L892" s="62" t="n">
        <v>0</v>
      </c>
      <c r="M892" s="61" t="n">
        <v>0.158442141438805</v>
      </c>
    </row>
    <row r="893" customFormat="false" ht="15" hidden="false" customHeight="true" outlineLevel="0" collapsed="false">
      <c r="A893" s="62" t="n">
        <v>867</v>
      </c>
      <c r="B893" s="59" t="n">
        <v>-0.210669972897442</v>
      </c>
      <c r="C893" s="59" t="n">
        <v>-0.507298785729883</v>
      </c>
      <c r="D893" s="59" t="n">
        <v>0.168967086113892</v>
      </c>
      <c r="E893" s="60" t="n">
        <v>0.0100054226817395</v>
      </c>
      <c r="F893" s="61" t="n">
        <v>0.213420037093131</v>
      </c>
      <c r="G893" s="55" t="n">
        <v>127.397103257264</v>
      </c>
      <c r="H893" s="62" t="n">
        <v>0</v>
      </c>
      <c r="I893" s="62" t="n">
        <v>0</v>
      </c>
      <c r="J893" s="62" t="n">
        <v>0</v>
      </c>
      <c r="K893" s="62" t="n">
        <v>0</v>
      </c>
      <c r="L893" s="62" t="n">
        <v>1</v>
      </c>
      <c r="M893" s="61" t="n">
        <v>0.361808814962701</v>
      </c>
    </row>
    <row r="894" customFormat="false" ht="15" hidden="false" customHeight="true" outlineLevel="0" collapsed="false">
      <c r="A894" s="62" t="n">
        <v>868</v>
      </c>
      <c r="B894" s="59" t="n">
        <v>0.128948629796969</v>
      </c>
      <c r="C894" s="59" t="n">
        <v>0.489279194715142</v>
      </c>
      <c r="D894" s="59" t="n">
        <v>0.14366638853586</v>
      </c>
      <c r="E894" s="60" t="n">
        <v>-0.0131846604300632</v>
      </c>
      <c r="F894" s="61" t="n">
        <v>0.166122067958079</v>
      </c>
      <c r="G894" s="55" t="n">
        <v>-62.3128257159142</v>
      </c>
      <c r="H894" s="62" t="n">
        <v>0</v>
      </c>
      <c r="I894" s="62" t="n">
        <v>0</v>
      </c>
      <c r="J894" s="62" t="n">
        <v>0</v>
      </c>
      <c r="K894" s="62" t="n">
        <v>0</v>
      </c>
      <c r="L894" s="62" t="n">
        <v>0</v>
      </c>
      <c r="M894" s="61" t="n">
        <v>0.158402941252986</v>
      </c>
    </row>
    <row r="895" customFormat="false" ht="15" hidden="false" customHeight="true" outlineLevel="0" collapsed="false">
      <c r="A895" s="62" t="n">
        <v>869</v>
      </c>
      <c r="B895" s="59" t="n">
        <v>-0.0776722643184816</v>
      </c>
      <c r="C895" s="59" t="n">
        <v>-0.330994188568223</v>
      </c>
      <c r="D895" s="59" t="n">
        <v>-0.0436156783868337</v>
      </c>
      <c r="E895" s="60" t="n">
        <v>0.00618595948362853</v>
      </c>
      <c r="F895" s="61" t="n">
        <v>0.192375502949731</v>
      </c>
      <c r="G895" s="55" t="n">
        <v>71.3290263276425</v>
      </c>
      <c r="H895" s="62" t="n">
        <v>0</v>
      </c>
      <c r="I895" s="62" t="n">
        <v>0</v>
      </c>
      <c r="J895" s="62" t="n">
        <v>0</v>
      </c>
      <c r="K895" s="62" t="n">
        <v>0</v>
      </c>
      <c r="L895" s="62" t="n">
        <v>0</v>
      </c>
      <c r="M895" s="61" t="n">
        <v>0.158439042980866</v>
      </c>
    </row>
    <row r="896" customFormat="false" ht="15" hidden="false" customHeight="true" outlineLevel="0" collapsed="false">
      <c r="A896" s="62" t="n">
        <v>870</v>
      </c>
      <c r="B896" s="59" t="n">
        <v>-0.246173462218857</v>
      </c>
      <c r="C896" s="59" t="n">
        <v>0.385231651129678</v>
      </c>
      <c r="D896" s="59" t="n">
        <v>0.0908026860320097</v>
      </c>
      <c r="E896" s="60" t="n">
        <v>-0.00342204560630444</v>
      </c>
      <c r="F896" s="61" t="n">
        <v>0.219267754268609</v>
      </c>
      <c r="G896" s="55" t="n">
        <v>15.9029156753785</v>
      </c>
      <c r="H896" s="62" t="n">
        <v>0</v>
      </c>
      <c r="I896" s="62" t="n">
        <v>0</v>
      </c>
      <c r="J896" s="62" t="n">
        <v>0</v>
      </c>
      <c r="K896" s="62" t="n">
        <v>0</v>
      </c>
      <c r="L896" s="62" t="n">
        <v>0</v>
      </c>
      <c r="M896" s="61" t="n">
        <v>0.158406103264113</v>
      </c>
    </row>
    <row r="897" customFormat="false" ht="15" hidden="false" customHeight="true" outlineLevel="0" collapsed="false">
      <c r="A897" s="62" t="n">
        <v>871</v>
      </c>
      <c r="B897" s="59" t="n">
        <v>-0.523331908115625</v>
      </c>
      <c r="C897" s="59" t="n">
        <v>0.559320956788071</v>
      </c>
      <c r="D897" s="59" t="n">
        <v>0.286555835002462</v>
      </c>
      <c r="E897" s="60" t="n">
        <v>0.00537441224743432</v>
      </c>
      <c r="F897" s="61" t="n">
        <v>0.268128098371341</v>
      </c>
      <c r="G897" s="55" t="n">
        <v>95.8695812189248</v>
      </c>
      <c r="H897" s="62" t="n">
        <v>0</v>
      </c>
      <c r="I897" s="62" t="n">
        <v>0</v>
      </c>
      <c r="J897" s="62" t="n">
        <v>0</v>
      </c>
      <c r="K897" s="62" t="n">
        <v>0</v>
      </c>
      <c r="L897" s="62" t="n">
        <v>0</v>
      </c>
      <c r="M897" s="61" t="n">
        <v>0.158741527865611</v>
      </c>
    </row>
    <row r="898" customFormat="false" ht="15" hidden="false" customHeight="true" outlineLevel="0" collapsed="false">
      <c r="A898" s="62" t="n">
        <v>872</v>
      </c>
      <c r="B898" s="59" t="n">
        <v>-1.38198186281788</v>
      </c>
      <c r="C898" s="59" t="n">
        <v>1.02814076080277</v>
      </c>
      <c r="D898" s="59" t="n">
        <v>-0.57716301630655</v>
      </c>
      <c r="E898" s="60" t="n">
        <v>0.00851643393022216</v>
      </c>
      <c r="F898" s="61" t="n">
        <v>0.448382042055691</v>
      </c>
      <c r="G898" s="55" t="n">
        <v>215.185579038689</v>
      </c>
      <c r="H898" s="62" t="n">
        <v>0</v>
      </c>
      <c r="I898" s="62" t="n">
        <v>0</v>
      </c>
      <c r="J898" s="62" t="n">
        <v>0</v>
      </c>
      <c r="K898" s="62" t="n">
        <v>0</v>
      </c>
      <c r="L898" s="62" t="n">
        <v>0</v>
      </c>
      <c r="M898" s="61" t="n">
        <v>0.216630165157738</v>
      </c>
    </row>
    <row r="899" customFormat="false" ht="15" hidden="false" customHeight="true" outlineLevel="0" collapsed="false">
      <c r="A899" s="62" t="n">
        <v>873</v>
      </c>
      <c r="B899" s="59" t="n">
        <v>-0.257602388142222</v>
      </c>
      <c r="C899" s="59" t="n">
        <v>-1.06641793664053</v>
      </c>
      <c r="D899" s="59" t="n">
        <v>0.038471472236551</v>
      </c>
      <c r="E899" s="60" t="n">
        <v>-0.00319714428921693</v>
      </c>
      <c r="F899" s="61" t="n">
        <v>0.221170570522721</v>
      </c>
      <c r="G899" s="55" t="n">
        <v>38.3548381046935</v>
      </c>
      <c r="H899" s="62" t="n">
        <v>0</v>
      </c>
      <c r="I899" s="62" t="n">
        <v>0</v>
      </c>
      <c r="J899" s="62" t="n">
        <v>0</v>
      </c>
      <c r="K899" s="62" t="n">
        <v>0</v>
      </c>
      <c r="L899" s="62" t="n">
        <v>0</v>
      </c>
      <c r="M899" s="61" t="n">
        <v>0.158664917013666</v>
      </c>
    </row>
    <row r="900" customFormat="false" ht="15" hidden="false" customHeight="true" outlineLevel="0" collapsed="false">
      <c r="A900" s="62" t="n">
        <v>874</v>
      </c>
      <c r="B900" s="59" t="n">
        <v>1.15271145802118</v>
      </c>
      <c r="C900" s="59" t="n">
        <v>0.972635294742938</v>
      </c>
      <c r="D900" s="59" t="n">
        <v>1.77929450480116</v>
      </c>
      <c r="E900" s="60" t="n">
        <v>0.000374455614776344</v>
      </c>
      <c r="F900" s="61" t="n">
        <v>0.0776093447696461</v>
      </c>
      <c r="G900" s="55" t="n">
        <v>18.5808932958508</v>
      </c>
      <c r="H900" s="62" t="n">
        <v>0</v>
      </c>
      <c r="I900" s="62" t="n">
        <v>0</v>
      </c>
      <c r="J900" s="62" t="n">
        <v>0</v>
      </c>
      <c r="K900" s="62" t="n">
        <v>0</v>
      </c>
      <c r="L900" s="62" t="n">
        <v>0</v>
      </c>
      <c r="M900" s="61" t="n">
        <v>0.158402847561654</v>
      </c>
    </row>
    <row r="901" customFormat="false" ht="15" hidden="false" customHeight="true" outlineLevel="0" collapsed="false">
      <c r="A901" s="62" t="n">
        <v>875</v>
      </c>
      <c r="B901" s="59" t="n">
        <v>-0.593241880088084</v>
      </c>
      <c r="C901" s="59" t="n">
        <v>-0.385512583404988</v>
      </c>
      <c r="D901" s="59" t="n">
        <v>-0.586221183090287</v>
      </c>
      <c r="E901" s="60" t="n">
        <v>-0.00160330956090394</v>
      </c>
      <c r="F901" s="61" t="n">
        <v>0.281310341391573</v>
      </c>
      <c r="G901" s="55" t="n">
        <v>57.932366775529</v>
      </c>
      <c r="H901" s="62" t="n">
        <v>0</v>
      </c>
      <c r="I901" s="62" t="n">
        <v>0</v>
      </c>
      <c r="J901" s="62" t="n">
        <v>0</v>
      </c>
      <c r="K901" s="62" t="n">
        <v>0</v>
      </c>
      <c r="L901" s="62" t="n">
        <v>0</v>
      </c>
      <c r="M901" s="61" t="n">
        <v>0.159941086070135</v>
      </c>
    </row>
    <row r="902" customFormat="false" ht="15" hidden="false" customHeight="true" outlineLevel="0" collapsed="false">
      <c r="A902" s="62" t="n">
        <v>876</v>
      </c>
      <c r="B902" s="59" t="n">
        <v>-0.619150154625405</v>
      </c>
      <c r="C902" s="59" t="n">
        <v>-0.660243189561001</v>
      </c>
      <c r="D902" s="59" t="n">
        <v>1.41763912168978</v>
      </c>
      <c r="E902" s="60" t="n">
        <v>0.00604054313675807</v>
      </c>
      <c r="F902" s="61" t="n">
        <v>0.286278325605824</v>
      </c>
      <c r="G902" s="55" t="n">
        <v>113.149128402169</v>
      </c>
      <c r="H902" s="62" t="n">
        <v>0</v>
      </c>
      <c r="I902" s="62" t="n">
        <v>0</v>
      </c>
      <c r="J902" s="62" t="n">
        <v>0</v>
      </c>
      <c r="K902" s="62" t="n">
        <v>0</v>
      </c>
      <c r="L902" s="62" t="n">
        <v>0</v>
      </c>
      <c r="M902" s="61" t="n">
        <v>0.15879913452856</v>
      </c>
    </row>
    <row r="903" customFormat="false" ht="15" hidden="false" customHeight="true" outlineLevel="0" collapsed="false">
      <c r="A903" s="62" t="n">
        <v>877</v>
      </c>
      <c r="B903" s="59" t="n">
        <v>0.0990611801213068</v>
      </c>
      <c r="C903" s="59" t="n">
        <v>-0.561298024755221</v>
      </c>
      <c r="D903" s="59" t="n">
        <v>0.759983992581435</v>
      </c>
      <c r="E903" s="60" t="n">
        <v>-0.0149804868736867</v>
      </c>
      <c r="F903" s="61" t="n">
        <v>0.169435369078217</v>
      </c>
      <c r="G903" s="55" t="n">
        <v>-60.5800983664874</v>
      </c>
      <c r="H903" s="62" t="n">
        <v>0</v>
      </c>
      <c r="I903" s="62" t="n">
        <v>0</v>
      </c>
      <c r="J903" s="62" t="n">
        <v>0</v>
      </c>
      <c r="K903" s="62" t="n">
        <v>0</v>
      </c>
      <c r="L903" s="62" t="n">
        <v>0</v>
      </c>
      <c r="M903" s="61" t="n">
        <v>0.158402995008125</v>
      </c>
    </row>
    <row r="904" customFormat="false" ht="15" hidden="false" customHeight="true" outlineLevel="0" collapsed="false">
      <c r="A904" s="62" t="n">
        <v>878</v>
      </c>
      <c r="B904" s="59" t="n">
        <v>-0.505310594206431</v>
      </c>
      <c r="C904" s="59" t="n">
        <v>-0.205300365053271</v>
      </c>
      <c r="D904" s="59" t="n">
        <v>-0.528391989496013</v>
      </c>
      <c r="E904" s="60" t="n">
        <v>-0.00528444514766464</v>
      </c>
      <c r="F904" s="61" t="n">
        <v>0.26478389494528</v>
      </c>
      <c r="G904" s="55" t="n">
        <v>27.533826308416</v>
      </c>
      <c r="H904" s="62" t="n">
        <v>0</v>
      </c>
      <c r="I904" s="62" t="n">
        <v>0</v>
      </c>
      <c r="J904" s="62" t="n">
        <v>0</v>
      </c>
      <c r="K904" s="62" t="n">
        <v>0</v>
      </c>
      <c r="L904" s="62" t="n">
        <v>0</v>
      </c>
      <c r="M904" s="61" t="n">
        <v>0.159664038394365</v>
      </c>
    </row>
    <row r="905" customFormat="false" ht="15" hidden="false" customHeight="true" outlineLevel="0" collapsed="false">
      <c r="A905" s="62" t="n">
        <v>879</v>
      </c>
      <c r="B905" s="59" t="n">
        <v>-0.0885874412628737</v>
      </c>
      <c r="C905" s="59" t="n">
        <v>0.60779461623342</v>
      </c>
      <c r="D905" s="59" t="n">
        <v>0.31666062968077</v>
      </c>
      <c r="E905" s="60" t="n">
        <v>-0.00297027076873875</v>
      </c>
      <c r="F905" s="61" t="n">
        <v>0.194050994906748</v>
      </c>
      <c r="G905" s="55" t="n">
        <v>5.6454415854194</v>
      </c>
      <c r="H905" s="62" t="n">
        <v>0</v>
      </c>
      <c r="I905" s="62" t="n">
        <v>0</v>
      </c>
      <c r="J905" s="62" t="n">
        <v>0</v>
      </c>
      <c r="K905" s="62" t="n">
        <v>0</v>
      </c>
      <c r="L905" s="62" t="n">
        <v>0</v>
      </c>
      <c r="M905" s="61" t="n">
        <v>0.158403490232794</v>
      </c>
    </row>
    <row r="906" customFormat="false" ht="15" hidden="false" customHeight="true" outlineLevel="0" collapsed="false">
      <c r="A906" s="62" t="n">
        <v>880</v>
      </c>
      <c r="B906" s="59" t="n">
        <v>1.1022748912424</v>
      </c>
      <c r="C906" s="59" t="n">
        <v>-0.0146446268808785</v>
      </c>
      <c r="D906" s="59" t="n">
        <v>0.36725942259977</v>
      </c>
      <c r="E906" s="60" t="n">
        <v>-0.0110351516237501</v>
      </c>
      <c r="F906" s="61" t="n">
        <v>0.080893546423265</v>
      </c>
      <c r="G906" s="55" t="n">
        <v>-48.8256024273924</v>
      </c>
      <c r="H906" s="62" t="n">
        <v>0</v>
      </c>
      <c r="I906" s="62" t="n">
        <v>0</v>
      </c>
      <c r="J906" s="62" t="n">
        <v>0</v>
      </c>
      <c r="K906" s="62" t="n">
        <v>0</v>
      </c>
      <c r="L906" s="62" t="n">
        <v>0</v>
      </c>
      <c r="M906" s="61" t="n">
        <v>0.158402847561654</v>
      </c>
    </row>
    <row r="907" customFormat="false" ht="15" hidden="false" customHeight="true" outlineLevel="0" collapsed="false">
      <c r="A907" s="62" t="n">
        <v>881</v>
      </c>
      <c r="B907" s="59" t="n">
        <v>-1.04309488223649</v>
      </c>
      <c r="C907" s="59" t="n">
        <v>-1.28980265899369</v>
      </c>
      <c r="D907" s="59" t="n">
        <v>-0.524619240127175</v>
      </c>
      <c r="E907" s="60" t="n">
        <v>-0.0141617916070073</v>
      </c>
      <c r="F907" s="61" t="n">
        <v>0.37318976118328</v>
      </c>
      <c r="G907" s="55" t="n">
        <v>34.0489213968104</v>
      </c>
      <c r="H907" s="62" t="n">
        <v>0</v>
      </c>
      <c r="I907" s="62" t="n">
        <v>0</v>
      </c>
      <c r="J907" s="62" t="n">
        <v>0</v>
      </c>
      <c r="K907" s="62" t="n">
        <v>0</v>
      </c>
      <c r="L907" s="62" t="n">
        <v>0</v>
      </c>
      <c r="M907" s="61" t="n">
        <v>0.168134509834253</v>
      </c>
    </row>
    <row r="908" customFormat="false" ht="15" hidden="false" customHeight="true" outlineLevel="0" collapsed="false">
      <c r="A908" s="62" t="n">
        <v>882</v>
      </c>
      <c r="B908" s="59" t="n">
        <v>0.601025269063387</v>
      </c>
      <c r="C908" s="59" t="n">
        <v>0.718652296318084</v>
      </c>
      <c r="D908" s="59" t="n">
        <v>0.608232964901686</v>
      </c>
      <c r="E908" s="60" t="n">
        <v>0.00950241431917711</v>
      </c>
      <c r="F908" s="61" t="n">
        <v>0.119400865736467</v>
      </c>
      <c r="G908" s="55" t="n">
        <v>81.6578816199068</v>
      </c>
      <c r="H908" s="62" t="n">
        <v>0</v>
      </c>
      <c r="I908" s="62" t="n">
        <v>0</v>
      </c>
      <c r="J908" s="62" t="n">
        <v>0</v>
      </c>
      <c r="K908" s="62" t="n">
        <v>0</v>
      </c>
      <c r="L908" s="62" t="n">
        <v>0</v>
      </c>
      <c r="M908" s="61" t="n">
        <v>0.158402847561654</v>
      </c>
    </row>
    <row r="909" customFormat="false" ht="15" hidden="false" customHeight="true" outlineLevel="0" collapsed="false">
      <c r="A909" s="62" t="n">
        <v>883</v>
      </c>
      <c r="B909" s="59" t="n">
        <v>-1.80693351240195</v>
      </c>
      <c r="C909" s="59" t="n">
        <v>-1.21304761736799</v>
      </c>
      <c r="D909" s="59" t="n">
        <v>-1.67489985829533</v>
      </c>
      <c r="E909" s="60" t="n">
        <v>0.00289616728458536</v>
      </c>
      <c r="F909" s="61" t="n">
        <v>0.545477060969415</v>
      </c>
      <c r="G909" s="55" t="n">
        <v>731.367465623486</v>
      </c>
      <c r="H909" s="62" t="n">
        <v>13</v>
      </c>
      <c r="I909" s="62" t="n">
        <v>1</v>
      </c>
      <c r="J909" s="62" t="n">
        <v>1</v>
      </c>
      <c r="K909" s="62" t="n">
        <v>1</v>
      </c>
      <c r="L909" s="62" t="n">
        <v>1</v>
      </c>
      <c r="M909" s="61" t="n">
        <v>0.999999999999995</v>
      </c>
    </row>
    <row r="910" customFormat="false" ht="15" hidden="false" customHeight="true" outlineLevel="0" collapsed="false">
      <c r="A910" s="62" t="n">
        <v>884</v>
      </c>
      <c r="B910" s="59" t="n">
        <v>-1.06875070534111</v>
      </c>
      <c r="C910" s="59" t="n">
        <v>-0.532336084018198</v>
      </c>
      <c r="D910" s="59" t="n">
        <v>-0.743475325762379</v>
      </c>
      <c r="E910" s="60" t="n">
        <v>-0.000397187549712298</v>
      </c>
      <c r="F910" s="61" t="n">
        <v>0.378741626193463</v>
      </c>
      <c r="G910" s="55" t="n">
        <v>171.20942381903</v>
      </c>
      <c r="H910" s="62" t="n">
        <v>0</v>
      </c>
      <c r="I910" s="62" t="n">
        <v>0</v>
      </c>
      <c r="J910" s="62" t="n">
        <v>0</v>
      </c>
      <c r="K910" s="62" t="n">
        <v>0</v>
      </c>
      <c r="L910" s="62" t="n">
        <v>1</v>
      </c>
      <c r="M910" s="61" t="n">
        <v>0.435477637916886</v>
      </c>
    </row>
    <row r="911" customFormat="false" ht="15" hidden="false" customHeight="true" outlineLevel="0" collapsed="false">
      <c r="A911" s="62" t="n">
        <v>885</v>
      </c>
      <c r="B911" s="59" t="n">
        <v>-0.115849519154976</v>
      </c>
      <c r="C911" s="59" t="n">
        <v>-0.0350016674928918</v>
      </c>
      <c r="D911" s="59" t="n">
        <v>0.440228251980856</v>
      </c>
      <c r="E911" s="60" t="n">
        <v>-0.00384905795962233</v>
      </c>
      <c r="F911" s="61" t="n">
        <v>0.198276259456697</v>
      </c>
      <c r="G911" s="55" t="n">
        <v>3.24533415621835</v>
      </c>
      <c r="H911" s="62" t="n">
        <v>0</v>
      </c>
      <c r="I911" s="62" t="n">
        <v>0</v>
      </c>
      <c r="J911" s="62" t="n">
        <v>0</v>
      </c>
      <c r="K911" s="62" t="n">
        <v>0</v>
      </c>
      <c r="L911" s="62" t="n">
        <v>0</v>
      </c>
      <c r="M911" s="61" t="n">
        <v>0.158403611993612</v>
      </c>
    </row>
    <row r="912" customFormat="false" ht="15" hidden="false" customHeight="true" outlineLevel="0" collapsed="false">
      <c r="A912" s="62" t="n">
        <v>886</v>
      </c>
      <c r="B912" s="59" t="n">
        <v>0.673775397559122</v>
      </c>
      <c r="C912" s="59" t="n">
        <v>0.994655588818452</v>
      </c>
      <c r="D912" s="59" t="n">
        <v>1.66821646622883</v>
      </c>
      <c r="E912" s="60" t="n">
        <v>-0.00850322910121904</v>
      </c>
      <c r="F912" s="61" t="n">
        <v>0.113124183772665</v>
      </c>
      <c r="G912" s="55" t="n">
        <v>-34.6409101539324</v>
      </c>
      <c r="H912" s="62" t="n">
        <v>0</v>
      </c>
      <c r="I912" s="62" t="n">
        <v>0</v>
      </c>
      <c r="J912" s="62" t="n">
        <v>0</v>
      </c>
      <c r="K912" s="62" t="n">
        <v>0</v>
      </c>
      <c r="L912" s="62" t="n">
        <v>0</v>
      </c>
      <c r="M912" s="61" t="n">
        <v>0.158402847561654</v>
      </c>
    </row>
    <row r="913" customFormat="false" ht="15" hidden="false" customHeight="true" outlineLevel="0" collapsed="false">
      <c r="A913" s="62" t="n">
        <v>887</v>
      </c>
      <c r="B913" s="59" t="n">
        <v>-0.333123350359951</v>
      </c>
      <c r="C913" s="59" t="n">
        <v>-0.382656719194616</v>
      </c>
      <c r="D913" s="59" t="n">
        <v>-0.543043529609719</v>
      </c>
      <c r="E913" s="60" t="n">
        <v>-0.00347131318108666</v>
      </c>
      <c r="F913" s="61" t="n">
        <v>0.233991139422987</v>
      </c>
      <c r="G913" s="55" t="n">
        <v>44.2827533949519</v>
      </c>
      <c r="H913" s="62" t="n">
        <v>0</v>
      </c>
      <c r="I913" s="62" t="n">
        <v>0</v>
      </c>
      <c r="J913" s="62" t="n">
        <v>0</v>
      </c>
      <c r="K913" s="62" t="n">
        <v>0</v>
      </c>
      <c r="L913" s="62" t="n">
        <v>1</v>
      </c>
      <c r="M913" s="61" t="n">
        <v>0.363313955017751</v>
      </c>
    </row>
    <row r="914" customFormat="false" ht="15" hidden="false" customHeight="true" outlineLevel="0" collapsed="false">
      <c r="A914" s="62" t="n">
        <v>888</v>
      </c>
      <c r="B914" s="59" t="n">
        <v>6.05949780171717</v>
      </c>
      <c r="C914" s="59" t="n">
        <v>1.87105720710432</v>
      </c>
      <c r="D914" s="59" t="n">
        <v>8.42343202982869</v>
      </c>
      <c r="E914" s="60" t="n">
        <v>0.00244584083453007</v>
      </c>
      <c r="F914" s="61" t="n">
        <v>0.00014062716942761</v>
      </c>
      <c r="G914" s="55" t="n">
        <v>32.7451481420901</v>
      </c>
      <c r="H914" s="62" t="n">
        <v>0</v>
      </c>
      <c r="I914" s="62" t="n">
        <v>0</v>
      </c>
      <c r="J914" s="62" t="n">
        <v>0</v>
      </c>
      <c r="K914" s="62" t="n">
        <v>0</v>
      </c>
      <c r="L914" s="62" t="n">
        <v>0</v>
      </c>
      <c r="M914" s="61" t="n">
        <v>0.158402847561654</v>
      </c>
    </row>
    <row r="915" customFormat="false" ht="15" hidden="false" customHeight="true" outlineLevel="0" collapsed="false">
      <c r="A915" s="62" t="n">
        <v>889</v>
      </c>
      <c r="B915" s="59" t="n">
        <v>-0.99769042727113</v>
      </c>
      <c r="C915" s="59" t="n">
        <v>-1.12882598527431</v>
      </c>
      <c r="D915" s="59" t="n">
        <v>-0.546206885016293</v>
      </c>
      <c r="E915" s="60" t="n">
        <v>0.00545205466160177</v>
      </c>
      <c r="F915" s="61" t="n">
        <v>0.363434413387915</v>
      </c>
      <c r="G915" s="55" t="n">
        <v>148.496368481587</v>
      </c>
      <c r="H915" s="62" t="n">
        <v>0</v>
      </c>
      <c r="I915" s="62" t="n">
        <v>0</v>
      </c>
      <c r="J915" s="62" t="n">
        <v>0</v>
      </c>
      <c r="K915" s="62" t="n">
        <v>0</v>
      </c>
      <c r="L915" s="62" t="n">
        <v>0</v>
      </c>
      <c r="M915" s="61" t="n">
        <v>0.165847206173109</v>
      </c>
    </row>
    <row r="916" customFormat="false" ht="15" hidden="false" customHeight="true" outlineLevel="0" collapsed="false">
      <c r="A916" s="62" t="n">
        <v>890</v>
      </c>
      <c r="B916" s="59" t="n">
        <v>-1.44978551701934</v>
      </c>
      <c r="C916" s="59" t="n">
        <v>-0.702204118424851</v>
      </c>
      <c r="D916" s="59" t="n">
        <v>-0.179169539201534</v>
      </c>
      <c r="E916" s="60" t="n">
        <v>0.00113097100280555</v>
      </c>
      <c r="F916" s="61" t="n">
        <v>0.463786661203508</v>
      </c>
      <c r="G916" s="55" t="n">
        <v>168.679732472737</v>
      </c>
      <c r="H916" s="62" t="n">
        <v>0</v>
      </c>
      <c r="I916" s="62" t="n">
        <v>0</v>
      </c>
      <c r="J916" s="62" t="n">
        <v>0</v>
      </c>
      <c r="K916" s="62" t="n">
        <v>0</v>
      </c>
      <c r="L916" s="62" t="n">
        <v>0</v>
      </c>
      <c r="M916" s="61" t="n">
        <v>0.23703596447661</v>
      </c>
    </row>
    <row r="917" customFormat="false" ht="15" hidden="false" customHeight="true" outlineLevel="0" collapsed="false">
      <c r="A917" s="62" t="n">
        <v>891</v>
      </c>
      <c r="B917" s="59" t="n">
        <v>-0.135132508111738</v>
      </c>
      <c r="C917" s="59" t="n">
        <v>0.764363164151531</v>
      </c>
      <c r="D917" s="59" t="n">
        <v>0.257220965741366</v>
      </c>
      <c r="E917" s="60" t="n">
        <v>0.00211685292117392</v>
      </c>
      <c r="F917" s="61" t="n">
        <v>0.201299719772618</v>
      </c>
      <c r="G917" s="55" t="n">
        <v>41.6582600227087</v>
      </c>
      <c r="H917" s="62" t="n">
        <v>0</v>
      </c>
      <c r="I917" s="62" t="n">
        <v>0</v>
      </c>
      <c r="J917" s="62" t="n">
        <v>0</v>
      </c>
      <c r="K917" s="62" t="n">
        <v>0</v>
      </c>
      <c r="L917" s="62" t="n">
        <v>0</v>
      </c>
      <c r="M917" s="61" t="n">
        <v>0.158403696742051</v>
      </c>
    </row>
    <row r="918" customFormat="false" ht="15" hidden="false" customHeight="true" outlineLevel="0" collapsed="false">
      <c r="A918" s="62" t="n">
        <v>892</v>
      </c>
      <c r="B918" s="59" t="n">
        <v>-0.230009470224028</v>
      </c>
      <c r="C918" s="59" t="n">
        <v>0.0531175840859261</v>
      </c>
      <c r="D918" s="59" t="n">
        <v>-0.134580112715007</v>
      </c>
      <c r="E918" s="60" t="n">
        <v>-0.00537116099568011</v>
      </c>
      <c r="F918" s="61" t="n">
        <v>0.216593511037341</v>
      </c>
      <c r="G918" s="55" t="n">
        <v>20.462760528233</v>
      </c>
      <c r="H918" s="62" t="n">
        <v>0</v>
      </c>
      <c r="I918" s="62" t="n">
        <v>0</v>
      </c>
      <c r="J918" s="62" t="n">
        <v>0</v>
      </c>
      <c r="K918" s="62" t="n">
        <v>0</v>
      </c>
      <c r="L918" s="62" t="n">
        <v>1</v>
      </c>
      <c r="M918" s="61" t="n">
        <v>0.362045142282674</v>
      </c>
    </row>
    <row r="919" customFormat="false" ht="15" hidden="false" customHeight="true" outlineLevel="0" collapsed="false">
      <c r="A919" s="62" t="n">
        <v>893</v>
      </c>
      <c r="B919" s="59" t="n">
        <v>-0.168229128513452</v>
      </c>
      <c r="C919" s="59" t="n">
        <v>0.190180663242388</v>
      </c>
      <c r="D919" s="59" t="n">
        <v>0.169769783661477</v>
      </c>
      <c r="E919" s="60" t="n">
        <v>-0.00252347264555746</v>
      </c>
      <c r="F919" s="61" t="n">
        <v>0.206556147234076</v>
      </c>
      <c r="G919" s="55" t="n">
        <v>15.0531107568791</v>
      </c>
      <c r="H919" s="62" t="n">
        <v>0</v>
      </c>
      <c r="I919" s="62" t="n">
        <v>0</v>
      </c>
      <c r="J919" s="62" t="n">
        <v>0</v>
      </c>
      <c r="K919" s="62" t="n">
        <v>0</v>
      </c>
      <c r="L919" s="62" t="n">
        <v>0</v>
      </c>
      <c r="M919" s="61" t="n">
        <v>0.158403959295316</v>
      </c>
    </row>
    <row r="920" customFormat="false" ht="15" hidden="false" customHeight="true" outlineLevel="0" collapsed="false">
      <c r="A920" s="62" t="n">
        <v>894</v>
      </c>
      <c r="B920" s="59" t="n">
        <v>-1.23624393293968</v>
      </c>
      <c r="C920" s="59" t="n">
        <v>-0.282690773695227</v>
      </c>
      <c r="D920" s="59" t="n">
        <v>-1.19102162874647</v>
      </c>
      <c r="E920" s="60" t="n">
        <v>-0.0105067092613743</v>
      </c>
      <c r="F920" s="61" t="n">
        <v>0.415606545946688</v>
      </c>
      <c r="G920" s="55" t="n">
        <v>113.560245272008</v>
      </c>
      <c r="H920" s="62" t="n">
        <v>0</v>
      </c>
      <c r="I920" s="62" t="n">
        <v>0</v>
      </c>
      <c r="J920" s="62" t="n">
        <v>0</v>
      </c>
      <c r="K920" s="62" t="n">
        <v>0</v>
      </c>
      <c r="L920" s="62" t="n">
        <v>0</v>
      </c>
      <c r="M920" s="61" t="n">
        <v>0.237497513173728</v>
      </c>
    </row>
    <row r="921" customFormat="false" ht="15" hidden="false" customHeight="true" outlineLevel="0" collapsed="false">
      <c r="A921" s="62" t="n">
        <v>895</v>
      </c>
      <c r="B921" s="59" t="n">
        <v>-1.14728227470723</v>
      </c>
      <c r="C921" s="59" t="n">
        <v>0.684762544517132</v>
      </c>
      <c r="D921" s="59" t="n">
        <v>0.0397376149499109</v>
      </c>
      <c r="E921" s="60" t="n">
        <v>0.00816408321801691</v>
      </c>
      <c r="F921" s="61" t="n">
        <v>0.395900436473677</v>
      </c>
      <c r="G921" s="55" t="n">
        <v>167.04671028437</v>
      </c>
      <c r="H921" s="62" t="n">
        <v>0</v>
      </c>
      <c r="I921" s="62" t="n">
        <v>0</v>
      </c>
      <c r="J921" s="62" t="n">
        <v>0</v>
      </c>
      <c r="K921" s="62" t="n">
        <v>0</v>
      </c>
      <c r="L921" s="62" t="n">
        <v>0</v>
      </c>
      <c r="M921" s="61" t="n">
        <v>0.162611862757538</v>
      </c>
    </row>
    <row r="922" customFormat="false" ht="15" hidden="false" customHeight="true" outlineLevel="0" collapsed="false">
      <c r="A922" s="62" t="n">
        <v>896</v>
      </c>
      <c r="B922" s="59" t="n">
        <v>-0.552349495519514</v>
      </c>
      <c r="C922" s="59" t="n">
        <v>0.802427438020823</v>
      </c>
      <c r="D922" s="59" t="n">
        <v>0.29885515549861</v>
      </c>
      <c r="E922" s="60" t="n">
        <v>0.00778205981465026</v>
      </c>
      <c r="F922" s="61" t="n">
        <v>0.273559632815479</v>
      </c>
      <c r="G922" s="55" t="n">
        <v>114.745645013562</v>
      </c>
      <c r="H922" s="62" t="n">
        <v>0</v>
      </c>
      <c r="I922" s="62" t="n">
        <v>0</v>
      </c>
      <c r="J922" s="62" t="n">
        <v>0</v>
      </c>
      <c r="K922" s="62" t="n">
        <v>0</v>
      </c>
      <c r="L922" s="62" t="n">
        <v>0</v>
      </c>
      <c r="M922" s="61" t="n">
        <v>0.15875331739184</v>
      </c>
    </row>
    <row r="923" customFormat="false" ht="15" hidden="false" customHeight="true" outlineLevel="0" collapsed="false">
      <c r="A923" s="62" t="n">
        <v>897</v>
      </c>
      <c r="B923" s="59" t="n">
        <v>-0.771441366798789</v>
      </c>
      <c r="C923" s="59" t="n">
        <v>-0.358123598089168</v>
      </c>
      <c r="D923" s="59" t="n">
        <v>-0.0268054616018533</v>
      </c>
      <c r="E923" s="60" t="n">
        <v>-0.0017721988102699</v>
      </c>
      <c r="F923" s="61" t="n">
        <v>0.316339201863768</v>
      </c>
      <c r="G923" s="55" t="n">
        <v>70.7898962896116</v>
      </c>
      <c r="H923" s="62" t="n">
        <v>0</v>
      </c>
      <c r="I923" s="62" t="n">
        <v>0</v>
      </c>
      <c r="J923" s="62" t="n">
        <v>0</v>
      </c>
      <c r="K923" s="62" t="n">
        <v>0</v>
      </c>
      <c r="L923" s="62" t="n">
        <v>0</v>
      </c>
      <c r="M923" s="61" t="n">
        <v>0.158895883503121</v>
      </c>
    </row>
    <row r="924" customFormat="false" ht="15" hidden="false" customHeight="true" outlineLevel="0" collapsed="false">
      <c r="A924" s="62" t="n">
        <v>898</v>
      </c>
      <c r="B924" s="59" t="n">
        <v>-2.75314684331151</v>
      </c>
      <c r="C924" s="59" t="n">
        <v>-0.0949097329631448</v>
      </c>
      <c r="D924" s="59" t="n">
        <v>-1.08349456433676</v>
      </c>
      <c r="E924" s="60" t="n">
        <v>-0.00376699156221992</v>
      </c>
      <c r="F924" s="61" t="n">
        <v>0.717773558628505</v>
      </c>
      <c r="G924" s="55" t="n">
        <v>732.967102770169</v>
      </c>
      <c r="H924" s="62" t="n">
        <v>13</v>
      </c>
      <c r="I924" s="62" t="n">
        <v>1</v>
      </c>
      <c r="J924" s="62" t="n">
        <v>1</v>
      </c>
      <c r="K924" s="62" t="n">
        <v>1</v>
      </c>
      <c r="L924" s="62" t="n">
        <v>0</v>
      </c>
      <c r="M924" s="61" t="n">
        <v>0.999999999999998</v>
      </c>
    </row>
    <row r="925" customFormat="false" ht="15" hidden="false" customHeight="true" outlineLevel="0" collapsed="false">
      <c r="A925" s="62" t="n">
        <v>899</v>
      </c>
      <c r="B925" s="59" t="n">
        <v>-0.501651167716762</v>
      </c>
      <c r="C925" s="59" t="n">
        <v>-0.39620875944586</v>
      </c>
      <c r="D925" s="59" t="n">
        <v>0.36360124288048</v>
      </c>
      <c r="E925" s="60" t="n">
        <v>0.00359036942668274</v>
      </c>
      <c r="F925" s="61" t="n">
        <v>0.26410755848842</v>
      </c>
      <c r="G925" s="55" t="n">
        <v>84.3116233049987</v>
      </c>
      <c r="H925" s="62" t="n">
        <v>0</v>
      </c>
      <c r="I925" s="62" t="n">
        <v>0</v>
      </c>
      <c r="J925" s="62" t="n">
        <v>0</v>
      </c>
      <c r="K925" s="62" t="n">
        <v>0</v>
      </c>
      <c r="L925" s="62" t="n">
        <v>0</v>
      </c>
      <c r="M925" s="61" t="n">
        <v>0.158743317947836</v>
      </c>
    </row>
    <row r="926" customFormat="false" ht="15" hidden="false" customHeight="true" outlineLevel="0" collapsed="false">
      <c r="A926" s="62" t="n">
        <v>900</v>
      </c>
      <c r="B926" s="59" t="n">
        <v>-0.363559062826607</v>
      </c>
      <c r="C926" s="59" t="n">
        <v>0.172096466410902</v>
      </c>
      <c r="D926" s="59" t="n">
        <v>0.470489339794506</v>
      </c>
      <c r="E926" s="60" t="n">
        <v>-0.00150022031767319</v>
      </c>
      <c r="F926" s="61" t="n">
        <v>0.239277942264628</v>
      </c>
      <c r="G926" s="55" t="n">
        <v>37.0673638895223</v>
      </c>
      <c r="H926" s="62" t="n">
        <v>0</v>
      </c>
      <c r="I926" s="62" t="n">
        <v>0</v>
      </c>
      <c r="J926" s="62" t="n">
        <v>0</v>
      </c>
      <c r="K926" s="62" t="n">
        <v>0</v>
      </c>
      <c r="L926" s="62" t="n">
        <v>0</v>
      </c>
      <c r="M926" s="61" t="n">
        <v>0.158434575370795</v>
      </c>
    </row>
    <row r="927" customFormat="false" ht="15" hidden="false" customHeight="true" outlineLevel="0" collapsed="false">
      <c r="A927" s="62" t="n">
        <v>901</v>
      </c>
      <c r="B927" s="59" t="n">
        <v>0.277676029693137</v>
      </c>
      <c r="C927" s="59" t="n">
        <v>0.671850980206952</v>
      </c>
      <c r="D927" s="59" t="n">
        <v>1.00311611645922</v>
      </c>
      <c r="E927" s="60" t="n">
        <v>-0.00742618906366387</v>
      </c>
      <c r="F927" s="61" t="n">
        <v>0.15026708180769</v>
      </c>
      <c r="G927" s="55" t="n">
        <v>-11.0001524961318</v>
      </c>
      <c r="H927" s="62" t="n">
        <v>0</v>
      </c>
      <c r="I927" s="62" t="n">
        <v>0</v>
      </c>
      <c r="J927" s="62" t="n">
        <v>0</v>
      </c>
      <c r="K927" s="62" t="n">
        <v>0</v>
      </c>
      <c r="L927" s="62" t="n">
        <v>1</v>
      </c>
      <c r="M927" s="61" t="n">
        <v>0.361454935860281</v>
      </c>
    </row>
    <row r="928" customFormat="false" ht="15" hidden="false" customHeight="true" outlineLevel="0" collapsed="false">
      <c r="A928" s="62" t="n">
        <v>902</v>
      </c>
      <c r="B928" s="59" t="n">
        <v>0.319463286527655</v>
      </c>
      <c r="C928" s="59" t="n">
        <v>-0.191437307646058</v>
      </c>
      <c r="D928" s="59" t="n">
        <v>0.152413229759838</v>
      </c>
      <c r="E928" s="60" t="n">
        <v>-0.0105138787046651</v>
      </c>
      <c r="F928" s="61" t="n">
        <v>0.146001632053624</v>
      </c>
      <c r="G928" s="55" t="n">
        <v>-42.0276833115753</v>
      </c>
      <c r="H928" s="62" t="n">
        <v>0</v>
      </c>
      <c r="I928" s="62" t="n">
        <v>0</v>
      </c>
      <c r="J928" s="62" t="n">
        <v>0</v>
      </c>
      <c r="K928" s="62" t="n">
        <v>0</v>
      </c>
      <c r="L928" s="62" t="n">
        <v>0</v>
      </c>
      <c r="M928" s="61" t="n">
        <v>0.158402847561654</v>
      </c>
    </row>
    <row r="929" customFormat="false" ht="15" hidden="false" customHeight="true" outlineLevel="0" collapsed="false">
      <c r="A929" s="62" t="n">
        <v>903</v>
      </c>
      <c r="B929" s="59" t="n">
        <v>1.39057934696651</v>
      </c>
      <c r="C929" s="59" t="n">
        <v>1.45908161906819</v>
      </c>
      <c r="D929" s="59" t="n">
        <v>-0.412318797903362</v>
      </c>
      <c r="E929" s="60" t="n">
        <v>-0.00835205821103641</v>
      </c>
      <c r="F929" s="61" t="n">
        <v>0.0634662256500135</v>
      </c>
      <c r="G929" s="55" t="n">
        <v>-33.758027303769</v>
      </c>
      <c r="H929" s="62" t="n">
        <v>0</v>
      </c>
      <c r="I929" s="62" t="n">
        <v>0</v>
      </c>
      <c r="J929" s="62" t="n">
        <v>0</v>
      </c>
      <c r="K929" s="62" t="n">
        <v>0</v>
      </c>
      <c r="L929" s="62" t="n">
        <v>0</v>
      </c>
      <c r="M929" s="61" t="n">
        <v>0.158812325719143</v>
      </c>
    </row>
    <row r="930" customFormat="false" ht="15" hidden="false" customHeight="true" outlineLevel="0" collapsed="false">
      <c r="A930" s="62" t="n">
        <v>904</v>
      </c>
      <c r="B930" s="59" t="n">
        <v>-0.966165213165162</v>
      </c>
      <c r="C930" s="59" t="n">
        <v>0.339244290769435</v>
      </c>
      <c r="D930" s="59" t="n">
        <v>-0.385128058115987</v>
      </c>
      <c r="E930" s="60" t="n">
        <v>-0.00672015655089156</v>
      </c>
      <c r="F930" s="61" t="n">
        <v>0.356716311027394</v>
      </c>
      <c r="G930" s="55" t="n">
        <v>82.9599202479337</v>
      </c>
      <c r="H930" s="62" t="n">
        <v>0</v>
      </c>
      <c r="I930" s="62" t="n">
        <v>0</v>
      </c>
      <c r="J930" s="62" t="n">
        <v>0</v>
      </c>
      <c r="K930" s="62" t="n">
        <v>0</v>
      </c>
      <c r="L930" s="62" t="n">
        <v>1</v>
      </c>
      <c r="M930" s="61" t="n">
        <v>0.370214079142648</v>
      </c>
    </row>
    <row r="931" customFormat="false" ht="15" hidden="false" customHeight="true" outlineLevel="0" collapsed="false">
      <c r="A931" s="62" t="n">
        <v>905</v>
      </c>
      <c r="B931" s="59" t="n">
        <v>2.8467681424674</v>
      </c>
      <c r="C931" s="59" t="n">
        <v>3.82871015929767</v>
      </c>
      <c r="D931" s="59" t="n">
        <v>1.67586364254673</v>
      </c>
      <c r="E931" s="60" t="n">
        <v>0.012164338265048</v>
      </c>
      <c r="F931" s="61" t="n">
        <v>0.0149321277638301</v>
      </c>
      <c r="G931" s="55" t="n">
        <v>99.7834449811582</v>
      </c>
      <c r="H931" s="62" t="n">
        <v>0</v>
      </c>
      <c r="I931" s="62" t="n">
        <v>0</v>
      </c>
      <c r="J931" s="62" t="n">
        <v>0</v>
      </c>
      <c r="K931" s="62" t="n">
        <v>0</v>
      </c>
      <c r="L931" s="62" t="n">
        <v>0</v>
      </c>
      <c r="M931" s="61" t="n">
        <v>0.158402847561654</v>
      </c>
    </row>
    <row r="932" customFormat="false" ht="15" hidden="false" customHeight="true" outlineLevel="0" collapsed="false">
      <c r="A932" s="62" t="n">
        <v>906</v>
      </c>
      <c r="B932" s="59" t="n">
        <v>-1.38277190468404</v>
      </c>
      <c r="C932" s="59" t="n">
        <v>-0.853593743016367</v>
      </c>
      <c r="D932" s="59" t="n">
        <v>-0.458202021549315</v>
      </c>
      <c r="E932" s="60" t="n">
        <v>0.00843763322042247</v>
      </c>
      <c r="F932" s="61" t="n">
        <v>0.448561059811573</v>
      </c>
      <c r="G932" s="55" t="n">
        <v>224.874332329199</v>
      </c>
      <c r="H932" s="62" t="n">
        <v>0</v>
      </c>
      <c r="I932" s="62" t="n">
        <v>0</v>
      </c>
      <c r="J932" s="62" t="n">
        <v>0</v>
      </c>
      <c r="K932" s="62" t="n">
        <v>0</v>
      </c>
      <c r="L932" s="62" t="n">
        <v>0</v>
      </c>
      <c r="M932" s="61" t="n">
        <v>0.2435647668146</v>
      </c>
    </row>
    <row r="933" customFormat="false" ht="15" hidden="false" customHeight="true" outlineLevel="0" collapsed="false">
      <c r="A933" s="62" t="n">
        <v>907</v>
      </c>
      <c r="B933" s="59" t="n">
        <v>-0.847159300098923</v>
      </c>
      <c r="C933" s="59" t="n">
        <v>-0.880930488766158</v>
      </c>
      <c r="D933" s="59" t="n">
        <v>-0.0373603643100523</v>
      </c>
      <c r="E933" s="60" t="n">
        <v>-0.00158058126337912</v>
      </c>
      <c r="F933" s="61" t="n">
        <v>0.331798304888513</v>
      </c>
      <c r="G933" s="55" t="n">
        <v>82.5242932156907</v>
      </c>
      <c r="H933" s="62" t="n">
        <v>0</v>
      </c>
      <c r="I933" s="62" t="n">
        <v>0</v>
      </c>
      <c r="J933" s="62" t="n">
        <v>0</v>
      </c>
      <c r="K933" s="62" t="n">
        <v>0</v>
      </c>
      <c r="L933" s="62" t="n">
        <v>0</v>
      </c>
      <c r="M933" s="61" t="n">
        <v>0.158964966002929</v>
      </c>
    </row>
    <row r="934" customFormat="false" ht="15" hidden="false" customHeight="true" outlineLevel="0" collapsed="false">
      <c r="A934" s="62" t="n">
        <v>908</v>
      </c>
      <c r="B934" s="59" t="n">
        <v>-0.800529600786359</v>
      </c>
      <c r="C934" s="59" t="n">
        <v>0.0200088232415872</v>
      </c>
      <c r="D934" s="59" t="n">
        <v>-0.0385217196924262</v>
      </c>
      <c r="E934" s="60" t="n">
        <v>-0.00418042692692373</v>
      </c>
      <c r="F934" s="61" t="n">
        <v>0.322239729291514</v>
      </c>
      <c r="G934" s="55" t="n">
        <v>56.9404124727266</v>
      </c>
      <c r="H934" s="62" t="n">
        <v>0</v>
      </c>
      <c r="I934" s="62" t="n">
        <v>0</v>
      </c>
      <c r="J934" s="62" t="n">
        <v>0</v>
      </c>
      <c r="K934" s="62" t="n">
        <v>0</v>
      </c>
      <c r="L934" s="62" t="n">
        <v>0</v>
      </c>
      <c r="M934" s="61" t="n">
        <v>0.158915966836213</v>
      </c>
    </row>
    <row r="935" customFormat="false" ht="15" hidden="false" customHeight="true" outlineLevel="0" collapsed="false">
      <c r="A935" s="62" t="n">
        <v>909</v>
      </c>
      <c r="B935" s="59" t="n">
        <v>-1.39614454947295</v>
      </c>
      <c r="C935" s="59" t="n">
        <v>-3.37139323273838</v>
      </c>
      <c r="D935" s="59" t="n">
        <v>-1.33668418140855</v>
      </c>
      <c r="E935" s="60" t="n">
        <v>0.0128319635621553</v>
      </c>
      <c r="F935" s="61" t="n">
        <v>0.451593030934761</v>
      </c>
      <c r="G935" s="55" t="n">
        <v>698.772943872033</v>
      </c>
      <c r="H935" s="62" t="n">
        <v>12</v>
      </c>
      <c r="I935" s="62" t="n">
        <v>1</v>
      </c>
      <c r="J935" s="62" t="n">
        <v>1</v>
      </c>
      <c r="K935" s="62" t="n">
        <v>1</v>
      </c>
      <c r="L935" s="62" t="n">
        <v>0</v>
      </c>
      <c r="M935" s="61" t="n">
        <v>0.999999999999888</v>
      </c>
    </row>
    <row r="936" customFormat="false" ht="15" hidden="false" customHeight="true" outlineLevel="0" collapsed="false">
      <c r="A936" s="62" t="n">
        <v>910</v>
      </c>
      <c r="B936" s="59" t="n">
        <v>-1.79302016299587</v>
      </c>
      <c r="C936" s="59" t="n">
        <v>-2.52854848371262</v>
      </c>
      <c r="D936" s="59" t="n">
        <v>-3.3795484373556</v>
      </c>
      <c r="E936" s="60" t="n">
        <v>0.0149477865749144</v>
      </c>
      <c r="F936" s="61" t="n">
        <v>0.542302515705423</v>
      </c>
      <c r="G936" s="55" t="n">
        <v>1096.85776514158</v>
      </c>
      <c r="H936" s="62" t="n">
        <v>16</v>
      </c>
      <c r="I936" s="62" t="n">
        <v>5</v>
      </c>
      <c r="J936" s="62" t="n">
        <v>7</v>
      </c>
      <c r="K936" s="62" t="n">
        <v>1</v>
      </c>
      <c r="L936" s="62" t="n">
        <v>0</v>
      </c>
      <c r="M936" s="61" t="n">
        <v>1</v>
      </c>
    </row>
    <row r="937" customFormat="false" ht="15" hidden="false" customHeight="true" outlineLevel="0" collapsed="false">
      <c r="A937" s="62" t="n">
        <v>911</v>
      </c>
      <c r="B937" s="59" t="n">
        <v>0.505015090584171</v>
      </c>
      <c r="C937" s="59" t="n">
        <v>1.06490354022336</v>
      </c>
      <c r="D937" s="59" t="n">
        <v>-1.05712321617305</v>
      </c>
      <c r="E937" s="60" t="n">
        <v>0.0156555684106715</v>
      </c>
      <c r="F937" s="61" t="n">
        <v>0.128056099537031</v>
      </c>
      <c r="G937" s="55" t="n">
        <v>125.367495848376</v>
      </c>
      <c r="H937" s="62" t="n">
        <v>0</v>
      </c>
      <c r="I937" s="62" t="n">
        <v>0</v>
      </c>
      <c r="J937" s="62" t="n">
        <v>0</v>
      </c>
      <c r="K937" s="62" t="n">
        <v>0</v>
      </c>
      <c r="L937" s="62" t="n">
        <v>0</v>
      </c>
      <c r="M937" s="61" t="n">
        <v>0.160216039408421</v>
      </c>
    </row>
    <row r="938" customFormat="false" ht="15" hidden="false" customHeight="true" outlineLevel="0" collapsed="false">
      <c r="A938" s="62" t="n">
        <v>912</v>
      </c>
      <c r="B938" s="59" t="n">
        <v>0.875131490299281</v>
      </c>
      <c r="C938" s="59" t="n">
        <v>0.951903784872154</v>
      </c>
      <c r="D938" s="59" t="n">
        <v>1.46576743879385</v>
      </c>
      <c r="E938" s="60" t="n">
        <v>-0.0081301950388472</v>
      </c>
      <c r="F938" s="61" t="n">
        <v>0.0969901849091167</v>
      </c>
      <c r="G938" s="55" t="n">
        <v>-15.2928448857535</v>
      </c>
      <c r="H938" s="62" t="n">
        <v>0</v>
      </c>
      <c r="I938" s="62" t="n">
        <v>0</v>
      </c>
      <c r="J938" s="62" t="n">
        <v>0</v>
      </c>
      <c r="K938" s="62" t="n">
        <v>0</v>
      </c>
      <c r="L938" s="62" t="n">
        <v>1</v>
      </c>
      <c r="M938" s="61" t="n">
        <v>0.361450565265267</v>
      </c>
    </row>
    <row r="939" customFormat="false" ht="15" hidden="false" customHeight="true" outlineLevel="0" collapsed="false">
      <c r="A939" s="62" t="n">
        <v>913</v>
      </c>
      <c r="B939" s="59" t="n">
        <v>-0.391461630496631</v>
      </c>
      <c r="C939" s="59" t="n">
        <v>-0.41558351421842</v>
      </c>
      <c r="D939" s="59" t="n">
        <v>-0.278264442168392</v>
      </c>
      <c r="E939" s="60" t="n">
        <v>-0.0061090968932132</v>
      </c>
      <c r="F939" s="61" t="n">
        <v>0.244184454665414</v>
      </c>
      <c r="G939" s="55" t="n">
        <v>14.7647618686226</v>
      </c>
      <c r="H939" s="62" t="n">
        <v>0</v>
      </c>
      <c r="I939" s="62" t="n">
        <v>0</v>
      </c>
      <c r="J939" s="62" t="n">
        <v>0</v>
      </c>
      <c r="K939" s="62" t="n">
        <v>0</v>
      </c>
      <c r="L939" s="62" t="n">
        <v>0</v>
      </c>
      <c r="M939" s="61" t="n">
        <v>0.159067599539876</v>
      </c>
    </row>
    <row r="940" customFormat="false" ht="15" hidden="false" customHeight="true" outlineLevel="0" collapsed="false">
      <c r="A940" s="62" t="n">
        <v>914</v>
      </c>
      <c r="B940" s="59" t="n">
        <v>-0.42499047259152</v>
      </c>
      <c r="C940" s="59" t="n">
        <v>-0.356495355202386</v>
      </c>
      <c r="D940" s="59" t="n">
        <v>0.396458551637434</v>
      </c>
      <c r="E940" s="60" t="n">
        <v>0.00689566297871185</v>
      </c>
      <c r="F940" s="61" t="n">
        <v>0.250155084945478</v>
      </c>
      <c r="G940" s="55" t="n">
        <v>100.638059606074</v>
      </c>
      <c r="H940" s="62" t="n">
        <v>0</v>
      </c>
      <c r="I940" s="62" t="n">
        <v>0</v>
      </c>
      <c r="J940" s="62" t="n">
        <v>0</v>
      </c>
      <c r="K940" s="62" t="n">
        <v>0</v>
      </c>
      <c r="L940" s="62" t="n">
        <v>0</v>
      </c>
      <c r="M940" s="61" t="n">
        <v>0.15871144772568</v>
      </c>
    </row>
    <row r="941" customFormat="false" ht="15" hidden="false" customHeight="true" outlineLevel="0" collapsed="false">
      <c r="A941" s="62" t="n">
        <v>915</v>
      </c>
      <c r="B941" s="59" t="n">
        <v>-0.795750686807393</v>
      </c>
      <c r="C941" s="59" t="n">
        <v>0.0311167171970714</v>
      </c>
      <c r="D941" s="59" t="n">
        <v>-0.298718052089201</v>
      </c>
      <c r="E941" s="60" t="n">
        <v>0.0114138367357315</v>
      </c>
      <c r="F941" s="61" t="n">
        <v>0.321266996567261</v>
      </c>
      <c r="G941" s="55" t="n">
        <v>179.967510916421</v>
      </c>
      <c r="H941" s="62" t="n">
        <v>0</v>
      </c>
      <c r="I941" s="62" t="n">
        <v>0</v>
      </c>
      <c r="J941" s="62" t="n">
        <v>0</v>
      </c>
      <c r="K941" s="62" t="n">
        <v>0</v>
      </c>
      <c r="L941" s="62" t="n">
        <v>1</v>
      </c>
      <c r="M941" s="61" t="n">
        <v>0.367116833502442</v>
      </c>
    </row>
    <row r="942" customFormat="false" ht="15" hidden="false" customHeight="true" outlineLevel="0" collapsed="false">
      <c r="A942" s="62" t="n">
        <v>916</v>
      </c>
      <c r="B942" s="59" t="n">
        <v>-0.389077186693855</v>
      </c>
      <c r="C942" s="59" t="n">
        <v>-0.157704623466418</v>
      </c>
      <c r="D942" s="59" t="n">
        <v>0.00072420198345501</v>
      </c>
      <c r="E942" s="60" t="n">
        <v>-0.0012026777428932</v>
      </c>
      <c r="F942" s="61" t="n">
        <v>0.243762945018198</v>
      </c>
      <c r="G942" s="55" t="n">
        <v>59.2023791957645</v>
      </c>
      <c r="H942" s="62" t="n">
        <v>0</v>
      </c>
      <c r="I942" s="62" t="n">
        <v>0</v>
      </c>
      <c r="J942" s="62" t="n">
        <v>0</v>
      </c>
      <c r="K942" s="62" t="n">
        <v>0</v>
      </c>
      <c r="L942" s="62" t="n">
        <v>1</v>
      </c>
      <c r="M942" s="61" t="n">
        <v>0.361908335325309</v>
      </c>
    </row>
    <row r="943" customFormat="false" ht="15" hidden="false" customHeight="true" outlineLevel="0" collapsed="false">
      <c r="A943" s="62" t="n">
        <v>917</v>
      </c>
      <c r="B943" s="59" t="n">
        <v>-0.0338772315190818</v>
      </c>
      <c r="C943" s="59" t="n">
        <v>-0.258592556142765</v>
      </c>
      <c r="D943" s="59" t="n">
        <v>0.320657035201562</v>
      </c>
      <c r="E943" s="60" t="n">
        <v>-0.000108777709378182</v>
      </c>
      <c r="F943" s="61" t="n">
        <v>0.185746419360399</v>
      </c>
      <c r="G943" s="55" t="n">
        <v>23.5683786622417</v>
      </c>
      <c r="H943" s="62" t="n">
        <v>0</v>
      </c>
      <c r="I943" s="62" t="n">
        <v>0</v>
      </c>
      <c r="J943" s="62" t="n">
        <v>0</v>
      </c>
      <c r="K943" s="62" t="n">
        <v>0</v>
      </c>
      <c r="L943" s="62" t="n">
        <v>0</v>
      </c>
      <c r="M943" s="61" t="n">
        <v>0.158403258987188</v>
      </c>
    </row>
    <row r="944" customFormat="false" ht="15" hidden="false" customHeight="true" outlineLevel="0" collapsed="false">
      <c r="A944" s="62" t="n">
        <v>918</v>
      </c>
      <c r="B944" s="59" t="n">
        <v>-1.16891960048836</v>
      </c>
      <c r="C944" s="59" t="n">
        <v>0.051305387677475</v>
      </c>
      <c r="D944" s="59" t="n">
        <v>-0.978027562183181</v>
      </c>
      <c r="E944" s="60" t="n">
        <v>0.00217458944175953</v>
      </c>
      <c r="F944" s="61" t="n">
        <v>0.400668770240887</v>
      </c>
      <c r="G944" s="55" t="n">
        <v>158.217088410614</v>
      </c>
      <c r="H944" s="62" t="n">
        <v>0</v>
      </c>
      <c r="I944" s="62" t="n">
        <v>0</v>
      </c>
      <c r="J944" s="62" t="n">
        <v>0</v>
      </c>
      <c r="K944" s="62" t="n">
        <v>0</v>
      </c>
      <c r="L944" s="62" t="n">
        <v>0</v>
      </c>
      <c r="M944" s="61" t="n">
        <v>0.219037437149161</v>
      </c>
    </row>
    <row r="945" customFormat="false" ht="15" hidden="false" customHeight="true" outlineLevel="0" collapsed="false">
      <c r="A945" s="62" t="n">
        <v>919</v>
      </c>
      <c r="B945" s="59" t="n">
        <v>0.0922135428630443</v>
      </c>
      <c r="C945" s="59" t="n">
        <v>0.0444974677227245</v>
      </c>
      <c r="D945" s="59" t="n">
        <v>0.863292254072391</v>
      </c>
      <c r="E945" s="60" t="n">
        <v>-0.010245563791535</v>
      </c>
      <c r="F945" s="61" t="n">
        <v>0.170200488332932</v>
      </c>
      <c r="G945" s="55" t="n">
        <v>-44.4722390685488</v>
      </c>
      <c r="H945" s="62" t="n">
        <v>0</v>
      </c>
      <c r="I945" s="62" t="n">
        <v>0</v>
      </c>
      <c r="J945" s="62" t="n">
        <v>0</v>
      </c>
      <c r="K945" s="62" t="n">
        <v>0</v>
      </c>
      <c r="L945" s="62" t="n">
        <v>0</v>
      </c>
      <c r="M945" s="61" t="n">
        <v>0.158402986958411</v>
      </c>
    </row>
    <row r="946" customFormat="false" ht="15" hidden="false" customHeight="true" outlineLevel="0" collapsed="false">
      <c r="A946" s="62" t="n">
        <v>920</v>
      </c>
      <c r="B946" s="59" t="n">
        <v>-0.150636359394674</v>
      </c>
      <c r="C946" s="59" t="n">
        <v>-0.0714721880166081</v>
      </c>
      <c r="D946" s="59" t="n">
        <v>0.0798064450615649</v>
      </c>
      <c r="E946" s="60" t="n">
        <v>-0.00206077539102269</v>
      </c>
      <c r="F946" s="61" t="n">
        <v>0.203751517391273</v>
      </c>
      <c r="G946" s="55" t="n">
        <v>16.9014887622889</v>
      </c>
      <c r="H946" s="62" t="n">
        <v>0</v>
      </c>
      <c r="I946" s="62" t="n">
        <v>0</v>
      </c>
      <c r="J946" s="62" t="n">
        <v>0</v>
      </c>
      <c r="K946" s="62" t="n">
        <v>0</v>
      </c>
      <c r="L946" s="62" t="n">
        <v>0</v>
      </c>
      <c r="M946" s="61" t="n">
        <v>0.158403768501459</v>
      </c>
    </row>
    <row r="947" customFormat="false" ht="15" hidden="false" customHeight="true" outlineLevel="0" collapsed="false">
      <c r="A947" s="62" t="n">
        <v>921</v>
      </c>
      <c r="B947" s="59" t="n">
        <v>-1.47263037827988</v>
      </c>
      <c r="C947" s="59" t="n">
        <v>-0.885945258953472</v>
      </c>
      <c r="D947" s="59" t="n">
        <v>-1.25522961749984</v>
      </c>
      <c r="E947" s="60" t="n">
        <v>0.00507988349424084</v>
      </c>
      <c r="F947" s="61" t="n">
        <v>0.468993164056015</v>
      </c>
      <c r="G947" s="55" t="n">
        <v>572.300707048473</v>
      </c>
      <c r="H947" s="62" t="n">
        <v>10</v>
      </c>
      <c r="I947" s="62" t="n">
        <v>1</v>
      </c>
      <c r="J947" s="62" t="n">
        <v>1</v>
      </c>
      <c r="K947" s="62" t="n">
        <v>1</v>
      </c>
      <c r="L947" s="62" t="n">
        <v>0</v>
      </c>
      <c r="M947" s="61" t="n">
        <v>0.999999999998628</v>
      </c>
    </row>
    <row r="948" customFormat="false" ht="15" hidden="false" customHeight="true" outlineLevel="0" collapsed="false">
      <c r="A948" s="62" t="n">
        <v>922</v>
      </c>
      <c r="B948" s="59" t="n">
        <v>-0.509939505323825</v>
      </c>
      <c r="C948" s="59" t="n">
        <v>-0.345147958651996</v>
      </c>
      <c r="D948" s="59" t="n">
        <v>0.104917033697446</v>
      </c>
      <c r="E948" s="60" t="n">
        <v>0.000213554044175357</v>
      </c>
      <c r="F948" s="61" t="n">
        <v>0.265640740189529</v>
      </c>
      <c r="G948" s="55" t="n">
        <v>61.3865909679492</v>
      </c>
      <c r="H948" s="62" t="n">
        <v>0</v>
      </c>
      <c r="I948" s="62" t="n">
        <v>0</v>
      </c>
      <c r="J948" s="62" t="n">
        <v>0</v>
      </c>
      <c r="K948" s="62" t="n">
        <v>0</v>
      </c>
      <c r="L948" s="62" t="n">
        <v>0</v>
      </c>
      <c r="M948" s="61" t="n">
        <v>0.158745349294181</v>
      </c>
    </row>
    <row r="949" customFormat="false" ht="15" hidden="false" customHeight="true" outlineLevel="0" collapsed="false">
      <c r="A949" s="62" t="n">
        <v>923</v>
      </c>
      <c r="B949" s="59" t="n">
        <v>-0.351812728506738</v>
      </c>
      <c r="C949" s="59" t="n">
        <v>-0.306040275792291</v>
      </c>
      <c r="D949" s="59" t="n">
        <v>-0.672573000640636</v>
      </c>
      <c r="E949" s="60" t="n">
        <v>0.0107496601710449</v>
      </c>
      <c r="F949" s="61" t="n">
        <v>0.237229467296584</v>
      </c>
      <c r="G949" s="55" t="n">
        <v>121.264177733025</v>
      </c>
      <c r="H949" s="62" t="n">
        <v>0</v>
      </c>
      <c r="I949" s="62" t="n">
        <v>0</v>
      </c>
      <c r="J949" s="62" t="n">
        <v>0</v>
      </c>
      <c r="K949" s="62" t="n">
        <v>0</v>
      </c>
      <c r="L949" s="62" t="n">
        <v>0</v>
      </c>
      <c r="M949" s="61" t="n">
        <v>0.15983765154714</v>
      </c>
    </row>
    <row r="950" customFormat="false" ht="15" hidden="false" customHeight="true" outlineLevel="0" collapsed="false">
      <c r="A950" s="62" t="n">
        <v>924</v>
      </c>
      <c r="B950" s="59" t="n">
        <v>-0.946409376661297</v>
      </c>
      <c r="C950" s="59" t="n">
        <v>-0.290137722079647</v>
      </c>
      <c r="D950" s="59" t="n">
        <v>0.373410849178339</v>
      </c>
      <c r="E950" s="60" t="n">
        <v>0.00110070383200366</v>
      </c>
      <c r="F950" s="61" t="n">
        <v>0.352530346011962</v>
      </c>
      <c r="G950" s="55" t="n">
        <v>103.055233008807</v>
      </c>
      <c r="H950" s="62" t="n">
        <v>0</v>
      </c>
      <c r="I950" s="62" t="n">
        <v>0</v>
      </c>
      <c r="J950" s="62" t="n">
        <v>0</v>
      </c>
      <c r="K950" s="62" t="n">
        <v>0</v>
      </c>
      <c r="L950" s="62" t="n">
        <v>0</v>
      </c>
      <c r="M950" s="61" t="n">
        <v>0.158932088011653</v>
      </c>
    </row>
    <row r="951" customFormat="false" ht="15" hidden="false" customHeight="true" outlineLevel="0" collapsed="false">
      <c r="A951" s="62" t="n">
        <v>925</v>
      </c>
      <c r="B951" s="59" t="n">
        <v>0.251134705016567</v>
      </c>
      <c r="C951" s="59" t="n">
        <v>0.178493030822125</v>
      </c>
      <c r="D951" s="59" t="n">
        <v>0.5664598757108</v>
      </c>
      <c r="E951" s="60" t="n">
        <v>-0.00366522818186924</v>
      </c>
      <c r="F951" s="61" t="n">
        <v>0.153019335132275</v>
      </c>
      <c r="G951" s="55" t="n">
        <v>-5.41337252674877</v>
      </c>
      <c r="H951" s="62" t="n">
        <v>0</v>
      </c>
      <c r="I951" s="62" t="n">
        <v>0</v>
      </c>
      <c r="J951" s="62" t="n">
        <v>0</v>
      </c>
      <c r="K951" s="62" t="n">
        <v>0</v>
      </c>
      <c r="L951" s="62" t="n">
        <v>0</v>
      </c>
      <c r="M951" s="61" t="n">
        <v>0.158402847561654</v>
      </c>
    </row>
    <row r="952" customFormat="false" ht="15" hidden="false" customHeight="true" outlineLevel="0" collapsed="false">
      <c r="A952" s="62" t="n">
        <v>926</v>
      </c>
      <c r="B952" s="59" t="n">
        <v>-1.48818323058302</v>
      </c>
      <c r="C952" s="59" t="n">
        <v>-1.06466047885778</v>
      </c>
      <c r="D952" s="59" t="n">
        <v>-1.19017613286789</v>
      </c>
      <c r="E952" s="60" t="n">
        <v>-0.000561534642882431</v>
      </c>
      <c r="F952" s="61" t="n">
        <v>0.472541664825569</v>
      </c>
      <c r="G952" s="55" t="n">
        <v>527.886158767709</v>
      </c>
      <c r="H952" s="62" t="n">
        <v>10</v>
      </c>
      <c r="I952" s="62" t="n">
        <v>1</v>
      </c>
      <c r="J952" s="62" t="n">
        <v>1</v>
      </c>
      <c r="K952" s="62" t="n">
        <v>1</v>
      </c>
      <c r="L952" s="62" t="n">
        <v>0</v>
      </c>
      <c r="M952" s="61" t="n">
        <v>0.999999999996949</v>
      </c>
    </row>
    <row r="953" customFormat="false" ht="15" hidden="false" customHeight="true" outlineLevel="0" collapsed="false">
      <c r="A953" s="62" t="n">
        <v>927</v>
      </c>
      <c r="B953" s="59" t="n">
        <v>0.998882826731476</v>
      </c>
      <c r="C953" s="59" t="n">
        <v>1.71842687056857</v>
      </c>
      <c r="D953" s="59" t="n">
        <v>0.401168199772645</v>
      </c>
      <c r="E953" s="60" t="n">
        <v>-0.0112477165125448</v>
      </c>
      <c r="F953" s="61" t="n">
        <v>0.0879515042593622</v>
      </c>
      <c r="G953" s="55" t="n">
        <v>-51.096381743643</v>
      </c>
      <c r="H953" s="62" t="n">
        <v>0</v>
      </c>
      <c r="I953" s="62" t="n">
        <v>0</v>
      </c>
      <c r="J953" s="62" t="n">
        <v>0</v>
      </c>
      <c r="K953" s="62" t="n">
        <v>0</v>
      </c>
      <c r="L953" s="62" t="n">
        <v>0</v>
      </c>
      <c r="M953" s="61" t="n">
        <v>0.158402847561654</v>
      </c>
    </row>
    <row r="954" customFormat="false" ht="15" hidden="false" customHeight="true" outlineLevel="0" collapsed="false">
      <c r="A954" s="62" t="n">
        <v>928</v>
      </c>
      <c r="B954" s="59" t="n">
        <v>-0.514460564238565</v>
      </c>
      <c r="C954" s="59" t="n">
        <v>0.293012447585701</v>
      </c>
      <c r="D954" s="59" t="n">
        <v>0.0953404586908723</v>
      </c>
      <c r="E954" s="60" t="n">
        <v>0.00419421368778826</v>
      </c>
      <c r="F954" s="61" t="n">
        <v>0.266479050472683</v>
      </c>
      <c r="G954" s="55" t="n">
        <v>87.1660858290569</v>
      </c>
      <c r="H954" s="62" t="n">
        <v>0</v>
      </c>
      <c r="I954" s="62" t="n">
        <v>0</v>
      </c>
      <c r="J954" s="62" t="n">
        <v>0</v>
      </c>
      <c r="K954" s="62" t="n">
        <v>0</v>
      </c>
      <c r="L954" s="62" t="n">
        <v>0</v>
      </c>
      <c r="M954" s="61" t="n">
        <v>0.158737942440533</v>
      </c>
    </row>
    <row r="955" customFormat="false" ht="15" hidden="false" customHeight="true" outlineLevel="0" collapsed="false">
      <c r="A955" s="62" t="n">
        <v>929</v>
      </c>
      <c r="B955" s="59" t="n">
        <v>-0.780631638762479</v>
      </c>
      <c r="C955" s="59" t="n">
        <v>-0.929224313027671</v>
      </c>
      <c r="D955" s="59" t="n">
        <v>-0.0377136051043762</v>
      </c>
      <c r="E955" s="60" t="n">
        <v>-0.00100439826277387</v>
      </c>
      <c r="F955" s="61" t="n">
        <v>0.318198171766513</v>
      </c>
      <c r="G955" s="55" t="n">
        <v>82.567804894695</v>
      </c>
      <c r="H955" s="62" t="n">
        <v>0</v>
      </c>
      <c r="I955" s="62" t="n">
        <v>0</v>
      </c>
      <c r="J955" s="62" t="n">
        <v>0</v>
      </c>
      <c r="K955" s="62" t="n">
        <v>0</v>
      </c>
      <c r="L955" s="62" t="n">
        <v>0</v>
      </c>
      <c r="M955" s="61" t="n">
        <v>0.158934505121106</v>
      </c>
    </row>
    <row r="956" customFormat="false" ht="15" hidden="false" customHeight="true" outlineLevel="0" collapsed="false">
      <c r="A956" s="62" t="n">
        <v>930</v>
      </c>
      <c r="B956" s="59" t="n">
        <v>0.10399122258222</v>
      </c>
      <c r="C956" s="59" t="n">
        <v>0.378141995843249</v>
      </c>
      <c r="D956" s="59" t="n">
        <v>-0.0784395822160063</v>
      </c>
      <c r="E956" s="60" t="n">
        <v>-0.00227450573992185</v>
      </c>
      <c r="F956" s="61" t="n">
        <v>0.168885895601379</v>
      </c>
      <c r="G956" s="55" t="n">
        <v>2.72874371043235</v>
      </c>
      <c r="H956" s="62" t="n">
        <v>0</v>
      </c>
      <c r="I956" s="62" t="n">
        <v>0</v>
      </c>
      <c r="J956" s="62" t="n">
        <v>0</v>
      </c>
      <c r="K956" s="62" t="n">
        <v>0</v>
      </c>
      <c r="L956" s="62" t="n">
        <v>0</v>
      </c>
      <c r="M956" s="61" t="n">
        <v>0.158467670388445</v>
      </c>
    </row>
    <row r="957" customFormat="false" ht="15" hidden="false" customHeight="true" outlineLevel="0" collapsed="false">
      <c r="A957" s="62" t="n">
        <v>931</v>
      </c>
      <c r="B957" s="59" t="n">
        <v>-0.544579711268146</v>
      </c>
      <c r="C957" s="59" t="n">
        <v>1.09004714220601</v>
      </c>
      <c r="D957" s="59" t="n">
        <v>0.252838012017223</v>
      </c>
      <c r="E957" s="60" t="n">
        <v>0.00311671244495726</v>
      </c>
      <c r="F957" s="61" t="n">
        <v>0.272099660753285</v>
      </c>
      <c r="G957" s="55" t="n">
        <v>81.8330383036544</v>
      </c>
      <c r="H957" s="62" t="n">
        <v>0</v>
      </c>
      <c r="I957" s="62" t="n">
        <v>0</v>
      </c>
      <c r="J957" s="62" t="n">
        <v>0</v>
      </c>
      <c r="K957" s="62" t="n">
        <v>0</v>
      </c>
      <c r="L957" s="62" t="n">
        <v>0</v>
      </c>
      <c r="M957" s="61" t="n">
        <v>0.1587501513406</v>
      </c>
    </row>
    <row r="958" customFormat="false" ht="15" hidden="false" customHeight="true" outlineLevel="0" collapsed="false">
      <c r="A958" s="62" t="n">
        <v>932</v>
      </c>
      <c r="B958" s="59" t="n">
        <v>-0.517637715465467</v>
      </c>
      <c r="C958" s="59" t="n">
        <v>-1.53225251709671</v>
      </c>
      <c r="D958" s="59" t="n">
        <v>0.659376296966145</v>
      </c>
      <c r="E958" s="60" t="n">
        <v>-6.56372636875945E-005</v>
      </c>
      <c r="F958" s="61" t="n">
        <v>0.267069012126827</v>
      </c>
      <c r="G958" s="55" t="n">
        <v>86.2751825160461</v>
      </c>
      <c r="H958" s="62" t="n">
        <v>0</v>
      </c>
      <c r="I958" s="62" t="n">
        <v>0</v>
      </c>
      <c r="J958" s="62" t="n">
        <v>0</v>
      </c>
      <c r="K958" s="62" t="n">
        <v>0</v>
      </c>
      <c r="L958" s="62" t="n">
        <v>0</v>
      </c>
      <c r="M958" s="61" t="n">
        <v>0.158778452441914</v>
      </c>
    </row>
    <row r="959" customFormat="false" ht="15" hidden="false" customHeight="true" outlineLevel="0" collapsed="false">
      <c r="A959" s="62" t="n">
        <v>933</v>
      </c>
      <c r="B959" s="59" t="n">
        <v>0.203161194703933</v>
      </c>
      <c r="C959" s="59" t="n">
        <v>0.739556512163935</v>
      </c>
      <c r="D959" s="59" t="n">
        <v>0.744823306563286</v>
      </c>
      <c r="E959" s="60" t="n">
        <v>-0.000232325394633189</v>
      </c>
      <c r="F959" s="61" t="n">
        <v>0.158079034373274</v>
      </c>
      <c r="G959" s="55" t="n">
        <v>14.6914698050392</v>
      </c>
      <c r="H959" s="62" t="n">
        <v>0</v>
      </c>
      <c r="I959" s="62" t="n">
        <v>0</v>
      </c>
      <c r="J959" s="62" t="n">
        <v>0</v>
      </c>
      <c r="K959" s="62" t="n">
        <v>0</v>
      </c>
      <c r="L959" s="62" t="n">
        <v>0</v>
      </c>
      <c r="M959" s="61" t="n">
        <v>0.158402851006802</v>
      </c>
    </row>
    <row r="960" customFormat="false" ht="15" hidden="false" customHeight="true" outlineLevel="0" collapsed="false">
      <c r="A960" s="62" t="n">
        <v>934</v>
      </c>
      <c r="B960" s="59" t="n">
        <v>-0.323782335065973</v>
      </c>
      <c r="C960" s="59" t="n">
        <v>-0.853188032028795</v>
      </c>
      <c r="D960" s="59" t="n">
        <v>0.295626844566306</v>
      </c>
      <c r="E960" s="60" t="n">
        <v>0.00358793531072712</v>
      </c>
      <c r="F960" s="61" t="n">
        <v>0.232382302198177</v>
      </c>
      <c r="G960" s="55" t="n">
        <v>81.3201988999359</v>
      </c>
      <c r="H960" s="62" t="n">
        <v>0</v>
      </c>
      <c r="I960" s="62" t="n">
        <v>0</v>
      </c>
      <c r="J960" s="62" t="n">
        <v>0</v>
      </c>
      <c r="K960" s="62" t="n">
        <v>0</v>
      </c>
      <c r="L960" s="62" t="n">
        <v>0</v>
      </c>
      <c r="M960" s="61" t="n">
        <v>0.158683873105408</v>
      </c>
    </row>
    <row r="961" customFormat="false" ht="15" hidden="false" customHeight="true" outlineLevel="0" collapsed="false">
      <c r="A961" s="62" t="n">
        <v>935</v>
      </c>
      <c r="B961" s="59" t="n">
        <v>0.67522487059586</v>
      </c>
      <c r="C961" s="59" t="n">
        <v>0.901917342261446</v>
      </c>
      <c r="D961" s="59" t="n">
        <v>0.980444026112621</v>
      </c>
      <c r="E961" s="60" t="n">
        <v>-0.00800564876810225</v>
      </c>
      <c r="F961" s="61" t="n">
        <v>0.113001571678462</v>
      </c>
      <c r="G961" s="55" t="n">
        <v>-31.6512528168882</v>
      </c>
      <c r="H961" s="62" t="n">
        <v>0</v>
      </c>
      <c r="I961" s="62" t="n">
        <v>0</v>
      </c>
      <c r="J961" s="62" t="n">
        <v>0</v>
      </c>
      <c r="K961" s="62" t="n">
        <v>0</v>
      </c>
      <c r="L961" s="62" t="n">
        <v>0</v>
      </c>
      <c r="M961" s="61" t="n">
        <v>0.158402847561654</v>
      </c>
    </row>
    <row r="962" customFormat="false" ht="15" hidden="false" customHeight="true" outlineLevel="0" collapsed="false">
      <c r="A962" s="62" t="n">
        <v>936</v>
      </c>
      <c r="B962" s="59" t="n">
        <v>0.316824790562255</v>
      </c>
      <c r="C962" s="59" t="n">
        <v>0.697094489138372</v>
      </c>
      <c r="D962" s="59" t="n">
        <v>-0.482913969998083</v>
      </c>
      <c r="E962" s="60" t="n">
        <v>0.00390388033350046</v>
      </c>
      <c r="F962" s="61" t="n">
        <v>0.146268509352319</v>
      </c>
      <c r="G962" s="55" t="n">
        <v>43.1200705266058</v>
      </c>
      <c r="H962" s="62" t="n">
        <v>0</v>
      </c>
      <c r="I962" s="62" t="n">
        <v>0</v>
      </c>
      <c r="J962" s="62" t="n">
        <v>0</v>
      </c>
      <c r="K962" s="62" t="n">
        <v>0</v>
      </c>
      <c r="L962" s="62" t="n">
        <v>0</v>
      </c>
      <c r="M962" s="61" t="n">
        <v>0.158906451279115</v>
      </c>
    </row>
    <row r="963" customFormat="false" ht="15" hidden="false" customHeight="true" outlineLevel="0" collapsed="false">
      <c r="A963" s="62" t="n">
        <v>937</v>
      </c>
      <c r="B963" s="59" t="n">
        <v>0.661323465162996</v>
      </c>
      <c r="C963" s="59" t="n">
        <v>0.842184856077247</v>
      </c>
      <c r="D963" s="59" t="n">
        <v>2.72598104867899</v>
      </c>
      <c r="E963" s="60" t="n">
        <v>-0.00780400401767001</v>
      </c>
      <c r="F963" s="61" t="n">
        <v>0.114181423076322</v>
      </c>
      <c r="G963" s="55" t="n">
        <v>-30.431142775671</v>
      </c>
      <c r="H963" s="62" t="n">
        <v>0</v>
      </c>
      <c r="I963" s="62" t="n">
        <v>0</v>
      </c>
      <c r="J963" s="62" t="n">
        <v>0</v>
      </c>
      <c r="K963" s="62" t="n">
        <v>0</v>
      </c>
      <c r="L963" s="62" t="n">
        <v>0</v>
      </c>
      <c r="M963" s="61" t="n">
        <v>0.158402847561654</v>
      </c>
    </row>
    <row r="964" customFormat="false" ht="15" hidden="false" customHeight="true" outlineLevel="0" collapsed="false">
      <c r="A964" s="62" t="n">
        <v>938</v>
      </c>
      <c r="B964" s="59" t="n">
        <v>1.07929483572383</v>
      </c>
      <c r="C964" s="59" t="n">
        <v>0.57979302729743</v>
      </c>
      <c r="D964" s="59" t="n">
        <v>1.08816492651291</v>
      </c>
      <c r="E964" s="60" t="n">
        <v>0.00806552586207325</v>
      </c>
      <c r="F964" s="61" t="n">
        <v>0.0824241552899348</v>
      </c>
      <c r="G964" s="55" t="n">
        <v>71.8049175007598</v>
      </c>
      <c r="H964" s="62" t="n">
        <v>0</v>
      </c>
      <c r="I964" s="62" t="n">
        <v>0</v>
      </c>
      <c r="J964" s="62" t="n">
        <v>0</v>
      </c>
      <c r="K964" s="62" t="n">
        <v>0</v>
      </c>
      <c r="L964" s="62" t="n">
        <v>0</v>
      </c>
      <c r="M964" s="61" t="n">
        <v>0.158402847561654</v>
      </c>
    </row>
    <row r="965" customFormat="false" ht="15" hidden="false" customHeight="true" outlineLevel="0" collapsed="false">
      <c r="A965" s="62" t="n">
        <v>939</v>
      </c>
      <c r="B965" s="59" t="n">
        <v>-0.81189976044233</v>
      </c>
      <c r="C965" s="59" t="n">
        <v>-0.634518301527089</v>
      </c>
      <c r="D965" s="59" t="n">
        <v>-1.28321598371875</v>
      </c>
      <c r="E965" s="60" t="n">
        <v>-0.00896722191987306</v>
      </c>
      <c r="F965" s="61" t="n">
        <v>0.324559295557674</v>
      </c>
      <c r="G965" s="55" t="n">
        <v>45.4579987760885</v>
      </c>
      <c r="H965" s="62" t="n">
        <v>0</v>
      </c>
      <c r="I965" s="62" t="n">
        <v>0</v>
      </c>
      <c r="J965" s="62" t="n">
        <v>0</v>
      </c>
      <c r="K965" s="62" t="n">
        <v>0</v>
      </c>
      <c r="L965" s="62" t="n">
        <v>0</v>
      </c>
      <c r="M965" s="61" t="n">
        <v>0.175549818697728</v>
      </c>
    </row>
    <row r="966" customFormat="false" ht="15" hidden="false" customHeight="true" outlineLevel="0" collapsed="false">
      <c r="A966" s="62" t="n">
        <v>940</v>
      </c>
      <c r="B966" s="59" t="n">
        <v>-0.425996678733421</v>
      </c>
      <c r="C966" s="59" t="n">
        <v>0.220978309256871</v>
      </c>
      <c r="D966" s="59" t="n">
        <v>0.180622635533168</v>
      </c>
      <c r="E966" s="60" t="n">
        <v>0.00166709781127476</v>
      </c>
      <c r="F966" s="61" t="n">
        <v>0.250335516204946</v>
      </c>
      <c r="G966" s="55" t="n">
        <v>62.5693387455653</v>
      </c>
      <c r="H966" s="62" t="n">
        <v>0</v>
      </c>
      <c r="I966" s="62" t="n">
        <v>0</v>
      </c>
      <c r="J966" s="62" t="n">
        <v>0</v>
      </c>
      <c r="K966" s="62" t="n">
        <v>0</v>
      </c>
      <c r="L966" s="62" t="n">
        <v>0</v>
      </c>
      <c r="M966" s="61" t="n">
        <v>0.158702675419528</v>
      </c>
    </row>
    <row r="967" customFormat="false" ht="15" hidden="false" customHeight="true" outlineLevel="0" collapsed="false">
      <c r="A967" s="62" t="n">
        <v>941</v>
      </c>
      <c r="B967" s="59" t="n">
        <v>0.831934176244535</v>
      </c>
      <c r="C967" s="59" t="n">
        <v>1.05604860936904</v>
      </c>
      <c r="D967" s="59" t="n">
        <v>1.27316724595867</v>
      </c>
      <c r="E967" s="60" t="n">
        <v>0.00461138662756476</v>
      </c>
      <c r="F967" s="61" t="n">
        <v>0.100300550475427</v>
      </c>
      <c r="G967" s="55" t="n">
        <v>64.9124549344503</v>
      </c>
      <c r="H967" s="62" t="n">
        <v>0</v>
      </c>
      <c r="I967" s="62" t="n">
        <v>0</v>
      </c>
      <c r="J967" s="62" t="n">
        <v>0</v>
      </c>
      <c r="K967" s="62" t="n">
        <v>0</v>
      </c>
      <c r="L967" s="62" t="n">
        <v>1</v>
      </c>
      <c r="M967" s="61" t="n">
        <v>0.361450633272924</v>
      </c>
    </row>
    <row r="968" customFormat="false" ht="15" hidden="false" customHeight="true" outlineLevel="0" collapsed="false">
      <c r="A968" s="62" t="n">
        <v>942</v>
      </c>
      <c r="B968" s="59" t="n">
        <v>0.524395822809005</v>
      </c>
      <c r="C968" s="59" t="n">
        <v>-0.0451863592103438</v>
      </c>
      <c r="D968" s="59" t="n">
        <v>0.684211063395693</v>
      </c>
      <c r="E968" s="60" t="n">
        <v>0.00596509081505829</v>
      </c>
      <c r="F968" s="61" t="n">
        <v>0.126274609076751</v>
      </c>
      <c r="G968" s="55" t="n">
        <v>58.6791085298018</v>
      </c>
      <c r="H968" s="62" t="n">
        <v>0</v>
      </c>
      <c r="I968" s="62" t="n">
        <v>0</v>
      </c>
      <c r="J968" s="62" t="n">
        <v>0</v>
      </c>
      <c r="K968" s="62" t="n">
        <v>0</v>
      </c>
      <c r="L968" s="62" t="n">
        <v>0</v>
      </c>
      <c r="M968" s="61" t="n">
        <v>0.158402847561654</v>
      </c>
    </row>
    <row r="969" customFormat="false" ht="15" hidden="false" customHeight="true" outlineLevel="0" collapsed="false">
      <c r="A969" s="62" t="n">
        <v>943</v>
      </c>
      <c r="B969" s="59" t="n">
        <v>-0.415292643052313</v>
      </c>
      <c r="C969" s="59" t="n">
        <v>0.0694666069599698</v>
      </c>
      <c r="D969" s="59" t="n">
        <v>0.566298774901286</v>
      </c>
      <c r="E969" s="60" t="n">
        <v>0.00486229633570853</v>
      </c>
      <c r="F969" s="61" t="n">
        <v>0.248419813383896</v>
      </c>
      <c r="G969" s="55" t="n">
        <v>83.8800101567358</v>
      </c>
      <c r="H969" s="62" t="n">
        <v>0</v>
      </c>
      <c r="I969" s="62" t="n">
        <v>0</v>
      </c>
      <c r="J969" s="62" t="n">
        <v>0</v>
      </c>
      <c r="K969" s="62" t="n">
        <v>0</v>
      </c>
      <c r="L969" s="62" t="n">
        <v>0</v>
      </c>
      <c r="M969" s="61" t="n">
        <v>0.158698468275362</v>
      </c>
    </row>
    <row r="970" customFormat="false" ht="15" hidden="false" customHeight="true" outlineLevel="0" collapsed="false">
      <c r="A970" s="62" t="n">
        <v>944</v>
      </c>
      <c r="B970" s="59" t="n">
        <v>-0.500340148922639</v>
      </c>
      <c r="C970" s="59" t="n">
        <v>-0.0903702914485554</v>
      </c>
      <c r="D970" s="59" t="n">
        <v>-0.671733062486972</v>
      </c>
      <c r="E970" s="60" t="n">
        <v>0.00885839010982789</v>
      </c>
      <c r="F970" s="61" t="n">
        <v>0.263865481501834</v>
      </c>
      <c r="G970" s="55" t="n">
        <v>119.234940351208</v>
      </c>
      <c r="H970" s="62" t="n">
        <v>0</v>
      </c>
      <c r="I970" s="62" t="n">
        <v>0</v>
      </c>
      <c r="J970" s="62" t="n">
        <v>0</v>
      </c>
      <c r="K970" s="62" t="n">
        <v>0</v>
      </c>
      <c r="L970" s="62" t="n">
        <v>0</v>
      </c>
      <c r="M970" s="61" t="n">
        <v>0.160031000827318</v>
      </c>
    </row>
    <row r="971" customFormat="false" ht="15" hidden="false" customHeight="true" outlineLevel="0" collapsed="false">
      <c r="A971" s="62" t="n">
        <v>945</v>
      </c>
      <c r="B971" s="59" t="n">
        <v>-0.844423493022093</v>
      </c>
      <c r="C971" s="59" t="n">
        <v>-1.0213642057351</v>
      </c>
      <c r="D971" s="59" t="n">
        <v>-1.38498150118628</v>
      </c>
      <c r="E971" s="60" t="n">
        <v>-0.0185833421671943</v>
      </c>
      <c r="F971" s="61" t="n">
        <v>0.331234176136282</v>
      </c>
      <c r="G971" s="55" t="n">
        <v>17.7421875828501</v>
      </c>
      <c r="H971" s="62" t="n">
        <v>0</v>
      </c>
      <c r="I971" s="62" t="n">
        <v>0</v>
      </c>
      <c r="J971" s="62" t="n">
        <v>0</v>
      </c>
      <c r="K971" s="62" t="n">
        <v>0</v>
      </c>
      <c r="L971" s="62" t="n">
        <v>0</v>
      </c>
      <c r="M971" s="61" t="n">
        <v>0.212554719396805</v>
      </c>
    </row>
    <row r="972" customFormat="false" ht="15" hidden="false" customHeight="true" outlineLevel="0" collapsed="false">
      <c r="A972" s="62" t="n">
        <v>946</v>
      </c>
      <c r="B972" s="59" t="n">
        <v>-1.43238910808705</v>
      </c>
      <c r="C972" s="59" t="n">
        <v>-1.73099296841831</v>
      </c>
      <c r="D972" s="59" t="n">
        <v>-1.2882431850434</v>
      </c>
      <c r="E972" s="60" t="n">
        <v>0.0116847653375094</v>
      </c>
      <c r="F972" s="61" t="n">
        <v>0.459826958986251</v>
      </c>
      <c r="G972" s="55" t="n">
        <v>638.5401242394</v>
      </c>
      <c r="H972" s="62" t="n">
        <v>10</v>
      </c>
      <c r="I972" s="62" t="n">
        <v>1</v>
      </c>
      <c r="J972" s="62" t="n">
        <v>1</v>
      </c>
      <c r="K972" s="62" t="n">
        <v>1</v>
      </c>
      <c r="L972" s="62" t="n">
        <v>0</v>
      </c>
      <c r="M972" s="61" t="n">
        <v>0.999999999998684</v>
      </c>
    </row>
    <row r="973" customFormat="false" ht="15" hidden="false" customHeight="true" outlineLevel="0" collapsed="false">
      <c r="A973" s="62" t="n">
        <v>947</v>
      </c>
      <c r="B973" s="59" t="n">
        <v>-0.827465771243198</v>
      </c>
      <c r="C973" s="59" t="n">
        <v>2.55363486126398</v>
      </c>
      <c r="D973" s="59" t="n">
        <v>1.31626406651523</v>
      </c>
      <c r="E973" s="60" t="n">
        <v>0.00931028032917892</v>
      </c>
      <c r="F973" s="61" t="n">
        <v>0.327746611057377</v>
      </c>
      <c r="G973" s="55" t="n">
        <v>147.53864127447</v>
      </c>
      <c r="H973" s="62" t="n">
        <v>0</v>
      </c>
      <c r="I973" s="62" t="n">
        <v>0</v>
      </c>
      <c r="J973" s="62" t="n">
        <v>0</v>
      </c>
      <c r="K973" s="62" t="n">
        <v>0</v>
      </c>
      <c r="L973" s="62" t="n">
        <v>0</v>
      </c>
      <c r="M973" s="61" t="n">
        <v>0.158869895369904</v>
      </c>
    </row>
    <row r="974" customFormat="false" ht="15" hidden="false" customHeight="true" outlineLevel="0" collapsed="false">
      <c r="A974" s="62" t="n">
        <v>948</v>
      </c>
      <c r="B974" s="59" t="n">
        <v>0.953621454163744</v>
      </c>
      <c r="C974" s="59" t="n">
        <v>-0.0341939232667703</v>
      </c>
      <c r="D974" s="59" t="n">
        <v>1.97644866794349</v>
      </c>
      <c r="E974" s="60" t="n">
        <v>0.0123104123111458</v>
      </c>
      <c r="F974" s="61" t="n">
        <v>0.0911816516370374</v>
      </c>
      <c r="G974" s="55" t="n">
        <v>102.239188134628</v>
      </c>
      <c r="H974" s="62" t="n">
        <v>0</v>
      </c>
      <c r="I974" s="62" t="n">
        <v>0</v>
      </c>
      <c r="J974" s="62" t="n">
        <v>0</v>
      </c>
      <c r="K974" s="62" t="n">
        <v>0</v>
      </c>
      <c r="L974" s="62" t="n">
        <v>0</v>
      </c>
      <c r="M974" s="61" t="n">
        <v>0.158402847561654</v>
      </c>
    </row>
    <row r="975" customFormat="false" ht="15" hidden="false" customHeight="true" outlineLevel="0" collapsed="false">
      <c r="A975" s="62" t="n">
        <v>949</v>
      </c>
      <c r="B975" s="59" t="n">
        <v>-0.0383752603898399</v>
      </c>
      <c r="C975" s="59" t="n">
        <v>0.512899959953867</v>
      </c>
      <c r="D975" s="59" t="n">
        <v>0.154948389526583</v>
      </c>
      <c r="E975" s="60" t="n">
        <v>0.00301965360335776</v>
      </c>
      <c r="F975" s="61" t="n">
        <v>0.186420360654993</v>
      </c>
      <c r="G975" s="55" t="n">
        <v>57.2782134820143</v>
      </c>
      <c r="H975" s="62" t="n">
        <v>0</v>
      </c>
      <c r="I975" s="62" t="n">
        <v>0</v>
      </c>
      <c r="J975" s="62" t="n">
        <v>0</v>
      </c>
      <c r="K975" s="62" t="n">
        <v>0</v>
      </c>
      <c r="L975" s="62" t="n">
        <v>1</v>
      </c>
      <c r="M975" s="61" t="n">
        <v>0.361718434040266</v>
      </c>
    </row>
    <row r="976" customFormat="false" ht="15" hidden="false" customHeight="true" outlineLevel="0" collapsed="false">
      <c r="A976" s="62" t="n">
        <v>950</v>
      </c>
      <c r="B976" s="59" t="n">
        <v>-0.864618386836638</v>
      </c>
      <c r="C976" s="59" t="n">
        <v>-0.453632629715881</v>
      </c>
      <c r="D976" s="59" t="n">
        <v>-0.103730139660177</v>
      </c>
      <c r="E976" s="60" t="n">
        <v>0.00738048652160346</v>
      </c>
      <c r="F976" s="61" t="n">
        <v>0.335407947390002</v>
      </c>
      <c r="G976" s="55" t="n">
        <v>140.882519951787</v>
      </c>
      <c r="H976" s="62" t="n">
        <v>0</v>
      </c>
      <c r="I976" s="62" t="n">
        <v>0</v>
      </c>
      <c r="J976" s="62" t="n">
        <v>0</v>
      </c>
      <c r="K976" s="62" t="n">
        <v>0</v>
      </c>
      <c r="L976" s="62" t="n">
        <v>0</v>
      </c>
      <c r="M976" s="61" t="n">
        <v>0.159075455312027</v>
      </c>
    </row>
    <row r="977" customFormat="false" ht="15" hidden="false" customHeight="true" outlineLevel="0" collapsed="false">
      <c r="A977" s="62" t="n">
        <v>951</v>
      </c>
      <c r="B977" s="59" t="n">
        <v>1.151142804486</v>
      </c>
      <c r="C977" s="59" t="n">
        <v>1.80822982074065</v>
      </c>
      <c r="D977" s="59" t="n">
        <v>1.40681674572784</v>
      </c>
      <c r="E977" s="60" t="n">
        <v>0.00668839854299495</v>
      </c>
      <c r="F977" s="61" t="n">
        <v>0.0777099437829697</v>
      </c>
      <c r="G977" s="55" t="n">
        <v>79.1411818106026</v>
      </c>
      <c r="H977" s="62" t="n">
        <v>0</v>
      </c>
      <c r="I977" s="62" t="n">
        <v>0</v>
      </c>
      <c r="J977" s="62" t="n">
        <v>0</v>
      </c>
      <c r="K977" s="62" t="n">
        <v>0</v>
      </c>
      <c r="L977" s="62" t="n">
        <v>1</v>
      </c>
      <c r="M977" s="61" t="n">
        <v>0.361450166013498</v>
      </c>
    </row>
    <row r="978" customFormat="false" ht="15" hidden="false" customHeight="true" outlineLevel="0" collapsed="false">
      <c r="A978" s="62" t="n">
        <v>952</v>
      </c>
      <c r="B978" s="59" t="n">
        <v>2.01974843863041</v>
      </c>
      <c r="C978" s="59" t="n">
        <v>0.563977801454826</v>
      </c>
      <c r="D978" s="59" t="n">
        <v>0.671790938155236</v>
      </c>
      <c r="E978" s="60" t="n">
        <v>0.00321352145927342</v>
      </c>
      <c r="F978" s="61" t="n">
        <v>0.0355804977324455</v>
      </c>
      <c r="G978" s="55" t="n">
        <v>38.3299751388532</v>
      </c>
      <c r="H978" s="62" t="n">
        <v>0</v>
      </c>
      <c r="I978" s="62" t="n">
        <v>0</v>
      </c>
      <c r="J978" s="62" t="n">
        <v>0</v>
      </c>
      <c r="K978" s="62" t="n">
        <v>0</v>
      </c>
      <c r="L978" s="62" t="n">
        <v>0</v>
      </c>
      <c r="M978" s="61" t="n">
        <v>0.158402847561654</v>
      </c>
    </row>
    <row r="979" customFormat="false" ht="15" hidden="false" customHeight="true" outlineLevel="0" collapsed="false">
      <c r="A979" s="62" t="n">
        <v>953</v>
      </c>
      <c r="B979" s="59" t="n">
        <v>-0.511410757757586</v>
      </c>
      <c r="C979" s="59" t="n">
        <v>-0.634375745514794</v>
      </c>
      <c r="D979" s="59" t="n">
        <v>0.220317422697554</v>
      </c>
      <c r="E979" s="60" t="n">
        <v>0.00315198901877378</v>
      </c>
      <c r="F979" s="61" t="n">
        <v>0.265913389996817</v>
      </c>
      <c r="G979" s="55" t="n">
        <v>85.5502702482708</v>
      </c>
      <c r="H979" s="62" t="n">
        <v>0</v>
      </c>
      <c r="I979" s="62" t="n">
        <v>0</v>
      </c>
      <c r="J979" s="62" t="n">
        <v>0</v>
      </c>
      <c r="K979" s="62" t="n">
        <v>0</v>
      </c>
      <c r="L979" s="62" t="n">
        <v>0</v>
      </c>
      <c r="M979" s="61" t="n">
        <v>0.158753495990865</v>
      </c>
    </row>
    <row r="980" customFormat="false" ht="15" hidden="false" customHeight="true" outlineLevel="0" collapsed="false">
      <c r="A980" s="62" t="n">
        <v>954</v>
      </c>
      <c r="B980" s="59" t="n">
        <v>-1.15066054594005</v>
      </c>
      <c r="C980" s="59" t="n">
        <v>0.248546919328642</v>
      </c>
      <c r="D980" s="59" t="n">
        <v>-1.13985918836676</v>
      </c>
      <c r="E980" s="60" t="n">
        <v>-0.0124819810621527</v>
      </c>
      <c r="F980" s="61" t="n">
        <v>0.396643822684828</v>
      </c>
      <c r="G980" s="55" t="n">
        <v>77.6673642977902</v>
      </c>
      <c r="H980" s="62" t="n">
        <v>0</v>
      </c>
      <c r="I980" s="62" t="n">
        <v>0</v>
      </c>
      <c r="J980" s="62" t="n">
        <v>0</v>
      </c>
      <c r="K980" s="62" t="n">
        <v>0</v>
      </c>
      <c r="L980" s="62" t="n">
        <v>0</v>
      </c>
      <c r="M980" s="61" t="n">
        <v>0.229888318652545</v>
      </c>
    </row>
    <row r="981" customFormat="false" ht="15" hidden="false" customHeight="true" outlineLevel="0" collapsed="false">
      <c r="A981" s="62" t="n">
        <v>955</v>
      </c>
      <c r="B981" s="59" t="n">
        <v>-0.679110543176755</v>
      </c>
      <c r="C981" s="59" t="n">
        <v>0.0628235806768925</v>
      </c>
      <c r="D981" s="59" t="n">
        <v>-0.821279201038413</v>
      </c>
      <c r="E981" s="60" t="n">
        <v>-0.00255321604082782</v>
      </c>
      <c r="F981" s="61" t="n">
        <v>0.297942196794125</v>
      </c>
      <c r="G981" s="55" t="n">
        <v>58.805352959195</v>
      </c>
      <c r="H981" s="62" t="n">
        <v>0</v>
      </c>
      <c r="I981" s="62" t="n">
        <v>0</v>
      </c>
      <c r="J981" s="62" t="n">
        <v>0</v>
      </c>
      <c r="K981" s="62" t="n">
        <v>0</v>
      </c>
      <c r="L981" s="62" t="n">
        <v>0</v>
      </c>
      <c r="M981" s="61" t="n">
        <v>0.164810770267096</v>
      </c>
    </row>
    <row r="982" customFormat="false" ht="15" hidden="false" customHeight="true" outlineLevel="0" collapsed="false">
      <c r="A982" s="62" t="n">
        <v>956</v>
      </c>
      <c r="B982" s="59" t="n">
        <v>-0.519035486809164</v>
      </c>
      <c r="C982" s="59" t="n">
        <v>-0.00549869116009337</v>
      </c>
      <c r="D982" s="59" t="n">
        <v>-0.11426444797725</v>
      </c>
      <c r="E982" s="60" t="n">
        <v>0.00619164200155835</v>
      </c>
      <c r="F982" s="61" t="n">
        <v>0.267328782890214</v>
      </c>
      <c r="G982" s="55" t="n">
        <v>119.447151977603</v>
      </c>
      <c r="H982" s="62" t="n">
        <v>0</v>
      </c>
      <c r="I982" s="62" t="n">
        <v>0</v>
      </c>
      <c r="J982" s="62" t="n">
        <v>0</v>
      </c>
      <c r="K982" s="62" t="n">
        <v>0</v>
      </c>
      <c r="L982" s="62" t="n">
        <v>1</v>
      </c>
      <c r="M982" s="61" t="n">
        <v>0.3622476866059</v>
      </c>
    </row>
    <row r="983" customFormat="false" ht="15" hidden="false" customHeight="true" outlineLevel="0" collapsed="false">
      <c r="A983" s="62" t="n">
        <v>957</v>
      </c>
      <c r="B983" s="59" t="n">
        <v>-1.54002235004715</v>
      </c>
      <c r="C983" s="59" t="n">
        <v>1.43333827411157</v>
      </c>
      <c r="D983" s="59" t="n">
        <v>1.10116404854068</v>
      </c>
      <c r="E983" s="60" t="n">
        <v>0.043921176920155</v>
      </c>
      <c r="F983" s="61" t="n">
        <v>0.484387962792608</v>
      </c>
      <c r="G983" s="55" t="n">
        <v>647.131005238196</v>
      </c>
      <c r="H983" s="62" t="n">
        <v>13</v>
      </c>
      <c r="I983" s="62" t="n">
        <v>2</v>
      </c>
      <c r="J983" s="62" t="n">
        <v>2</v>
      </c>
      <c r="K983" s="62" t="n">
        <v>1</v>
      </c>
      <c r="L983" s="62" t="n">
        <v>0</v>
      </c>
      <c r="M983" s="61" t="n">
        <v>0.999999999999907</v>
      </c>
    </row>
    <row r="984" customFormat="false" ht="15" hidden="false" customHeight="true" outlineLevel="0" collapsed="false">
      <c r="A984" s="62" t="n">
        <v>958</v>
      </c>
      <c r="B984" s="59" t="n">
        <v>0.136723761309937</v>
      </c>
      <c r="C984" s="59" t="n">
        <v>-0.040374434166342</v>
      </c>
      <c r="D984" s="59" t="n">
        <v>-0.550342569070908</v>
      </c>
      <c r="E984" s="60" t="n">
        <v>0.00473029149816429</v>
      </c>
      <c r="F984" s="61" t="n">
        <v>0.165267102093915</v>
      </c>
      <c r="G984" s="55" t="n">
        <v>50.1642864893306</v>
      </c>
      <c r="H984" s="62" t="n">
        <v>0</v>
      </c>
      <c r="I984" s="62" t="n">
        <v>0</v>
      </c>
      <c r="J984" s="62" t="n">
        <v>0</v>
      </c>
      <c r="K984" s="62" t="n">
        <v>0</v>
      </c>
      <c r="L984" s="62" t="n">
        <v>0</v>
      </c>
      <c r="M984" s="61" t="n">
        <v>0.159004994511599</v>
      </c>
    </row>
    <row r="985" customFormat="false" ht="15" hidden="false" customHeight="true" outlineLevel="0" collapsed="false">
      <c r="A985" s="62" t="n">
        <v>959</v>
      </c>
      <c r="B985" s="59" t="n">
        <v>0.078077840149091</v>
      </c>
      <c r="C985" s="59" t="n">
        <v>-1.52508516019191</v>
      </c>
      <c r="D985" s="59" t="n">
        <v>0.0555230211658487</v>
      </c>
      <c r="E985" s="60" t="n">
        <v>0.0218074785568194</v>
      </c>
      <c r="F985" s="61" t="n">
        <v>0.171787005807891</v>
      </c>
      <c r="G985" s="55" t="n">
        <v>203.016835023457</v>
      </c>
      <c r="H985" s="62" t="n">
        <v>0</v>
      </c>
      <c r="I985" s="62" t="n">
        <v>0</v>
      </c>
      <c r="J985" s="62" t="n">
        <v>0</v>
      </c>
      <c r="K985" s="62" t="n">
        <v>0</v>
      </c>
      <c r="L985" s="62" t="n">
        <v>0</v>
      </c>
      <c r="M985" s="61" t="n">
        <v>0.158403050419809</v>
      </c>
    </row>
    <row r="986" customFormat="false" ht="15" hidden="false" customHeight="true" outlineLevel="0" collapsed="false">
      <c r="A986" s="62" t="n">
        <v>960</v>
      </c>
      <c r="B986" s="59" t="n">
        <v>-0.155194567941563</v>
      </c>
      <c r="C986" s="59" t="n">
        <v>0.633860872815522</v>
      </c>
      <c r="D986" s="59" t="n">
        <v>-0.18661525206914</v>
      </c>
      <c r="E986" s="60" t="n">
        <v>-0.00477007545456018</v>
      </c>
      <c r="F986" s="61" t="n">
        <v>0.204475892234634</v>
      </c>
      <c r="G986" s="55" t="n">
        <v>0.371474420654917</v>
      </c>
      <c r="H986" s="62" t="n">
        <v>0</v>
      </c>
      <c r="I986" s="62" t="n">
        <v>0</v>
      </c>
      <c r="J986" s="62" t="n">
        <v>0</v>
      </c>
      <c r="K986" s="62" t="n">
        <v>0</v>
      </c>
      <c r="L986" s="62" t="n">
        <v>0</v>
      </c>
      <c r="M986" s="61" t="n">
        <v>0.158574581445486</v>
      </c>
    </row>
    <row r="987" customFormat="false" ht="15" hidden="false" customHeight="true" outlineLevel="0" collapsed="false">
      <c r="A987" s="62" t="n">
        <v>961</v>
      </c>
      <c r="B987" s="59" t="n">
        <v>0.583394170768425</v>
      </c>
      <c r="C987" s="59" t="n">
        <v>0.781699721550749</v>
      </c>
      <c r="D987" s="59" t="n">
        <v>0.523928306368117</v>
      </c>
      <c r="E987" s="60" t="n">
        <v>0.00999586273157875</v>
      </c>
      <c r="F987" s="61" t="n">
        <v>0.120958437712212</v>
      </c>
      <c r="G987" s="55" t="n">
        <v>85.0384874413031</v>
      </c>
      <c r="H987" s="62" t="n">
        <v>0</v>
      </c>
      <c r="I987" s="62" t="n">
        <v>0</v>
      </c>
      <c r="J987" s="62" t="n">
        <v>0</v>
      </c>
      <c r="K987" s="62" t="n">
        <v>0</v>
      </c>
      <c r="L987" s="62" t="n">
        <v>0</v>
      </c>
      <c r="M987" s="61" t="n">
        <v>0.158402847561654</v>
      </c>
    </row>
    <row r="988" customFormat="false" ht="15" hidden="false" customHeight="true" outlineLevel="0" collapsed="false">
      <c r="A988" s="62" t="n">
        <v>962</v>
      </c>
      <c r="B988" s="59" t="n">
        <v>-0.513157716882646</v>
      </c>
      <c r="C988" s="59" t="n">
        <v>-0.810821373456483</v>
      </c>
      <c r="D988" s="59" t="n">
        <v>-1.71905369993779</v>
      </c>
      <c r="E988" s="60" t="n">
        <v>-0.0152280476152433</v>
      </c>
      <c r="F988" s="61" t="n">
        <v>0.266237327357995</v>
      </c>
      <c r="G988" s="55" t="n">
        <v>-10.2939474075227</v>
      </c>
      <c r="H988" s="62" t="n">
        <v>0</v>
      </c>
      <c r="I988" s="62" t="n">
        <v>0</v>
      </c>
      <c r="J988" s="62" t="n">
        <v>0</v>
      </c>
      <c r="K988" s="62" t="n">
        <v>0</v>
      </c>
      <c r="L988" s="62" t="n">
        <v>0</v>
      </c>
      <c r="M988" s="61" t="n">
        <v>0.182088861500157</v>
      </c>
    </row>
    <row r="989" customFormat="false" ht="15" hidden="false" customHeight="true" outlineLevel="0" collapsed="false">
      <c r="A989" s="62" t="n">
        <v>963</v>
      </c>
      <c r="B989" s="59" t="n">
        <v>-0.294460387531038</v>
      </c>
      <c r="C989" s="59" t="n">
        <v>0.426565191428717</v>
      </c>
      <c r="D989" s="59" t="n">
        <v>0.374310279872769</v>
      </c>
      <c r="E989" s="60" t="n">
        <v>-0.00805135700750015</v>
      </c>
      <c r="F989" s="61" t="n">
        <v>0.227374274602449</v>
      </c>
      <c r="G989" s="55" t="n">
        <v>-7.75586319348514</v>
      </c>
      <c r="H989" s="62" t="n">
        <v>0</v>
      </c>
      <c r="I989" s="62" t="n">
        <v>0</v>
      </c>
      <c r="J989" s="62" t="n">
        <v>0</v>
      </c>
      <c r="K989" s="62" t="n">
        <v>0</v>
      </c>
      <c r="L989" s="62" t="n">
        <v>0</v>
      </c>
      <c r="M989" s="61" t="n">
        <v>0.158411572159705</v>
      </c>
    </row>
    <row r="990" customFormat="false" ht="15" hidden="false" customHeight="true" outlineLevel="0" collapsed="false">
      <c r="A990" s="62" t="n">
        <v>964</v>
      </c>
      <c r="B990" s="59" t="n">
        <v>1.43814650223097</v>
      </c>
      <c r="C990" s="59" t="n">
        <v>1.85164351929529</v>
      </c>
      <c r="D990" s="59" t="n">
        <v>0.0694355274846236</v>
      </c>
      <c r="E990" s="60" t="n">
        <v>0.0163096600029002</v>
      </c>
      <c r="F990" s="61" t="n">
        <v>0.0608940878504172</v>
      </c>
      <c r="G990" s="55" t="n">
        <v>128.418301112204</v>
      </c>
      <c r="H990" s="62" t="n">
        <v>0</v>
      </c>
      <c r="I990" s="62" t="n">
        <v>0</v>
      </c>
      <c r="J990" s="62" t="n">
        <v>0</v>
      </c>
      <c r="K990" s="62" t="n">
        <v>0</v>
      </c>
      <c r="L990" s="62" t="n">
        <v>0</v>
      </c>
      <c r="M990" s="61" t="n">
        <v>0.158402847561654</v>
      </c>
    </row>
    <row r="991" customFormat="false" ht="15" hidden="false" customHeight="true" outlineLevel="0" collapsed="false">
      <c r="A991" s="62" t="n">
        <v>965</v>
      </c>
      <c r="B991" s="59" t="n">
        <v>-0.537605430427288</v>
      </c>
      <c r="C991" s="59" t="n">
        <v>0.617526913358774</v>
      </c>
      <c r="D991" s="59" t="n">
        <v>-0.544715478777905</v>
      </c>
      <c r="E991" s="60" t="n">
        <v>-0.0105443797008688</v>
      </c>
      <c r="F991" s="61" t="n">
        <v>0.270792657303298</v>
      </c>
      <c r="G991" s="55" t="n">
        <v>-2.61479212135379</v>
      </c>
      <c r="H991" s="62" t="n">
        <v>0</v>
      </c>
      <c r="I991" s="62" t="n">
        <v>0</v>
      </c>
      <c r="J991" s="62" t="n">
        <v>0</v>
      </c>
      <c r="K991" s="62" t="n">
        <v>0</v>
      </c>
      <c r="L991" s="62" t="n">
        <v>0</v>
      </c>
      <c r="M991" s="61" t="n">
        <v>0.159727966903449</v>
      </c>
    </row>
    <row r="992" customFormat="false" ht="15" hidden="false" customHeight="true" outlineLevel="0" collapsed="false">
      <c r="A992" s="62" t="n">
        <v>966</v>
      </c>
      <c r="B992" s="59" t="n">
        <v>-1.22713086681502</v>
      </c>
      <c r="C992" s="59" t="n">
        <v>-0.895989098713455</v>
      </c>
      <c r="D992" s="59" t="n">
        <v>-0.384797968302985</v>
      </c>
      <c r="E992" s="60" t="n">
        <v>0.00770029412723562</v>
      </c>
      <c r="F992" s="61" t="n">
        <v>0.413576084388082</v>
      </c>
      <c r="G992" s="55" t="n">
        <v>185.291874735386</v>
      </c>
      <c r="H992" s="62" t="n">
        <v>0</v>
      </c>
      <c r="I992" s="62" t="n">
        <v>0</v>
      </c>
      <c r="J992" s="62" t="n">
        <v>0</v>
      </c>
      <c r="K992" s="62" t="n">
        <v>0</v>
      </c>
      <c r="L992" s="62" t="n">
        <v>0</v>
      </c>
      <c r="M992" s="61" t="n">
        <v>0.190275322525642</v>
      </c>
    </row>
    <row r="993" customFormat="false" ht="15" hidden="false" customHeight="true" outlineLevel="0" collapsed="false">
      <c r="A993" s="62" t="n">
        <v>967</v>
      </c>
      <c r="B993" s="59" t="n">
        <v>-1.58588802726765</v>
      </c>
      <c r="C993" s="59" t="n">
        <v>-1.22700052917658</v>
      </c>
      <c r="D993" s="59" t="n">
        <v>-1.03832913740501</v>
      </c>
      <c r="E993" s="60" t="n">
        <v>-0.00187597543200563</v>
      </c>
      <c r="F993" s="61" t="n">
        <v>0.494886879120199</v>
      </c>
      <c r="G993" s="55" t="n">
        <v>519.340531275341</v>
      </c>
      <c r="H993" s="62" t="n">
        <v>10</v>
      </c>
      <c r="I993" s="62" t="n">
        <v>1</v>
      </c>
      <c r="J993" s="62" t="n">
        <v>1</v>
      </c>
      <c r="K993" s="62" t="n">
        <v>1</v>
      </c>
      <c r="L993" s="62" t="n">
        <v>1</v>
      </c>
      <c r="M993" s="61" t="n">
        <v>0.999999999997845</v>
      </c>
    </row>
    <row r="994" customFormat="false" ht="15" hidden="false" customHeight="true" outlineLevel="0" collapsed="false">
      <c r="A994" s="62" t="n">
        <v>968</v>
      </c>
      <c r="B994" s="59" t="n">
        <v>-0.079933409811918</v>
      </c>
      <c r="C994" s="59" t="n">
        <v>0.699836359867984</v>
      </c>
      <c r="D994" s="59" t="n">
        <v>0.414821108457529</v>
      </c>
      <c r="E994" s="60" t="n">
        <v>0.0097258327214831</v>
      </c>
      <c r="F994" s="61" t="n">
        <v>0.192721828802013</v>
      </c>
      <c r="G994" s="55" t="n">
        <v>89.7030771202077</v>
      </c>
      <c r="H994" s="62" t="n">
        <v>0</v>
      </c>
      <c r="I994" s="62" t="n">
        <v>0</v>
      </c>
      <c r="J994" s="62" t="n">
        <v>0</v>
      </c>
      <c r="K994" s="62" t="n">
        <v>0</v>
      </c>
      <c r="L994" s="62" t="n">
        <v>0</v>
      </c>
      <c r="M994" s="61" t="n">
        <v>0.15840345213727</v>
      </c>
    </row>
    <row r="995" customFormat="false" ht="15" hidden="false" customHeight="true" outlineLevel="0" collapsed="false">
      <c r="A995" s="62" t="n">
        <v>969</v>
      </c>
      <c r="B995" s="59" t="n">
        <v>0.00504606475349584</v>
      </c>
      <c r="C995" s="59" t="n">
        <v>0.210330760122681</v>
      </c>
      <c r="D995" s="59" t="n">
        <v>0.3770834416035</v>
      </c>
      <c r="E995" s="60" t="n">
        <v>-0.00140976345331111</v>
      </c>
      <c r="F995" s="61" t="n">
        <v>0.180135291382389</v>
      </c>
      <c r="G995" s="55" t="n">
        <v>7.99020607651582</v>
      </c>
      <c r="H995" s="62" t="n">
        <v>0</v>
      </c>
      <c r="I995" s="62" t="n">
        <v>0</v>
      </c>
      <c r="J995" s="62" t="n">
        <v>0</v>
      </c>
      <c r="K995" s="62" t="n">
        <v>0</v>
      </c>
      <c r="L995" s="62" t="n">
        <v>0</v>
      </c>
      <c r="M995" s="61" t="n">
        <v>0.158403098140713</v>
      </c>
    </row>
    <row r="996" customFormat="false" ht="15" hidden="false" customHeight="true" outlineLevel="0" collapsed="false">
      <c r="A996" s="62" t="n">
        <v>970</v>
      </c>
      <c r="B996" s="59" t="n">
        <v>-1.05735693907622</v>
      </c>
      <c r="C996" s="59" t="n">
        <v>0.253046261396074</v>
      </c>
      <c r="D996" s="59" t="n">
        <v>-1.73959147229965</v>
      </c>
      <c r="E996" s="60" t="n">
        <v>0.0220460425730247</v>
      </c>
      <c r="F996" s="61" t="n">
        <v>0.376272611325154</v>
      </c>
      <c r="G996" s="55" t="n">
        <v>683.847518729571</v>
      </c>
      <c r="H996" s="62" t="n">
        <v>12</v>
      </c>
      <c r="I996" s="62" t="n">
        <v>1</v>
      </c>
      <c r="J996" s="62" t="n">
        <v>1</v>
      </c>
      <c r="K996" s="62" t="n">
        <v>1</v>
      </c>
      <c r="L996" s="62" t="n">
        <v>0</v>
      </c>
      <c r="M996" s="61" t="n">
        <v>0.999999999999522</v>
      </c>
    </row>
    <row r="997" customFormat="false" ht="15" hidden="false" customHeight="true" outlineLevel="0" collapsed="false">
      <c r="A997" s="62" t="n">
        <v>971</v>
      </c>
      <c r="B997" s="59" t="n">
        <v>0.372639457845663</v>
      </c>
      <c r="C997" s="59" t="n">
        <v>0.16045177613835</v>
      </c>
      <c r="D997" s="59" t="n">
        <v>0.72571248812682</v>
      </c>
      <c r="E997" s="60" t="n">
        <v>0.00179822610599543</v>
      </c>
      <c r="F997" s="61" t="n">
        <v>0.1406931847322</v>
      </c>
      <c r="G997" s="55" t="n">
        <v>28.8355993543222</v>
      </c>
      <c r="H997" s="62" t="n">
        <v>0</v>
      </c>
      <c r="I997" s="62" t="n">
        <v>0</v>
      </c>
      <c r="J997" s="62" t="n">
        <v>0</v>
      </c>
      <c r="K997" s="62" t="n">
        <v>0</v>
      </c>
      <c r="L997" s="62" t="n">
        <v>0</v>
      </c>
      <c r="M997" s="61" t="n">
        <v>0.158402847561654</v>
      </c>
    </row>
    <row r="998" customFormat="false" ht="15" hidden="false" customHeight="true" outlineLevel="0" collapsed="false">
      <c r="A998" s="62" t="n">
        <v>972</v>
      </c>
      <c r="B998" s="59" t="n">
        <v>-0.710260259615877</v>
      </c>
      <c r="C998" s="59" t="n">
        <v>-0.257996193935169</v>
      </c>
      <c r="D998" s="59" t="n">
        <v>-0.806746999162976</v>
      </c>
      <c r="E998" s="60" t="n">
        <v>-0.0032009957991522</v>
      </c>
      <c r="F998" s="61" t="n">
        <v>0.304090974660754</v>
      </c>
      <c r="G998" s="55" t="n">
        <v>59.0599915174438</v>
      </c>
      <c r="H998" s="62" t="n">
        <v>0</v>
      </c>
      <c r="I998" s="62" t="n">
        <v>0</v>
      </c>
      <c r="J998" s="62" t="n">
        <v>0</v>
      </c>
      <c r="K998" s="62" t="n">
        <v>0</v>
      </c>
      <c r="L998" s="62" t="n">
        <v>0</v>
      </c>
      <c r="M998" s="61" t="n">
        <v>0.164852605708195</v>
      </c>
    </row>
    <row r="999" customFormat="false" ht="15" hidden="false" customHeight="true" outlineLevel="0" collapsed="false">
      <c r="A999" s="62" t="n">
        <v>973</v>
      </c>
      <c r="B999" s="59" t="n">
        <v>0.109207039390861</v>
      </c>
      <c r="C999" s="59" t="n">
        <v>-0.330301034271292</v>
      </c>
      <c r="D999" s="59" t="n">
        <v>0.0255327469807918</v>
      </c>
      <c r="E999" s="60" t="n">
        <v>-0.00986372071220701</v>
      </c>
      <c r="F999" s="61" t="n">
        <v>0.168305832594622</v>
      </c>
      <c r="G999" s="55" t="n">
        <v>-35.1915405262153</v>
      </c>
      <c r="H999" s="62" t="n">
        <v>0</v>
      </c>
      <c r="I999" s="62" t="n">
        <v>0</v>
      </c>
      <c r="J999" s="62" t="n">
        <v>0</v>
      </c>
      <c r="K999" s="62" t="n">
        <v>0</v>
      </c>
      <c r="L999" s="62" t="n">
        <v>0</v>
      </c>
      <c r="M999" s="61" t="n">
        <v>0.158402975448389</v>
      </c>
    </row>
    <row r="1000" customFormat="false" ht="15" hidden="false" customHeight="true" outlineLevel="0" collapsed="false">
      <c r="A1000" s="62" t="n">
        <v>974</v>
      </c>
      <c r="B1000" s="59" t="n">
        <v>-0.653195578829149</v>
      </c>
      <c r="C1000" s="59" t="n">
        <v>-0.199226752021241</v>
      </c>
      <c r="D1000" s="59" t="n">
        <v>-0.229827248894974</v>
      </c>
      <c r="E1000" s="60" t="n">
        <v>0.00178243172309139</v>
      </c>
      <c r="F1000" s="61" t="n">
        <v>0.292872921482111</v>
      </c>
      <c r="G1000" s="55" t="n">
        <v>83.1949154297604</v>
      </c>
      <c r="H1000" s="62" t="n">
        <v>0</v>
      </c>
      <c r="I1000" s="62" t="n">
        <v>0</v>
      </c>
      <c r="J1000" s="62" t="n">
        <v>0</v>
      </c>
      <c r="K1000" s="62" t="n">
        <v>0</v>
      </c>
      <c r="L1000" s="62" t="n">
        <v>0</v>
      </c>
      <c r="M1000" s="61" t="n">
        <v>0.159161747223743</v>
      </c>
    </row>
    <row r="1001" customFormat="false" ht="15" hidden="false" customHeight="true" outlineLevel="0" collapsed="false">
      <c r="A1001" s="62" t="n">
        <v>975</v>
      </c>
      <c r="B1001" s="59" t="n">
        <v>-0.216258427822273</v>
      </c>
      <c r="C1001" s="59" t="n">
        <v>0.231735205840116</v>
      </c>
      <c r="D1001" s="59" t="n">
        <v>0.405049971271896</v>
      </c>
      <c r="E1001" s="60" t="n">
        <v>0.00416424348561092</v>
      </c>
      <c r="F1001" s="61" t="n">
        <v>0.214334131014921</v>
      </c>
      <c r="G1001" s="55" t="n">
        <v>62.6908792583896</v>
      </c>
      <c r="H1001" s="62" t="n">
        <v>0</v>
      </c>
      <c r="I1001" s="62" t="n">
        <v>0</v>
      </c>
      <c r="J1001" s="62" t="n">
        <v>0</v>
      </c>
      <c r="K1001" s="62" t="n">
        <v>0</v>
      </c>
      <c r="L1001" s="62" t="n">
        <v>0</v>
      </c>
      <c r="M1001" s="61" t="n">
        <v>0.158405143821104</v>
      </c>
    </row>
    <row r="1002" customFormat="false" ht="15" hidden="false" customHeight="true" outlineLevel="0" collapsed="false">
      <c r="A1002" s="62" t="n">
        <v>976</v>
      </c>
      <c r="B1002" s="59" t="n">
        <v>-0.518254018627898</v>
      </c>
      <c r="C1002" s="59" t="n">
        <v>-0.968102705549453</v>
      </c>
      <c r="D1002" s="59" t="n">
        <v>-0.0601850815817574</v>
      </c>
      <c r="E1002" s="60" t="n">
        <v>-0.00127762927038317</v>
      </c>
      <c r="F1002" s="61" t="n">
        <v>0.267183533275257</v>
      </c>
      <c r="G1002" s="55" t="n">
        <v>64.4932705450377</v>
      </c>
      <c r="H1002" s="62" t="n">
        <v>0</v>
      </c>
      <c r="I1002" s="62" t="n">
        <v>0</v>
      </c>
      <c r="J1002" s="62" t="n">
        <v>0</v>
      </c>
      <c r="K1002" s="62" t="n">
        <v>0</v>
      </c>
      <c r="L1002" s="62" t="n">
        <v>0</v>
      </c>
      <c r="M1002" s="61" t="n">
        <v>0.158841919989269</v>
      </c>
    </row>
    <row r="1003" customFormat="false" ht="15" hidden="false" customHeight="true" outlineLevel="0" collapsed="false">
      <c r="A1003" s="62" t="n">
        <v>977</v>
      </c>
      <c r="B1003" s="59" t="n">
        <v>-0.130892335915965</v>
      </c>
      <c r="C1003" s="59" t="n">
        <v>0.189460275433114</v>
      </c>
      <c r="D1003" s="59" t="n">
        <v>0.69744882915018</v>
      </c>
      <c r="E1003" s="60" t="n">
        <v>0.00970363474927861</v>
      </c>
      <c r="F1003" s="61" t="n">
        <v>0.20063241332263</v>
      </c>
      <c r="G1003" s="55" t="n">
        <v>111.149564651894</v>
      </c>
      <c r="H1003" s="62" t="n">
        <v>0</v>
      </c>
      <c r="I1003" s="62" t="n">
        <v>0</v>
      </c>
      <c r="J1003" s="62" t="n">
        <v>0</v>
      </c>
      <c r="K1003" s="62" t="n">
        <v>0</v>
      </c>
      <c r="L1003" s="62" t="n">
        <v>1</v>
      </c>
      <c r="M1003" s="61" t="n">
        <v>0.361746962362216</v>
      </c>
    </row>
    <row r="1004" customFormat="false" ht="15" hidden="false" customHeight="true" outlineLevel="0" collapsed="false">
      <c r="A1004" s="62" t="n">
        <v>978</v>
      </c>
      <c r="B1004" s="59" t="n">
        <v>-0.596910000987966</v>
      </c>
      <c r="C1004" s="59" t="n">
        <v>0.591947323731531</v>
      </c>
      <c r="D1004" s="59" t="n">
        <v>-0.512827140750737</v>
      </c>
      <c r="E1004" s="60" t="n">
        <v>0.00878002168025401</v>
      </c>
      <c r="F1004" s="61" t="n">
        <v>0.28201103378847</v>
      </c>
      <c r="G1004" s="55" t="n">
        <v>125.606070651209</v>
      </c>
      <c r="H1004" s="62" t="n">
        <v>0</v>
      </c>
      <c r="I1004" s="62" t="n">
        <v>0</v>
      </c>
      <c r="J1004" s="62" t="n">
        <v>0</v>
      </c>
      <c r="K1004" s="62" t="n">
        <v>0</v>
      </c>
      <c r="L1004" s="62" t="n">
        <v>0</v>
      </c>
      <c r="M1004" s="61" t="n">
        <v>0.159717274679927</v>
      </c>
    </row>
    <row r="1005" customFormat="false" ht="15" hidden="false" customHeight="true" outlineLevel="0" collapsed="false">
      <c r="A1005" s="62" t="n">
        <v>979</v>
      </c>
      <c r="B1005" s="59" t="n">
        <v>-0.433082053577401</v>
      </c>
      <c r="C1005" s="59" t="n">
        <v>0.113260975967051</v>
      </c>
      <c r="D1005" s="59" t="n">
        <v>-0.224360400216761</v>
      </c>
      <c r="E1005" s="60" t="n">
        <v>0.0030661882297796</v>
      </c>
      <c r="F1005" s="61" t="n">
        <v>0.25160810806831</v>
      </c>
      <c r="G1005" s="55" t="n">
        <v>72.9681296094281</v>
      </c>
      <c r="H1005" s="62" t="n">
        <v>0</v>
      </c>
      <c r="I1005" s="62" t="n">
        <v>0</v>
      </c>
      <c r="J1005" s="62" t="n">
        <v>0</v>
      </c>
      <c r="K1005" s="62" t="n">
        <v>0</v>
      </c>
      <c r="L1005" s="62" t="n">
        <v>0</v>
      </c>
      <c r="M1005" s="61" t="n">
        <v>0.158994258489589</v>
      </c>
    </row>
    <row r="1006" customFormat="false" ht="15" hidden="false" customHeight="true" outlineLevel="0" collapsed="false">
      <c r="A1006" s="62" t="n">
        <v>980</v>
      </c>
      <c r="B1006" s="59" t="n">
        <v>-0.674844123392044</v>
      </c>
      <c r="C1006" s="59" t="n">
        <v>0.139310364552923</v>
      </c>
      <c r="D1006" s="59" t="n">
        <v>-0.451689913006306</v>
      </c>
      <c r="E1006" s="60" t="n">
        <v>-0.00619496769520707</v>
      </c>
      <c r="F1006" s="61" t="n">
        <v>0.297104725512582</v>
      </c>
      <c r="G1006" s="55" t="n">
        <v>54.404139385113</v>
      </c>
      <c r="H1006" s="62" t="n">
        <v>0</v>
      </c>
      <c r="I1006" s="62" t="n">
        <v>0</v>
      </c>
      <c r="J1006" s="62" t="n">
        <v>0</v>
      </c>
      <c r="K1006" s="62" t="n">
        <v>0</v>
      </c>
      <c r="L1006" s="62" t="n">
        <v>1</v>
      </c>
      <c r="M1006" s="61" t="n">
        <v>0.367615029583871</v>
      </c>
    </row>
    <row r="1007" customFormat="false" ht="15" hidden="false" customHeight="true" outlineLevel="0" collapsed="false">
      <c r="A1007" s="62" t="n">
        <v>981</v>
      </c>
      <c r="B1007" s="59" t="n">
        <v>-1.73650246144969</v>
      </c>
      <c r="C1007" s="59" t="n">
        <v>-1.23899516714857</v>
      </c>
      <c r="D1007" s="59" t="n">
        <v>-1.19402219111926</v>
      </c>
      <c r="E1007" s="60" t="n">
        <v>0.000811983889588394</v>
      </c>
      <c r="F1007" s="61" t="n">
        <v>0.529385946790749</v>
      </c>
      <c r="G1007" s="55" t="n">
        <v>598.235220053238</v>
      </c>
      <c r="H1007" s="62" t="n">
        <v>11</v>
      </c>
      <c r="I1007" s="62" t="n">
        <v>1</v>
      </c>
      <c r="J1007" s="62" t="n">
        <v>1</v>
      </c>
      <c r="K1007" s="62" t="n">
        <v>1</v>
      </c>
      <c r="L1007" s="62" t="n">
        <v>0</v>
      </c>
      <c r="M1007" s="61" t="n">
        <v>0.999999999999573</v>
      </c>
    </row>
    <row r="1008" customFormat="false" ht="15" hidden="false" customHeight="true" outlineLevel="0" collapsed="false">
      <c r="A1008" s="62" t="n">
        <v>982</v>
      </c>
      <c r="B1008" s="59" t="n">
        <v>0.26396981870814</v>
      </c>
      <c r="C1008" s="59" t="n">
        <v>0.761546268331648</v>
      </c>
      <c r="D1008" s="59" t="n">
        <v>-0.561502671892489</v>
      </c>
      <c r="E1008" s="60" t="n">
        <v>0.00460192627367911</v>
      </c>
      <c r="F1008" s="61" t="n">
        <v>0.151684194471405</v>
      </c>
      <c r="G1008" s="55" t="n">
        <v>47.932523989262</v>
      </c>
      <c r="H1008" s="62" t="n">
        <v>0</v>
      </c>
      <c r="I1008" s="62" t="n">
        <v>0</v>
      </c>
      <c r="J1008" s="62" t="n">
        <v>0</v>
      </c>
      <c r="K1008" s="62" t="n">
        <v>0</v>
      </c>
      <c r="L1008" s="62" t="n">
        <v>0</v>
      </c>
      <c r="M1008" s="61" t="n">
        <v>0.159018252901782</v>
      </c>
    </row>
    <row r="1009" customFormat="false" ht="15" hidden="false" customHeight="true" outlineLevel="0" collapsed="false">
      <c r="A1009" s="62" t="n">
        <v>983</v>
      </c>
      <c r="B1009" s="59" t="n">
        <v>-0.766835102838163</v>
      </c>
      <c r="C1009" s="59" t="n">
        <v>2.1600554455563</v>
      </c>
      <c r="D1009" s="59" t="n">
        <v>-0.256911706322764</v>
      </c>
      <c r="E1009" s="60" t="n">
        <v>0.0223328565592994</v>
      </c>
      <c r="F1009" s="61" t="n">
        <v>0.315409315142301</v>
      </c>
      <c r="G1009" s="55" t="n">
        <v>232.979983453442</v>
      </c>
      <c r="H1009" s="62" t="n">
        <v>0</v>
      </c>
      <c r="I1009" s="62" t="n">
        <v>0</v>
      </c>
      <c r="J1009" s="62" t="n">
        <v>0</v>
      </c>
      <c r="K1009" s="62" t="n">
        <v>0</v>
      </c>
      <c r="L1009" s="62" t="n">
        <v>0</v>
      </c>
      <c r="M1009" s="61" t="n">
        <v>0.159288588458775</v>
      </c>
    </row>
    <row r="1010" customFormat="false" ht="15" hidden="false" customHeight="true" outlineLevel="0" collapsed="false">
      <c r="A1010" s="62" t="n">
        <v>984</v>
      </c>
      <c r="B1010" s="59" t="n">
        <v>1.46834593027448</v>
      </c>
      <c r="C1010" s="59" t="n">
        <v>1.48965895677591</v>
      </c>
      <c r="D1010" s="59" t="n">
        <v>0.804855367968832</v>
      </c>
      <c r="E1010" s="60" t="n">
        <v>-0.013984016044989</v>
      </c>
      <c r="F1010" s="61" t="n">
        <v>0.0593036515037187</v>
      </c>
      <c r="G1010" s="55" t="n">
        <v>-67.3672886047892</v>
      </c>
      <c r="H1010" s="62" t="n">
        <v>0</v>
      </c>
      <c r="I1010" s="62" t="n">
        <v>0</v>
      </c>
      <c r="J1010" s="62" t="n">
        <v>0</v>
      </c>
      <c r="K1010" s="62" t="n">
        <v>0</v>
      </c>
      <c r="L1010" s="62" t="n">
        <v>0</v>
      </c>
      <c r="M1010" s="61" t="n">
        <v>0.158402847561654</v>
      </c>
    </row>
    <row r="1011" customFormat="false" ht="15" hidden="false" customHeight="true" outlineLevel="0" collapsed="false">
      <c r="A1011" s="62" t="n">
        <v>985</v>
      </c>
      <c r="B1011" s="59" t="n">
        <v>-0.0284983540010129</v>
      </c>
      <c r="C1011" s="59" t="n">
        <v>0.292408364888012</v>
      </c>
      <c r="D1011" s="59" t="n">
        <v>0.662468435878424</v>
      </c>
      <c r="E1011" s="60" t="n">
        <v>-0.00165523035379689</v>
      </c>
      <c r="F1011" s="61" t="n">
        <v>0.184942578970019</v>
      </c>
      <c r="G1011" s="55" t="n">
        <v>25.9216746347136</v>
      </c>
      <c r="H1011" s="62" t="n">
        <v>0</v>
      </c>
      <c r="I1011" s="62" t="n">
        <v>0</v>
      </c>
      <c r="J1011" s="62" t="n">
        <v>0</v>
      </c>
      <c r="K1011" s="62" t="n">
        <v>0</v>
      </c>
      <c r="L1011" s="62" t="n">
        <v>1</v>
      </c>
      <c r="M1011" s="61" t="n">
        <v>0.361717616862844</v>
      </c>
    </row>
    <row r="1012" customFormat="false" ht="15" hidden="false" customHeight="true" outlineLevel="0" collapsed="false">
      <c r="A1012" s="62" t="n">
        <v>986</v>
      </c>
      <c r="B1012" s="59" t="n">
        <v>-0.811982052093639</v>
      </c>
      <c r="C1012" s="59" t="n">
        <v>-1.24325009662502</v>
      </c>
      <c r="D1012" s="59" t="n">
        <v>-0.563131684551345</v>
      </c>
      <c r="E1012" s="60" t="n">
        <v>-0.00236948214431668</v>
      </c>
      <c r="F1012" s="61" t="n">
        <v>0.324576110036454</v>
      </c>
      <c r="G1012" s="55" t="n">
        <v>86.3758233682824</v>
      </c>
      <c r="H1012" s="62" t="n">
        <v>0</v>
      </c>
      <c r="I1012" s="62" t="n">
        <v>0</v>
      </c>
      <c r="J1012" s="62" t="n">
        <v>0</v>
      </c>
      <c r="K1012" s="62" t="n">
        <v>0</v>
      </c>
      <c r="L1012" s="62" t="n">
        <v>0</v>
      </c>
      <c r="M1012" s="61" t="n">
        <v>0.164084064735124</v>
      </c>
    </row>
    <row r="1013" customFormat="false" ht="15" hidden="false" customHeight="true" outlineLevel="0" collapsed="false">
      <c r="A1013" s="62" t="n">
        <v>987</v>
      </c>
      <c r="B1013" s="59" t="n">
        <v>-0.714257984475857</v>
      </c>
      <c r="C1013" s="59" t="n">
        <v>-0.694904614440339</v>
      </c>
      <c r="D1013" s="59" t="n">
        <v>-0.739041415363021</v>
      </c>
      <c r="E1013" s="60" t="n">
        <v>0.0121079301130686</v>
      </c>
      <c r="F1013" s="61" t="n">
        <v>0.304884428487745</v>
      </c>
      <c r="G1013" s="55" t="n">
        <v>164.51353808261</v>
      </c>
      <c r="H1013" s="62" t="n">
        <v>0</v>
      </c>
      <c r="I1013" s="62" t="n">
        <v>0</v>
      </c>
      <c r="J1013" s="62" t="n">
        <v>0</v>
      </c>
      <c r="K1013" s="62" t="n">
        <v>0</v>
      </c>
      <c r="L1013" s="62" t="n">
        <v>0</v>
      </c>
      <c r="M1013" s="61" t="n">
        <v>0.164600004460531</v>
      </c>
    </row>
    <row r="1014" customFormat="false" ht="15" hidden="false" customHeight="true" outlineLevel="0" collapsed="false">
      <c r="A1014" s="62" t="n">
        <v>988</v>
      </c>
      <c r="B1014" s="59" t="n">
        <v>1.05142658018268</v>
      </c>
      <c r="C1014" s="59" t="n">
        <v>-0.0914957354217559</v>
      </c>
      <c r="D1014" s="59" t="n">
        <v>0.399207244026376</v>
      </c>
      <c r="E1014" s="60" t="n">
        <v>0.000188626536234089</v>
      </c>
      <c r="F1014" s="61" t="n">
        <v>0.0843094149022809</v>
      </c>
      <c r="G1014" s="55" t="n">
        <v>19.7799736465817</v>
      </c>
      <c r="H1014" s="62" t="n">
        <v>0</v>
      </c>
      <c r="I1014" s="62" t="n">
        <v>0</v>
      </c>
      <c r="J1014" s="62" t="n">
        <v>0</v>
      </c>
      <c r="K1014" s="62" t="n">
        <v>0</v>
      </c>
      <c r="L1014" s="62" t="n">
        <v>0</v>
      </c>
      <c r="M1014" s="61" t="n">
        <v>0.158402847561654</v>
      </c>
    </row>
    <row r="1015" customFormat="false" ht="15" hidden="false" customHeight="true" outlineLevel="0" collapsed="false">
      <c r="A1015" s="62" t="n">
        <v>989</v>
      </c>
      <c r="B1015" s="59" t="n">
        <v>-0.302721788009513</v>
      </c>
      <c r="C1015" s="59" t="n">
        <v>0.907752264621175</v>
      </c>
      <c r="D1015" s="59" t="n">
        <v>-0.18312886620496</v>
      </c>
      <c r="E1015" s="60" t="n">
        <v>-0.00282523020990468</v>
      </c>
      <c r="F1015" s="61" t="n">
        <v>0.228778780950043</v>
      </c>
      <c r="G1015" s="55" t="n">
        <v>23.8849557540054</v>
      </c>
      <c r="H1015" s="62" t="n">
        <v>0</v>
      </c>
      <c r="I1015" s="62" t="n">
        <v>0</v>
      </c>
      <c r="J1015" s="62" t="n">
        <v>0</v>
      </c>
      <c r="K1015" s="62" t="n">
        <v>0</v>
      </c>
      <c r="L1015" s="62" t="n">
        <v>0</v>
      </c>
      <c r="M1015" s="61" t="n">
        <v>0.158860798186051</v>
      </c>
    </row>
    <row r="1016" customFormat="false" ht="15" hidden="false" customHeight="true" outlineLevel="0" collapsed="false">
      <c r="A1016" s="62" t="n">
        <v>990</v>
      </c>
      <c r="B1016" s="59" t="n">
        <v>-0.823030970265798</v>
      </c>
      <c r="C1016" s="59" t="n">
        <v>0.863885887603795</v>
      </c>
      <c r="D1016" s="59" t="n">
        <v>1.09100560434072</v>
      </c>
      <c r="E1016" s="60" t="n">
        <v>0.00355193792948738</v>
      </c>
      <c r="F1016" s="61" t="n">
        <v>0.326837158863784</v>
      </c>
      <c r="G1016" s="55" t="n">
        <v>107.621958457344</v>
      </c>
      <c r="H1016" s="62" t="n">
        <v>0</v>
      </c>
      <c r="I1016" s="62" t="n">
        <v>0</v>
      </c>
      <c r="J1016" s="62" t="n">
        <v>0</v>
      </c>
      <c r="K1016" s="62" t="n">
        <v>0</v>
      </c>
      <c r="L1016" s="62" t="n">
        <v>0</v>
      </c>
      <c r="M1016" s="61" t="n">
        <v>0.158867949575071</v>
      </c>
    </row>
    <row r="1017" customFormat="false" ht="15" hidden="false" customHeight="true" outlineLevel="0" collapsed="false">
      <c r="A1017" s="62" t="n">
        <v>991</v>
      </c>
      <c r="B1017" s="59" t="n">
        <v>-0.201068301837676</v>
      </c>
      <c r="C1017" s="59" t="n">
        <v>0.289903140962623</v>
      </c>
      <c r="D1017" s="59" t="n">
        <v>-0.696705828647658</v>
      </c>
      <c r="E1017" s="60" t="n">
        <v>0.00596697919789818</v>
      </c>
      <c r="F1017" s="61" t="n">
        <v>0.21185508369216</v>
      </c>
      <c r="G1017" s="55" t="n">
        <v>74.1456250711807</v>
      </c>
      <c r="H1017" s="62" t="n">
        <v>0</v>
      </c>
      <c r="I1017" s="62" t="n">
        <v>0</v>
      </c>
      <c r="J1017" s="62" t="n">
        <v>0</v>
      </c>
      <c r="K1017" s="62" t="n">
        <v>0</v>
      </c>
      <c r="L1017" s="62" t="n">
        <v>0</v>
      </c>
      <c r="M1017" s="61" t="n">
        <v>0.159678374049013</v>
      </c>
    </row>
    <row r="1018" customFormat="false" ht="15" hidden="false" customHeight="true" outlineLevel="0" collapsed="false">
      <c r="A1018" s="62" t="n">
        <v>992</v>
      </c>
      <c r="B1018" s="59" t="n">
        <v>-0.407341122995944</v>
      </c>
      <c r="C1018" s="59" t="n">
        <v>-0.38554163293012</v>
      </c>
      <c r="D1018" s="59" t="n">
        <v>-0.00187616120411267</v>
      </c>
      <c r="E1018" s="60" t="n">
        <v>-0.000855874766414989</v>
      </c>
      <c r="F1018" s="61" t="n">
        <v>0.247002067650681</v>
      </c>
      <c r="G1018" s="55" t="n">
        <v>46.6874599221456</v>
      </c>
      <c r="H1018" s="62" t="n">
        <v>0</v>
      </c>
      <c r="I1018" s="62" t="n">
        <v>0</v>
      </c>
      <c r="J1018" s="62" t="n">
        <v>0</v>
      </c>
      <c r="K1018" s="62" t="n">
        <v>0</v>
      </c>
      <c r="L1018" s="62" t="n">
        <v>0</v>
      </c>
      <c r="M1018" s="61" t="n">
        <v>0.158707196927439</v>
      </c>
    </row>
    <row r="1019" customFormat="false" ht="15" hidden="false" customHeight="true" outlineLevel="0" collapsed="false">
      <c r="A1019" s="62" t="n">
        <v>993</v>
      </c>
      <c r="B1019" s="59" t="n">
        <v>-0.0958458407170209</v>
      </c>
      <c r="C1019" s="59" t="n">
        <v>0.711111701850681</v>
      </c>
      <c r="D1019" s="59" t="n">
        <v>0.0799486912067913</v>
      </c>
      <c r="E1019" s="60" t="n">
        <v>-0.0122424718459931</v>
      </c>
      <c r="F1019" s="61" t="n">
        <v>0.195170304857508</v>
      </c>
      <c r="G1019" s="55" t="n">
        <v>-49.0207980428444</v>
      </c>
      <c r="H1019" s="62" t="n">
        <v>0</v>
      </c>
      <c r="I1019" s="62" t="n">
        <v>0</v>
      </c>
      <c r="J1019" s="62" t="n">
        <v>0</v>
      </c>
      <c r="K1019" s="62" t="n">
        <v>0</v>
      </c>
      <c r="L1019" s="62" t="n">
        <v>0</v>
      </c>
      <c r="M1019" s="61" t="n">
        <v>0.158403522257186</v>
      </c>
    </row>
    <row r="1020" customFormat="false" ht="15" hidden="false" customHeight="true" outlineLevel="0" collapsed="false">
      <c r="A1020" s="62" t="n">
        <v>994</v>
      </c>
      <c r="B1020" s="59" t="n">
        <v>-1.73473229570645</v>
      </c>
      <c r="C1020" s="59" t="n">
        <v>-1.1907041888726</v>
      </c>
      <c r="D1020" s="59" t="n">
        <v>-0.389767970045182</v>
      </c>
      <c r="E1020" s="60" t="n">
        <v>-0.00182041909282955</v>
      </c>
      <c r="F1020" s="61" t="n">
        <v>0.528980938864972</v>
      </c>
      <c r="G1020" s="55" t="n">
        <v>455.958221890103</v>
      </c>
      <c r="H1020" s="62" t="n">
        <v>10</v>
      </c>
      <c r="I1020" s="62" t="n">
        <v>0</v>
      </c>
      <c r="J1020" s="62" t="n">
        <v>0</v>
      </c>
      <c r="K1020" s="62" t="n">
        <v>1</v>
      </c>
      <c r="L1020" s="62" t="n">
        <v>0</v>
      </c>
      <c r="M1020" s="61" t="n">
        <v>0.999999770080585</v>
      </c>
    </row>
    <row r="1021" customFormat="false" ht="15" hidden="false" customHeight="true" outlineLevel="0" collapsed="false">
      <c r="A1021" s="62" t="n">
        <v>995</v>
      </c>
      <c r="B1021" s="59" t="n">
        <v>-0.229669658176671</v>
      </c>
      <c r="C1021" s="59" t="n">
        <v>-0.554388879334122</v>
      </c>
      <c r="D1021" s="59" t="n">
        <v>0.347268075939716</v>
      </c>
      <c r="E1021" s="60" t="n">
        <v>-0.00100387311761148</v>
      </c>
      <c r="F1021" s="61" t="n">
        <v>0.216537504216044</v>
      </c>
      <c r="G1021" s="55" t="n">
        <v>37.5179123451429</v>
      </c>
      <c r="H1021" s="62" t="n">
        <v>0</v>
      </c>
      <c r="I1021" s="62" t="n">
        <v>0</v>
      </c>
      <c r="J1021" s="62" t="n">
        <v>0</v>
      </c>
      <c r="K1021" s="62" t="n">
        <v>0</v>
      </c>
      <c r="L1021" s="62" t="n">
        <v>0</v>
      </c>
      <c r="M1021" s="61" t="n">
        <v>0.158407028455738</v>
      </c>
    </row>
    <row r="1022" customFormat="false" ht="15" hidden="false" customHeight="true" outlineLevel="0" collapsed="false">
      <c r="A1022" s="62" t="n">
        <v>996</v>
      </c>
      <c r="B1022" s="59" t="n">
        <v>-0.612837162337729</v>
      </c>
      <c r="C1022" s="59" t="n">
        <v>-0.406451962499197</v>
      </c>
      <c r="D1022" s="59" t="n">
        <v>0.172680100623979</v>
      </c>
      <c r="E1022" s="60" t="n">
        <v>0.00059869588835796</v>
      </c>
      <c r="F1022" s="61" t="n">
        <v>0.285063740619414</v>
      </c>
      <c r="G1022" s="55" t="n">
        <v>72.7962022933469</v>
      </c>
      <c r="H1022" s="62" t="n">
        <v>0</v>
      </c>
      <c r="I1022" s="62" t="n">
        <v>0</v>
      </c>
      <c r="J1022" s="62" t="n">
        <v>0</v>
      </c>
      <c r="K1022" s="62" t="n">
        <v>0</v>
      </c>
      <c r="L1022" s="62" t="n">
        <v>0</v>
      </c>
      <c r="M1022" s="61" t="n">
        <v>0.158789568963603</v>
      </c>
    </row>
    <row r="1023" customFormat="false" ht="15" hidden="false" customHeight="true" outlineLevel="0" collapsed="false">
      <c r="A1023" s="62" t="n">
        <v>997</v>
      </c>
      <c r="B1023" s="59" t="n">
        <v>0.280059642672296</v>
      </c>
      <c r="C1023" s="59" t="n">
        <v>-0.110975615305583</v>
      </c>
      <c r="D1023" s="59" t="n">
        <v>0.250499920085028</v>
      </c>
      <c r="E1023" s="60" t="n">
        <v>-0.0152421487594381</v>
      </c>
      <c r="F1023" s="61" t="n">
        <v>0.150021545892214</v>
      </c>
      <c r="G1023" s="55" t="n">
        <v>-71.8730397277984</v>
      </c>
      <c r="H1023" s="62" t="n">
        <v>0</v>
      </c>
      <c r="I1023" s="62" t="n">
        <v>0</v>
      </c>
      <c r="J1023" s="62" t="n">
        <v>0</v>
      </c>
      <c r="K1023" s="62" t="n">
        <v>0</v>
      </c>
      <c r="L1023" s="62" t="n">
        <v>0</v>
      </c>
      <c r="M1023" s="61" t="n">
        <v>0.158402847561654</v>
      </c>
    </row>
    <row r="1024" customFormat="false" ht="15" hidden="false" customHeight="true" outlineLevel="0" collapsed="false">
      <c r="A1024" s="62" t="n">
        <v>998</v>
      </c>
      <c r="B1024" s="59" t="n">
        <v>1.04257521368641</v>
      </c>
      <c r="C1024" s="59" t="n">
        <v>-0.162431021440081</v>
      </c>
      <c r="D1024" s="59" t="n">
        <v>0.692282856880523</v>
      </c>
      <c r="E1024" s="60" t="n">
        <v>-0.00568660051034861</v>
      </c>
      <c r="F1024" s="61" t="n">
        <v>0.0849149077033546</v>
      </c>
      <c r="G1024" s="55" t="n">
        <v>-13.8962874731107</v>
      </c>
      <c r="H1024" s="62" t="n">
        <v>0</v>
      </c>
      <c r="I1024" s="62" t="n">
        <v>0</v>
      </c>
      <c r="J1024" s="62" t="n">
        <v>0</v>
      </c>
      <c r="K1024" s="62" t="n">
        <v>0</v>
      </c>
      <c r="L1024" s="62" t="n">
        <v>0</v>
      </c>
      <c r="M1024" s="61" t="n">
        <v>0.158402847561654</v>
      </c>
    </row>
    <row r="1025" customFormat="false" ht="15" hidden="false" customHeight="true" outlineLevel="0" collapsed="false">
      <c r="A1025" s="62" t="n">
        <v>999</v>
      </c>
      <c r="B1025" s="59" t="n">
        <v>-2.52381599337055</v>
      </c>
      <c r="C1025" s="59" t="n">
        <v>-2.60239305038396</v>
      </c>
      <c r="D1025" s="59" t="n">
        <v>-1.58489300104729</v>
      </c>
      <c r="E1025" s="60" t="n">
        <v>0.0183689337579128</v>
      </c>
      <c r="F1025" s="61" t="n">
        <v>0.680517058676235</v>
      </c>
      <c r="G1025" s="55" t="n">
        <v>1001.69416532266</v>
      </c>
      <c r="H1025" s="62" t="n">
        <v>16</v>
      </c>
      <c r="I1025" s="62" t="n">
        <v>4</v>
      </c>
      <c r="J1025" s="62" t="n">
        <v>5</v>
      </c>
      <c r="K1025" s="62" t="n">
        <v>1</v>
      </c>
      <c r="L1025" s="62" t="n">
        <v>0</v>
      </c>
      <c r="M1025" s="61" t="n">
        <v>1</v>
      </c>
    </row>
    <row r="1026" customFormat="false" ht="15" hidden="false" customHeight="true" outlineLevel="0" collapsed="false">
      <c r="A1026" s="62" t="n">
        <v>1000</v>
      </c>
      <c r="B1026" s="59" t="n">
        <v>0.00819773406867935</v>
      </c>
      <c r="C1026" s="59" t="n">
        <v>0.253746548515449</v>
      </c>
      <c r="D1026" s="59" t="n">
        <v>0.208697550316322</v>
      </c>
      <c r="E1026" s="60" t="n">
        <v>0.0105881834235523</v>
      </c>
      <c r="F1026" s="61" t="n">
        <v>0.17976978367788</v>
      </c>
      <c r="G1026" s="55" t="n">
        <v>106.533343474285</v>
      </c>
      <c r="H1026" s="62" t="n">
        <v>0</v>
      </c>
      <c r="I1026" s="62" t="n">
        <v>0</v>
      </c>
      <c r="J1026" s="62" t="n">
        <v>0</v>
      </c>
      <c r="K1026" s="62" t="n">
        <v>0</v>
      </c>
      <c r="L1026" s="62" t="n">
        <v>1</v>
      </c>
      <c r="M1026" s="61" t="n">
        <v>0.361459201321009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2" min="2" style="1" width="13"/>
    <col collapsed="false" customWidth="true" hidden="false" outlineLevel="0" max="13" min="13" style="1" width="70"/>
  </cols>
  <sheetData>
    <row r="1" customFormat="false" ht="17.25" hidden="false" customHeight="true" outlineLevel="0" collapsed="false">
      <c r="A1" s="5" t="s">
        <v>1158</v>
      </c>
    </row>
    <row r="2" customFormat="false" ht="15" hidden="false" customHeight="true" outlineLevel="0" collapsed="false">
      <c r="A2" s="6" t="s">
        <v>1159</v>
      </c>
    </row>
    <row r="4" customFormat="false" ht="15" hidden="false" customHeight="true" outlineLevel="0" collapsed="false">
      <c r="A4" s="9" t="s">
        <v>1160</v>
      </c>
    </row>
    <row r="5" customFormat="false" ht="39.75" hidden="false" customHeight="true" outlineLevel="0" collapsed="false">
      <c r="A5" s="21" t="s">
        <v>1161</v>
      </c>
      <c r="B5" s="21" t="s">
        <v>1162</v>
      </c>
      <c r="C5" s="21" t="s">
        <v>1163</v>
      </c>
      <c r="D5" s="21" t="s">
        <v>1164</v>
      </c>
      <c r="E5" s="21" t="s">
        <v>1165</v>
      </c>
      <c r="F5" s="21" t="s">
        <v>1163</v>
      </c>
      <c r="G5" s="21" t="s">
        <v>1164</v>
      </c>
      <c r="H5" s="21" t="s">
        <v>1166</v>
      </c>
      <c r="I5" s="21" t="s">
        <v>1167</v>
      </c>
      <c r="J5" s="21" t="s">
        <v>1168</v>
      </c>
      <c r="K5" s="21" t="s">
        <v>1103</v>
      </c>
      <c r="L5" s="21" t="s">
        <v>1169</v>
      </c>
    </row>
    <row r="6" customFormat="false" ht="15" hidden="false" customHeight="true" outlineLevel="0" collapsed="false">
      <c r="A6" s="10" t="s">
        <v>1170</v>
      </c>
      <c r="B6" s="20" t="n">
        <v>0.01</v>
      </c>
      <c r="C6" s="60" t="n">
        <f aca="false">1-(1-B6)^(1/3)</f>
        <v>0.0033445065874036</v>
      </c>
      <c r="D6" s="60" t="n">
        <f aca="false">1-(1-B6)^(1/12)</f>
        <v>0.000837177359120589</v>
      </c>
      <c r="E6" s="20" t="n">
        <v>0.0136</v>
      </c>
      <c r="F6" s="60" t="n">
        <f aca="false">1-(1-E6)^(1/3)</f>
        <v>0.00455404114152425</v>
      </c>
      <c r="G6" s="60" t="n">
        <f aca="false">1-(1-E6)^(1/12)</f>
        <v>0.00114045977521504</v>
      </c>
      <c r="H6" s="60" t="n">
        <v>0.04295</v>
      </c>
      <c r="I6" s="60" t="n">
        <v>0.01</v>
      </c>
      <c r="J6" s="60" t="n">
        <v>0.0006</v>
      </c>
      <c r="K6" s="55" t="n">
        <v>470.686806241469</v>
      </c>
      <c r="L6" s="55" t="n">
        <v>61.910773907479</v>
      </c>
    </row>
    <row r="7" customFormat="false" ht="15" hidden="false" customHeight="true" outlineLevel="0" collapsed="false">
      <c r="A7" s="10" t="s">
        <v>1171</v>
      </c>
      <c r="B7" s="20" t="n">
        <v>0.0157</v>
      </c>
      <c r="C7" s="60" t="n">
        <f aca="false">1-(1-B7)^(1/3)</f>
        <v>0.00526096252283914</v>
      </c>
      <c r="D7" s="60" t="n">
        <f aca="false">1-(1-B7)^(1/12)</f>
        <v>0.00131784340962882</v>
      </c>
      <c r="E7" s="20" t="n">
        <v>0.0188</v>
      </c>
      <c r="F7" s="60" t="n">
        <f aca="false">1-(1-E7)^(1/3)</f>
        <v>0.00630635315537587</v>
      </c>
      <c r="G7" s="60" t="n">
        <f aca="false">1-(1-E7)^(1/12)</f>
        <v>0.00158033051039863</v>
      </c>
      <c r="H7" s="60" t="n">
        <v>0.0408</v>
      </c>
      <c r="I7" s="60" t="n">
        <v>0.0158</v>
      </c>
      <c r="J7" s="60" t="n">
        <v>0.00415</v>
      </c>
      <c r="K7" s="55" t="n">
        <v>584.17869445656</v>
      </c>
      <c r="L7" s="55" t="n">
        <v>57.2344265985575</v>
      </c>
    </row>
    <row r="8" customFormat="false" ht="15" hidden="false" customHeight="true" outlineLevel="0" collapsed="false">
      <c r="A8" s="10" t="s">
        <v>1172</v>
      </c>
      <c r="B8" s="20" t="n">
        <v>0.0166</v>
      </c>
      <c r="C8" s="60" t="n">
        <f aca="false">1-(1-B8)^(1/3)</f>
        <v>0.00556423663842687</v>
      </c>
      <c r="D8" s="60" t="n">
        <f aca="false">1-(1-B8)^(1/12)</f>
        <v>0.00139397118534601</v>
      </c>
      <c r="E8" s="20" t="n">
        <v>0.01955</v>
      </c>
      <c r="F8" s="60" t="n">
        <f aca="false">1-(1-E8)^(1/3)</f>
        <v>0.00655960094830055</v>
      </c>
      <c r="G8" s="60" t="n">
        <f aca="false">1-(1-E8)^(1/12)</f>
        <v>0.00164394965169734</v>
      </c>
      <c r="H8" s="60" t="n">
        <v>0.0419</v>
      </c>
      <c r="I8" s="60" t="n">
        <v>0.01675</v>
      </c>
      <c r="J8" s="60" t="n">
        <v>0.0044</v>
      </c>
      <c r="K8" s="55" t="n">
        <v>592.031120796945</v>
      </c>
      <c r="L8" s="55" t="n">
        <v>57.6098024561336</v>
      </c>
    </row>
    <row r="9" customFormat="false" ht="15" hidden="false" customHeight="true" outlineLevel="0" collapsed="false">
      <c r="A9" s="10" t="s">
        <v>1173</v>
      </c>
      <c r="B9" s="20" t="n">
        <v>0.05455</v>
      </c>
      <c r="C9" s="60" t="n">
        <f aca="false">1-(1-B9)^(1/3)</f>
        <v>0.0185243665991074</v>
      </c>
      <c r="D9" s="60" t="n">
        <f aca="false">1-(1-B9)^(1/12)</f>
        <v>0.00466361428499584</v>
      </c>
      <c r="E9" s="20" t="n">
        <v>0.07185</v>
      </c>
      <c r="F9" s="60" t="n">
        <f aca="false">1-(1-E9)^(1/3)</f>
        <v>0.0245476567485342</v>
      </c>
      <c r="G9" s="60" t="n">
        <f aca="false">1-(1-E9)^(1/12)</f>
        <v>0.00619422961273342</v>
      </c>
      <c r="H9" s="60" t="n">
        <v>0.06585</v>
      </c>
      <c r="I9" s="60" t="n">
        <v>0.05445</v>
      </c>
      <c r="J9" s="60" t="n">
        <v>0.01905</v>
      </c>
      <c r="K9" s="55" t="n">
        <v>968.586345887304</v>
      </c>
      <c r="L9" s="55" t="n">
        <v>87.1256252421722</v>
      </c>
    </row>
    <row r="10" customFormat="false" ht="15" hidden="false" customHeight="true" outlineLevel="0" collapsed="false">
      <c r="A10" s="10" t="s">
        <v>1174</v>
      </c>
      <c r="B10" s="20" t="n">
        <v>0.0764</v>
      </c>
      <c r="C10" s="60" t="n">
        <f aca="false">1-(1-B10)^(1/3)</f>
        <v>0.0261442307601824</v>
      </c>
      <c r="D10" s="60" t="n">
        <f aca="false">1-(1-B10)^(1/12)</f>
        <v>0.00660113295509612</v>
      </c>
      <c r="E10" s="20" t="n">
        <v>0.10525</v>
      </c>
      <c r="F10" s="60" t="n">
        <f aca="false">1-(1-E10)^(1/3)</f>
        <v>0.036391618124836</v>
      </c>
      <c r="G10" s="60" t="n">
        <f aca="false">1-(1-E10)^(1/12)</f>
        <v>0.00922476580429388</v>
      </c>
      <c r="H10" s="60" t="n">
        <v>0.10045</v>
      </c>
      <c r="I10" s="60" t="n">
        <v>0.0764</v>
      </c>
      <c r="J10" s="60" t="n">
        <v>0.024</v>
      </c>
      <c r="K10" s="55" t="n">
        <v>1014.36800810652</v>
      </c>
      <c r="L10" s="55" t="n">
        <v>118.274849895023</v>
      </c>
    </row>
    <row r="13" customFormat="false" ht="15" hidden="false" customHeight="true" outlineLevel="0" collapsed="false">
      <c r="A13" s="9" t="s">
        <v>1175</v>
      </c>
    </row>
    <row r="14" customFormat="false" ht="39.75" hidden="false" customHeight="true" outlineLevel="0" collapsed="false">
      <c r="A14" s="21" t="s">
        <v>1176</v>
      </c>
      <c r="B14" s="21" t="s">
        <v>1162</v>
      </c>
      <c r="C14" s="21" t="s">
        <v>1163</v>
      </c>
      <c r="D14" s="21" t="s">
        <v>1164</v>
      </c>
      <c r="E14" s="21" t="s">
        <v>1165</v>
      </c>
      <c r="F14" s="21" t="s">
        <v>1163</v>
      </c>
      <c r="G14" s="21" t="s">
        <v>1164</v>
      </c>
      <c r="H14" s="21" t="s">
        <v>1166</v>
      </c>
      <c r="I14" s="21" t="s">
        <v>1167</v>
      </c>
      <c r="J14" s="21" t="s">
        <v>1168</v>
      </c>
      <c r="K14" s="21" t="s">
        <v>1103</v>
      </c>
      <c r="L14" s="21" t="s">
        <v>1169</v>
      </c>
      <c r="M14" s="21" t="s">
        <v>1177</v>
      </c>
    </row>
    <row r="15" customFormat="false" ht="15" hidden="false" customHeight="true" outlineLevel="0" collapsed="false">
      <c r="A15" s="10" t="s">
        <v>1178</v>
      </c>
      <c r="B15" s="20" t="n">
        <v>0.0764</v>
      </c>
      <c r="C15" s="60" t="n">
        <f aca="false">1-(1-B15)^(1/3)</f>
        <v>0.0261442307601824</v>
      </c>
      <c r="D15" s="60" t="n">
        <f aca="false">1-(1-B15)^(1/12)</f>
        <v>0.00660113295509612</v>
      </c>
      <c r="E15" s="20" t="n">
        <v>0.10525</v>
      </c>
      <c r="F15" s="60" t="n">
        <f aca="false">1-(1-E15)^(1/3)</f>
        <v>0.036391618124836</v>
      </c>
      <c r="G15" s="60" t="n">
        <f aca="false">1-(1-E15)^(1/12)</f>
        <v>0.00922476580429388</v>
      </c>
      <c r="H15" s="60" t="n">
        <v>0.10045</v>
      </c>
      <c r="I15" s="60" t="n">
        <v>0.0764</v>
      </c>
      <c r="J15" s="60" t="n">
        <v>0.024</v>
      </c>
      <c r="K15" s="55" t="n">
        <v>1014.36800810652</v>
      </c>
      <c r="L15" s="55" t="n">
        <v>118.274849895023</v>
      </c>
      <c r="M15" s="6" t="s">
        <v>1179</v>
      </c>
    </row>
    <row r="16" customFormat="false" ht="15" hidden="false" customHeight="true" outlineLevel="0" collapsed="false">
      <c r="A16" s="10" t="s">
        <v>1180</v>
      </c>
      <c r="B16" s="20" t="n">
        <v>0.08375</v>
      </c>
      <c r="C16" s="60" t="n">
        <f aca="false">1-(1-B16)^(1/3)</f>
        <v>0.0287344255189202</v>
      </c>
      <c r="D16" s="60" t="n">
        <f aca="false">1-(1-B16)^(1/12)</f>
        <v>0.00726233634214302</v>
      </c>
      <c r="E16" s="20" t="n">
        <v>0.12365</v>
      </c>
      <c r="F16" s="60" t="n">
        <f aca="false">1-(1-E16)^(1/3)</f>
        <v>0.0430427647827255</v>
      </c>
      <c r="G16" s="60" t="n">
        <f aca="false">1-(1-E16)^(1/12)</f>
        <v>0.0109388742971406</v>
      </c>
      <c r="H16" s="60" t="n">
        <v>0.16225</v>
      </c>
      <c r="I16" s="60" t="n">
        <v>0.0837</v>
      </c>
      <c r="J16" s="60" t="n">
        <v>0.02415</v>
      </c>
      <c r="K16" s="55" t="n">
        <v>1014.37977197186</v>
      </c>
      <c r="L16" s="55" t="n">
        <v>142.451643148382</v>
      </c>
      <c r="M16" s="6" t="s">
        <v>1181</v>
      </c>
    </row>
    <row r="17" customFormat="false" ht="15" hidden="false" customHeight="true" outlineLevel="0" collapsed="false">
      <c r="A17" s="10" t="s">
        <v>1182</v>
      </c>
      <c r="B17" s="20" t="n">
        <v>0.1328</v>
      </c>
      <c r="C17" s="60" t="n">
        <f aca="false">1-(1-B17)^(1/3)</f>
        <v>0.0463849648782878</v>
      </c>
      <c r="D17" s="60" t="n">
        <f aca="false">1-(1-B17)^(1/12)</f>
        <v>0.0118035885965663</v>
      </c>
      <c r="E17" s="20" t="n">
        <v>0.1842</v>
      </c>
      <c r="F17" s="60" t="n">
        <f aca="false">1-(1-E17)^(1/3)</f>
        <v>0.0656106058078132</v>
      </c>
      <c r="G17" s="60" t="n">
        <f aca="false">1-(1-E17)^(1/12)</f>
        <v>0.0168224005913915</v>
      </c>
      <c r="H17" s="60" t="n">
        <v>0.20405</v>
      </c>
      <c r="I17" s="60" t="n">
        <v>0.13275</v>
      </c>
      <c r="J17" s="60" t="n">
        <v>0.0324</v>
      </c>
      <c r="K17" s="55" t="n">
        <v>1086.52500785476</v>
      </c>
      <c r="L17" s="55" t="n">
        <v>165.910609137412</v>
      </c>
      <c r="M17" s="6" t="s">
        <v>1183</v>
      </c>
    </row>
    <row r="18" customFormat="false" ht="15" hidden="false" customHeight="true" outlineLevel="0" collapsed="false">
      <c r="A18" s="10" t="s">
        <v>1184</v>
      </c>
      <c r="B18" s="20" t="n">
        <v>0.0764</v>
      </c>
      <c r="C18" s="60" t="n">
        <f aca="false">1-(1-B18)^(1/3)</f>
        <v>0.0261442307601824</v>
      </c>
      <c r="D18" s="60" t="n">
        <f aca="false">1-(1-B18)^(1/12)</f>
        <v>0.00660113295509612</v>
      </c>
      <c r="E18" s="20" t="n">
        <v>0.1071</v>
      </c>
      <c r="F18" s="60" t="n">
        <f aca="false">1-(1-E18)^(1/3)</f>
        <v>0.0370562006151293</v>
      </c>
      <c r="G18" s="60" t="n">
        <f aca="false">1-(1-E18)^(1/12)</f>
        <v>0.00939563974257507</v>
      </c>
      <c r="H18" s="60" t="n">
        <v>0.10045</v>
      </c>
      <c r="I18" s="60" t="n">
        <v>0.0764</v>
      </c>
      <c r="J18" s="60" t="n">
        <v>0.024</v>
      </c>
      <c r="K18" s="55" t="n">
        <v>1014.50101303984</v>
      </c>
      <c r="L18" s="55" t="n">
        <v>118.317803430086</v>
      </c>
      <c r="M18" s="6" t="s">
        <v>1185</v>
      </c>
    </row>
    <row r="19" customFormat="false" ht="15" hidden="false" customHeight="true" outlineLevel="0" collapsed="false">
      <c r="A19" s="10" t="s">
        <v>1186</v>
      </c>
      <c r="B19" s="20" t="n">
        <v>0.08265</v>
      </c>
      <c r="C19" s="60" t="n">
        <f aca="false">1-(1-B19)^(1/3)</f>
        <v>0.0283458980552838</v>
      </c>
      <c r="D19" s="60" t="n">
        <f aca="false">1-(1-B19)^(1/12)</f>
        <v>0.00716307203917888</v>
      </c>
      <c r="E19" s="20" t="n">
        <v>0.1297</v>
      </c>
      <c r="F19" s="60" t="n">
        <f aca="false">1-(1-E19)^(1/3)</f>
        <v>0.045250012907308</v>
      </c>
      <c r="G19" s="60" t="n">
        <f aca="false">1-(1-E19)^(1/12)</f>
        <v>0.0115096924197901</v>
      </c>
      <c r="H19" s="60" t="n">
        <v>0.2272</v>
      </c>
      <c r="I19" s="60" t="n">
        <v>0.08265</v>
      </c>
      <c r="J19" s="60" t="n">
        <v>0.02455</v>
      </c>
      <c r="K19" s="55" t="n">
        <v>1025.9026114178</v>
      </c>
      <c r="L19" s="55" t="n">
        <v>244.989960182581</v>
      </c>
      <c r="M19" s="6" t="s">
        <v>1187</v>
      </c>
    </row>
    <row r="20" customFormat="false" ht="15" hidden="false" customHeight="true" outlineLevel="0" collapsed="false">
      <c r="A20" s="10" t="s">
        <v>1188</v>
      </c>
      <c r="B20" s="20" t="n">
        <v>0.0812</v>
      </c>
      <c r="C20" s="60" t="n">
        <f aca="false">1-(1-B20)^(1/3)</f>
        <v>0.0278342224757598</v>
      </c>
      <c r="D20" s="60" t="n">
        <f aca="false">1-(1-B20)^(1/12)</f>
        <v>0.00703239021515723</v>
      </c>
      <c r="E20" s="20" t="n">
        <v>0.12715</v>
      </c>
      <c r="F20" s="60" t="n">
        <f aca="false">1-(1-E20)^(1/3)</f>
        <v>0.0443184419908735</v>
      </c>
      <c r="G20" s="60" t="n">
        <f aca="false">1-(1-E20)^(1/12)</f>
        <v>0.011268657570088</v>
      </c>
      <c r="H20" s="60" t="n">
        <v>0.21505</v>
      </c>
      <c r="I20" s="60" t="n">
        <v>0.0812</v>
      </c>
      <c r="J20" s="60" t="n">
        <v>0.024</v>
      </c>
      <c r="K20" s="55" t="n">
        <v>1014.36800810652</v>
      </c>
      <c r="L20" s="55" t="n">
        <v>256.151045349517</v>
      </c>
      <c r="M20" s="6" t="s">
        <v>1189</v>
      </c>
    </row>
    <row r="21" customFormat="false" ht="15" hidden="false" customHeight="true" outlineLevel="0" collapsed="false">
      <c r="A21" s="10" t="s">
        <v>1190</v>
      </c>
      <c r="B21" s="20" t="n">
        <v>0.1389</v>
      </c>
      <c r="C21" s="60" t="n">
        <f aca="false">1-(1-B21)^(1/3)</f>
        <v>0.0486261797347992</v>
      </c>
      <c r="D21" s="60" t="n">
        <f aca="false">1-(1-B21)^(1/12)</f>
        <v>0.0123847232856177</v>
      </c>
      <c r="E21" s="20" t="n">
        <v>0.20765</v>
      </c>
      <c r="F21" s="60" t="n">
        <f aca="false">1-(1-E21)^(1/3)</f>
        <v>0.0746507284408411</v>
      </c>
      <c r="G21" s="60" t="n">
        <f aca="false">1-(1-E21)^(1/12)</f>
        <v>0.0192091132235956</v>
      </c>
      <c r="H21" s="60" t="n">
        <v>0.2962</v>
      </c>
      <c r="I21" s="60" t="n">
        <v>0.13885</v>
      </c>
      <c r="J21" s="60" t="n">
        <v>0.0325</v>
      </c>
      <c r="K21" s="55" t="n">
        <v>1086.65950020595</v>
      </c>
      <c r="L21" s="55" t="n">
        <v>215.283885857697</v>
      </c>
      <c r="M21" s="6" t="s">
        <v>1191</v>
      </c>
    </row>
    <row r="24" customFormat="false" ht="15" hidden="false" customHeight="true" outlineLevel="0" collapsed="false">
      <c r="A24" s="9" t="s">
        <v>1192</v>
      </c>
    </row>
    <row r="25" customFormat="false" ht="39.75" hidden="false" customHeight="true" outlineLevel="0" collapsed="false">
      <c r="A25" s="21" t="s">
        <v>1193</v>
      </c>
      <c r="B25" s="21" t="s">
        <v>1194</v>
      </c>
      <c r="C25" s="21" t="s">
        <v>1163</v>
      </c>
      <c r="D25" s="21" t="s">
        <v>1195</v>
      </c>
      <c r="E25" s="21" t="s">
        <v>1196</v>
      </c>
    </row>
    <row r="26" customFormat="false" ht="15" hidden="false" customHeight="true" outlineLevel="0" collapsed="false">
      <c r="A26" s="10" t="s">
        <v>1197</v>
      </c>
      <c r="B26" s="20" t="n">
        <v>0.0814</v>
      </c>
      <c r="C26" s="60" t="n">
        <f aca="false">1-(1-B26)^(1/3)</f>
        <v>0.0279047663971688</v>
      </c>
      <c r="D26" s="60" t="n">
        <v>0.1534</v>
      </c>
      <c r="E26" s="6" t="s">
        <v>1198</v>
      </c>
    </row>
    <row r="27" customFormat="false" ht="15" hidden="false" customHeight="true" outlineLevel="0" collapsed="false">
      <c r="A27" s="10" t="s">
        <v>1199</v>
      </c>
      <c r="B27" s="20" t="n">
        <v>0.0767</v>
      </c>
      <c r="C27" s="60" t="n">
        <f aca="false">1-(1-B27)^(1/3)</f>
        <v>0.0262496834701826</v>
      </c>
      <c r="D27" s="60" t="n">
        <v>0.0997</v>
      </c>
      <c r="E27" s="6" t="s">
        <v>1198</v>
      </c>
    </row>
    <row r="28" customFormat="false" ht="15" hidden="false" customHeight="true" outlineLevel="0" collapsed="false">
      <c r="A28" s="10" t="s">
        <v>1200</v>
      </c>
      <c r="B28" s="20" t="n">
        <v>0.072</v>
      </c>
      <c r="C28" s="60" t="n">
        <f aca="false">1-(1-B28)^(1/3)</f>
        <v>0.0246002077853373</v>
      </c>
      <c r="D28" s="60" t="n">
        <v>0.0828</v>
      </c>
      <c r="E28" s="6" t="s">
        <v>1198</v>
      </c>
    </row>
    <row r="29" customFormat="false" ht="15" hidden="false" customHeight="true" outlineLevel="0" collapsed="false">
      <c r="A29" s="10" t="s">
        <v>1201</v>
      </c>
      <c r="B29" s="20" t="n">
        <v>0.0789</v>
      </c>
      <c r="C29" s="60" t="n">
        <f aca="false">1-(1-B29)^(1/3)</f>
        <v>0.0270237021857582</v>
      </c>
      <c r="D29" s="60" t="n">
        <v>0.1145</v>
      </c>
      <c r="E29" s="6" t="s">
        <v>1202</v>
      </c>
    </row>
    <row r="30" customFormat="false" ht="15" hidden="false" customHeight="true" outlineLevel="0" collapsed="false">
      <c r="A30" s="10" t="s">
        <v>1203</v>
      </c>
      <c r="B30" s="20" t="n">
        <v>0.0767</v>
      </c>
      <c r="C30" s="60" t="n">
        <f aca="false">1-(1-B30)^(1/3)</f>
        <v>0.0262496834701826</v>
      </c>
      <c r="D30" s="60" t="n">
        <v>0.0997</v>
      </c>
      <c r="E30" s="6" t="s">
        <v>1202</v>
      </c>
    </row>
    <row r="31" customFormat="false" ht="15" hidden="false" customHeight="true" outlineLevel="0" collapsed="false">
      <c r="A31" s="10" t="s">
        <v>1204</v>
      </c>
      <c r="B31" s="20" t="n">
        <v>0.0746</v>
      </c>
      <c r="C31" s="60" t="n">
        <f aca="false">1-(1-B31)^(1/3)</f>
        <v>0.0255119935543042</v>
      </c>
      <c r="D31" s="60" t="n">
        <v>0.0921</v>
      </c>
      <c r="E31" s="6" t="s">
        <v>1202</v>
      </c>
    </row>
    <row r="32" customFormat="false" ht="15" hidden="false" customHeight="true" outlineLevel="0" collapsed="false">
      <c r="A32" s="10" t="s">
        <v>1205</v>
      </c>
      <c r="B32" s="20" t="n">
        <v>0.0766</v>
      </c>
      <c r="C32" s="60" t="n">
        <f aca="false">1-(1-B32)^(1/3)</f>
        <v>0.0262145300291221</v>
      </c>
      <c r="D32" s="60" t="n">
        <v>0.0995</v>
      </c>
      <c r="E32" s="6" t="s">
        <v>1206</v>
      </c>
    </row>
    <row r="33" customFormat="false" ht="15" hidden="false" customHeight="true" outlineLevel="0" collapsed="false">
      <c r="A33" s="10" t="s">
        <v>1207</v>
      </c>
      <c r="B33" s="20" t="n">
        <v>0.0767</v>
      </c>
      <c r="C33" s="60" t="n">
        <f aca="false">1-(1-B33)^(1/3)</f>
        <v>0.0262496834701826</v>
      </c>
      <c r="D33" s="60" t="n">
        <v>0.0997</v>
      </c>
      <c r="E33" s="6" t="s">
        <v>1206</v>
      </c>
    </row>
    <row r="34" customFormat="false" ht="15" hidden="false" customHeight="true" outlineLevel="0" collapsed="false">
      <c r="A34" s="10" t="s">
        <v>1208</v>
      </c>
      <c r="B34" s="20" t="n">
        <v>0.0767</v>
      </c>
      <c r="C34" s="60" t="n">
        <f aca="false">1-(1-B34)^(1/3)</f>
        <v>0.0262496834701826</v>
      </c>
      <c r="D34" s="60" t="n">
        <v>0.1002</v>
      </c>
      <c r="E34" s="6" t="s">
        <v>1206</v>
      </c>
    </row>
    <row r="35" customFormat="false" ht="15" hidden="false" customHeight="true" outlineLevel="0" collapsed="false">
      <c r="A35" s="10" t="s">
        <v>1209</v>
      </c>
      <c r="B35" s="20" t="n">
        <v>0.0767</v>
      </c>
      <c r="C35" s="60" t="n">
        <f aca="false">1-(1-B35)^(1/3)</f>
        <v>0.0262496834701826</v>
      </c>
      <c r="D35" s="60" t="n">
        <v>0.0997</v>
      </c>
      <c r="E35" s="6" t="s">
        <v>1210</v>
      </c>
    </row>
    <row r="36" customFormat="false" ht="15" hidden="false" customHeight="true" outlineLevel="0" collapsed="false">
      <c r="A36" s="10" t="s">
        <v>1211</v>
      </c>
      <c r="B36" s="20" t="n">
        <v>0.0767</v>
      </c>
      <c r="C36" s="60" t="n">
        <f aca="false">1-(1-B36)^(1/3)</f>
        <v>0.0262496834701826</v>
      </c>
      <c r="D36" s="60" t="n">
        <v>0.0997</v>
      </c>
      <c r="E36" s="6" t="s">
        <v>1210</v>
      </c>
    </row>
    <row r="37" customFormat="false" ht="15" hidden="false" customHeight="true" outlineLevel="0" collapsed="false">
      <c r="A37" s="10" t="s">
        <v>1212</v>
      </c>
      <c r="B37" s="20" t="n">
        <v>0.0767</v>
      </c>
      <c r="C37" s="60" t="n">
        <f aca="false">1-(1-B37)^(1/3)</f>
        <v>0.0262496834701826</v>
      </c>
      <c r="D37" s="60" t="n">
        <v>0.0997</v>
      </c>
      <c r="E37" s="6" t="s">
        <v>1210</v>
      </c>
    </row>
    <row r="38" customFormat="false" ht="15" hidden="false" customHeight="true" outlineLevel="0" collapsed="false">
      <c r="A38" s="10" t="s">
        <v>1213</v>
      </c>
      <c r="B38" s="20" t="n">
        <v>0.0593</v>
      </c>
      <c r="C38" s="60" t="n">
        <f aca="false">1-(1-B38)^(1/3)</f>
        <v>0.0201707919458874</v>
      </c>
      <c r="D38" s="60" t="n">
        <v>0.079</v>
      </c>
      <c r="E38" s="6" t="s">
        <v>1214</v>
      </c>
    </row>
    <row r="39" customFormat="false" ht="15" hidden="false" customHeight="true" outlineLevel="0" collapsed="false">
      <c r="A39" s="10" t="s">
        <v>1215</v>
      </c>
      <c r="B39" s="20" t="n">
        <v>0.0767</v>
      </c>
      <c r="C39" s="60" t="n">
        <f aca="false">1-(1-B39)^(1/3)</f>
        <v>0.0262496834701826</v>
      </c>
      <c r="D39" s="60" t="n">
        <v>0.0997</v>
      </c>
      <c r="E39" s="6" t="s">
        <v>1214</v>
      </c>
    </row>
    <row r="40" customFormat="false" ht="15" hidden="false" customHeight="true" outlineLevel="0" collapsed="false">
      <c r="A40" s="10" t="s">
        <v>1216</v>
      </c>
      <c r="B40" s="20" t="n">
        <v>0.0928</v>
      </c>
      <c r="C40" s="60" t="n">
        <f aca="false">1-(1-B40)^(1/3)</f>
        <v>0.0319428123852737</v>
      </c>
      <c r="D40" s="60" t="n">
        <v>0.1223</v>
      </c>
      <c r="E40" s="6" t="s">
        <v>1214</v>
      </c>
    </row>
    <row r="41" customFormat="false" ht="15" hidden="false" customHeight="true" outlineLevel="0" collapsed="false">
      <c r="A41" s="10" t="s">
        <v>1217</v>
      </c>
      <c r="B41" s="20" t="n">
        <v>0.0988</v>
      </c>
      <c r="C41" s="60" t="n">
        <f aca="false">1-(1-B41)^(1/3)</f>
        <v>0.0340816995740205</v>
      </c>
      <c r="D41" s="60" t="n">
        <v>0.1301</v>
      </c>
      <c r="E41" s="6" t="s">
        <v>1214</v>
      </c>
    </row>
    <row r="42" customFormat="false" ht="15" hidden="false" customHeight="true" outlineLevel="0" collapsed="false">
      <c r="A42" s="10" t="s">
        <v>1218</v>
      </c>
      <c r="B42" s="20" t="n">
        <v>0.0767</v>
      </c>
      <c r="C42" s="60" t="n">
        <f aca="false">1-(1-B42)^(1/3)</f>
        <v>0.0262496834701826</v>
      </c>
      <c r="D42" s="60" t="n">
        <v>0.0997</v>
      </c>
      <c r="E42" s="6" t="s">
        <v>1219</v>
      </c>
    </row>
    <row r="43" customFormat="false" ht="15" hidden="false" customHeight="true" outlineLevel="0" collapsed="false">
      <c r="A43" s="10" t="s">
        <v>1220</v>
      </c>
      <c r="B43" s="20" t="n">
        <v>0.0767</v>
      </c>
      <c r="C43" s="60" t="n">
        <f aca="false">1-(1-B43)^(1/3)</f>
        <v>0.0262496834701826</v>
      </c>
      <c r="D43" s="60" t="n">
        <v>0.0997</v>
      </c>
      <c r="E43" s="6" t="s">
        <v>1219</v>
      </c>
    </row>
    <row r="44" customFormat="false" ht="15" hidden="false" customHeight="true" outlineLevel="0" collapsed="false">
      <c r="A44" s="10" t="s">
        <v>1221</v>
      </c>
      <c r="B44" s="20" t="n">
        <v>0.0767</v>
      </c>
      <c r="C44" s="60" t="n">
        <f aca="false">1-(1-B44)^(1/3)</f>
        <v>0.0262496834701826</v>
      </c>
      <c r="D44" s="60" t="n">
        <v>0.0997</v>
      </c>
      <c r="E44" s="6" t="s">
        <v>1219</v>
      </c>
    </row>
    <row r="45" customFormat="false" ht="15" hidden="false" customHeight="true" outlineLevel="0" collapsed="false">
      <c r="A45" s="10" t="s">
        <v>1222</v>
      </c>
      <c r="B45" s="20" t="n">
        <v>0.0927</v>
      </c>
      <c r="C45" s="60" t="n">
        <f aca="false">1-(1-B45)^(1/3)</f>
        <v>0.0319072442775291</v>
      </c>
      <c r="D45" s="60" t="n">
        <v>0.1109</v>
      </c>
      <c r="E45" s="6" t="s">
        <v>1219</v>
      </c>
    </row>
    <row r="46" customFormat="false" ht="15" hidden="false" customHeight="true" outlineLevel="0" collapsed="false">
      <c r="A46" s="10" t="s">
        <v>1223</v>
      </c>
      <c r="B46" s="20" t="n">
        <v>0.1053</v>
      </c>
      <c r="C46" s="60" t="n">
        <f aca="false">1-(1-B46)^(1/3)</f>
        <v>0.0364095677631287</v>
      </c>
      <c r="D46" s="60" t="n">
        <v>0.12</v>
      </c>
      <c r="E46" s="6" t="s">
        <v>1219</v>
      </c>
    </row>
    <row r="47" customFormat="false" ht="15" hidden="false" customHeight="true" outlineLevel="0" collapsed="false">
      <c r="A47" s="10" t="s">
        <v>1224</v>
      </c>
      <c r="B47" s="20" t="n">
        <v>0.119</v>
      </c>
      <c r="C47" s="60" t="n">
        <f aca="false">1-(1-B47)^(1/3)</f>
        <v>0.0413531796427294</v>
      </c>
      <c r="D47" s="60" t="n">
        <v>0.1372</v>
      </c>
      <c r="E47" s="6" t="s">
        <v>1219</v>
      </c>
    </row>
    <row r="48" customFormat="false" ht="15" hidden="false" customHeight="true" outlineLevel="0" collapsed="false">
      <c r="A48" s="10" t="s">
        <v>1225</v>
      </c>
      <c r="B48" s="20" t="n">
        <v>0.0737</v>
      </c>
      <c r="C48" s="60" t="n">
        <f aca="false">1-(1-B48)^(1/3)</f>
        <v>0.0251961823601808</v>
      </c>
      <c r="D48" s="60" t="n">
        <v>0.0891</v>
      </c>
      <c r="E48" s="6" t="s">
        <v>1226</v>
      </c>
    </row>
    <row r="49" customFormat="false" ht="15" hidden="false" customHeight="true" outlineLevel="0" collapsed="false">
      <c r="A49" s="10" t="s">
        <v>1227</v>
      </c>
      <c r="B49" s="20" t="n">
        <v>0.0767</v>
      </c>
      <c r="C49" s="60" t="n">
        <f aca="false">1-(1-B49)^(1/3)</f>
        <v>0.0262496834701826</v>
      </c>
      <c r="D49" s="60" t="n">
        <v>0.0997</v>
      </c>
      <c r="E49" s="6" t="s">
        <v>1226</v>
      </c>
    </row>
    <row r="50" customFormat="false" ht="15" hidden="false" customHeight="true" outlineLevel="0" collapsed="false">
      <c r="A50" s="10" t="s">
        <v>1228</v>
      </c>
      <c r="B50" s="20" t="n">
        <v>0.0801</v>
      </c>
      <c r="C50" s="60" t="n">
        <f aca="false">1-(1-B50)^(1/3)</f>
        <v>0.0274464137835743</v>
      </c>
      <c r="D50" s="60" t="n">
        <v>0.1233</v>
      </c>
      <c r="E50" s="6" t="s">
        <v>1226</v>
      </c>
    </row>
    <row r="51" customFormat="false" ht="15" hidden="false" customHeight="true" outlineLevel="0" collapsed="false">
      <c r="A51" s="10" t="s">
        <v>1229</v>
      </c>
      <c r="B51" s="20" t="n">
        <v>0.0824</v>
      </c>
      <c r="C51" s="60" t="n">
        <f aca="false">1-(1-B51)^(1/3)</f>
        <v>0.028257639679808</v>
      </c>
      <c r="D51" s="60" t="n">
        <v>0.1592</v>
      </c>
      <c r="E51" s="6" t="s">
        <v>1226</v>
      </c>
    </row>
    <row r="52" customFormat="false" ht="15" hidden="false" customHeight="true" outlineLevel="0" collapsed="false">
      <c r="A52" s="6" t="s">
        <v>1230</v>
      </c>
    </row>
    <row r="54" customFormat="false" ht="15" hidden="false" customHeight="true" outlineLevel="0" collapsed="false">
      <c r="A54" s="9" t="s">
        <v>1231</v>
      </c>
    </row>
    <row r="55" customFormat="false" ht="39.75" hidden="false" customHeight="true" outlineLevel="0" collapsed="false">
      <c r="A55" s="21" t="s">
        <v>1232</v>
      </c>
      <c r="B55" s="21" t="s">
        <v>1233</v>
      </c>
      <c r="C55" s="21" t="s">
        <v>1234</v>
      </c>
      <c r="D55" s="21" t="s">
        <v>1163</v>
      </c>
      <c r="E55" s="21" t="s">
        <v>1235</v>
      </c>
      <c r="F55" s="21" t="s">
        <v>1163</v>
      </c>
      <c r="G55" s="21" t="s">
        <v>1236</v>
      </c>
    </row>
    <row r="56" customFormat="false" ht="15" hidden="false" customHeight="true" outlineLevel="0" collapsed="false">
      <c r="A56" s="10" t="s">
        <v>1237</v>
      </c>
      <c r="B56" s="60" t="n">
        <v>0.01</v>
      </c>
      <c r="C56" s="20" t="n">
        <v>0.0006</v>
      </c>
      <c r="D56" s="60" t="n">
        <f aca="false">1-(1-C56)^(1/3)</f>
        <v>0.000200040013338731</v>
      </c>
      <c r="E56" s="20" t="n">
        <v>0.00205</v>
      </c>
      <c r="F56" s="60" t="n">
        <f aca="false">1-(1-E56)^(1/3)</f>
        <v>0.000683800810303503</v>
      </c>
      <c r="G56" s="60" t="n">
        <v>0.0003</v>
      </c>
    </row>
    <row r="57" customFormat="false" ht="15" hidden="false" customHeight="true" outlineLevel="0" collapsed="false">
      <c r="A57" s="10" t="s">
        <v>1238</v>
      </c>
      <c r="B57" s="60" t="n">
        <v>0.0764</v>
      </c>
      <c r="C57" s="20" t="n">
        <v>0.024</v>
      </c>
      <c r="D57" s="60" t="n">
        <f aca="false">1-(1-C57)^(1/3)</f>
        <v>0.00806486723153987</v>
      </c>
      <c r="E57" s="20" t="n">
        <v>0.0407</v>
      </c>
      <c r="F57" s="60" t="n">
        <f aca="false">1-(1-E57)^(1/3)</f>
        <v>0.0137549991873498</v>
      </c>
      <c r="G57" s="60" t="n">
        <v>0.03045</v>
      </c>
    </row>
    <row r="58" customFormat="false" ht="15" hidden="false" customHeight="true" outlineLevel="0" collapsed="false">
      <c r="A58" s="10" t="s">
        <v>1239</v>
      </c>
      <c r="B58" s="60" t="n">
        <v>0.1389</v>
      </c>
      <c r="C58" s="20" t="n">
        <v>0.0325</v>
      </c>
      <c r="D58" s="60" t="n">
        <f aca="false">1-(1-C58)^(1/3)</f>
        <v>0.0109528604992538</v>
      </c>
      <c r="E58" s="20" t="n">
        <v>0.0588</v>
      </c>
      <c r="F58" s="60" t="n">
        <f aca="false">1-(1-E58)^(1/3)</f>
        <v>0.0199972233870145</v>
      </c>
      <c r="G58" s="60" t="n">
        <v>0.04015</v>
      </c>
    </row>
    <row r="61" customFormat="false" ht="15" hidden="false" customHeight="true" outlineLevel="0" collapsed="false">
      <c r="A61" s="9" t="s">
        <v>1240</v>
      </c>
    </row>
    <row r="62" customFormat="false" ht="39.75" hidden="false" customHeight="true" outlineLevel="0" collapsed="false">
      <c r="A62" s="21" t="s">
        <v>51</v>
      </c>
      <c r="B62" s="21" t="s">
        <v>52</v>
      </c>
      <c r="C62" s="21" t="s">
        <v>1241</v>
      </c>
      <c r="D62" s="21" t="s">
        <v>1242</v>
      </c>
      <c r="E62" s="21" t="s">
        <v>1243</v>
      </c>
      <c r="F62" s="21" t="s">
        <v>1244</v>
      </c>
      <c r="G62" s="21" t="s">
        <v>1245</v>
      </c>
      <c r="H62" s="21" t="s">
        <v>1246</v>
      </c>
    </row>
    <row r="63" customFormat="false" ht="15" hidden="false" customHeight="true" outlineLevel="0" collapsed="false">
      <c r="A63" s="10" t="s">
        <v>496</v>
      </c>
      <c r="B63" s="10" t="s">
        <v>497</v>
      </c>
      <c r="C63" s="60" t="n">
        <v>0</v>
      </c>
      <c r="D63" s="60" t="n">
        <v>0.0001</v>
      </c>
      <c r="E63" s="60" t="n">
        <v>0.00055</v>
      </c>
      <c r="F63" s="60" t="n">
        <v>0.0001</v>
      </c>
      <c r="G63" s="60" t="n">
        <v>0.0007</v>
      </c>
      <c r="H63" s="60" t="n">
        <f aca="false">1-(1-D63)^(1/3)</f>
        <v>3.33344445061501E-005</v>
      </c>
    </row>
    <row r="64" customFormat="false" ht="15" hidden="false" customHeight="true" outlineLevel="0" collapsed="false">
      <c r="A64" s="10" t="s">
        <v>499</v>
      </c>
      <c r="B64" s="10" t="s">
        <v>500</v>
      </c>
      <c r="C64" s="60" t="n">
        <v>0</v>
      </c>
      <c r="D64" s="60" t="n">
        <v>0.00115</v>
      </c>
      <c r="E64" s="60" t="n">
        <v>0.01745</v>
      </c>
      <c r="F64" s="60" t="n">
        <v>0.0019</v>
      </c>
      <c r="G64" s="60" t="n">
        <v>0.0237</v>
      </c>
      <c r="H64" s="60" t="n">
        <f aca="false">1-(1-D64)^(1/3)</f>
        <v>0.000383480371730971</v>
      </c>
    </row>
    <row r="65" customFormat="false" ht="15" hidden="false" customHeight="true" outlineLevel="0" collapsed="false">
      <c r="A65" s="10" t="s">
        <v>501</v>
      </c>
      <c r="B65" s="10" t="s">
        <v>502</v>
      </c>
      <c r="C65" s="60" t="n">
        <v>0</v>
      </c>
      <c r="D65" s="60" t="n">
        <v>0.0007</v>
      </c>
      <c r="E65" s="60" t="n">
        <v>0.00215</v>
      </c>
      <c r="F65" s="60" t="n">
        <v>0.00135</v>
      </c>
      <c r="G65" s="60" t="n">
        <v>0.0034</v>
      </c>
      <c r="H65" s="60" t="n">
        <f aca="false">1-(1-D65)^(1/3)</f>
        <v>0.000233387798960538</v>
      </c>
    </row>
    <row r="66" customFormat="false" ht="15" hidden="false" customHeight="true" outlineLevel="0" collapsed="false">
      <c r="A66" s="10" t="s">
        <v>503</v>
      </c>
      <c r="B66" s="10" t="s">
        <v>504</v>
      </c>
      <c r="C66" s="60" t="n">
        <v>0.0006</v>
      </c>
      <c r="D66" s="60" t="n">
        <v>0.0192</v>
      </c>
      <c r="E66" s="60" t="n">
        <v>0.0379</v>
      </c>
      <c r="F66" s="60" t="n">
        <v>0.02925</v>
      </c>
      <c r="G66" s="60" t="n">
        <v>0.0569</v>
      </c>
      <c r="H66" s="60" t="n">
        <f aca="false">1-(1-D66)^(1/3)</f>
        <v>0.00644140257900749</v>
      </c>
    </row>
    <row r="67" customFormat="false" ht="15" hidden="false" customHeight="true" outlineLevel="0" collapsed="false">
      <c r="A67" s="10" t="s">
        <v>505</v>
      </c>
      <c r="B67" s="10" t="s">
        <v>506</v>
      </c>
      <c r="C67" s="60" t="n">
        <v>0</v>
      </c>
      <c r="D67" s="60" t="n">
        <v>0.0066</v>
      </c>
      <c r="E67" s="60" t="n">
        <v>0.0098</v>
      </c>
      <c r="F67" s="60" t="n">
        <v>0.00885</v>
      </c>
      <c r="G67" s="60" t="n">
        <v>0.0133</v>
      </c>
      <c r="H67" s="60" t="n">
        <f aca="false">1-(1-D67)^(1/3)</f>
        <v>0.00220485782513191</v>
      </c>
    </row>
    <row r="68" customFormat="false" ht="15" hidden="false" customHeight="true" outlineLevel="0" collapsed="false">
      <c r="A68" s="10" t="s">
        <v>507</v>
      </c>
      <c r="B68" s="10" t="s">
        <v>508</v>
      </c>
      <c r="C68" s="60" t="n">
        <v>0</v>
      </c>
      <c r="D68" s="60" t="n">
        <v>0.0017</v>
      </c>
      <c r="E68" s="60" t="n">
        <v>0.0046</v>
      </c>
      <c r="F68" s="60" t="n">
        <v>0.00335</v>
      </c>
      <c r="G68" s="60" t="n">
        <v>0.0061</v>
      </c>
      <c r="H68" s="60" t="n">
        <f aca="false">1-(1-D68)^(1/3)</f>
        <v>0.000566988081393549</v>
      </c>
    </row>
    <row r="69" customFormat="false" ht="15" hidden="false" customHeight="true" outlineLevel="0" collapsed="false">
      <c r="A69" s="10" t="s">
        <v>509</v>
      </c>
      <c r="B69" s="10" t="s">
        <v>509</v>
      </c>
      <c r="C69" s="60" t="n">
        <v>0.002</v>
      </c>
      <c r="D69" s="60" t="n">
        <v>0.02935</v>
      </c>
      <c r="E69" s="60" t="n">
        <v>0.03385</v>
      </c>
      <c r="F69" s="60" t="n">
        <v>0.04585</v>
      </c>
      <c r="G69" s="60" t="n">
        <v>0.0531</v>
      </c>
      <c r="H69" s="60" t="n">
        <f aca="false">1-(1-D69)^(1/3)</f>
        <v>0.00988063881765922</v>
      </c>
    </row>
    <row r="70" customFormat="false" ht="15" hidden="false" customHeight="true" outlineLevel="0" collapsed="false">
      <c r="A70" s="10" t="s">
        <v>510</v>
      </c>
      <c r="B70" s="10" t="s">
        <v>511</v>
      </c>
      <c r="C70" s="60" t="n">
        <v>0</v>
      </c>
      <c r="D70" s="60" t="n">
        <v>0</v>
      </c>
      <c r="E70" s="60" t="n">
        <v>0.00205</v>
      </c>
      <c r="F70" s="60" t="n">
        <v>0</v>
      </c>
      <c r="G70" s="60" t="n">
        <v>0.0034</v>
      </c>
      <c r="H70" s="60" t="n">
        <f aca="false">1-(1-D70)^(1/3)</f>
        <v>0</v>
      </c>
    </row>
    <row r="71" customFormat="false" ht="15" hidden="false" customHeight="true" outlineLevel="0" collapsed="false">
      <c r="A71" s="10" t="s">
        <v>512</v>
      </c>
      <c r="B71" s="10" t="s">
        <v>513</v>
      </c>
      <c r="C71" s="60" t="n">
        <v>0.00015</v>
      </c>
      <c r="D71" s="60" t="n">
        <v>0.01295</v>
      </c>
      <c r="E71" s="60" t="n">
        <v>0.02215</v>
      </c>
      <c r="F71" s="60" t="n">
        <v>0.02055</v>
      </c>
      <c r="G71" s="60" t="n">
        <v>0.0328</v>
      </c>
      <c r="H71" s="60" t="n">
        <f aca="false">1-(1-D71)^(1/3)</f>
        <v>0.00433543550473237</v>
      </c>
    </row>
    <row r="72" customFormat="false" ht="15" hidden="false" customHeight="true" outlineLevel="0" collapsed="false">
      <c r="A72" s="10" t="s">
        <v>514</v>
      </c>
      <c r="B72" s="10" t="s">
        <v>515</v>
      </c>
      <c r="C72" s="60" t="n">
        <v>0.01</v>
      </c>
      <c r="D72" s="60" t="n">
        <v>0.0764</v>
      </c>
      <c r="E72" s="60" t="n">
        <v>0.10525</v>
      </c>
      <c r="F72" s="60" t="n">
        <v>0.1389</v>
      </c>
      <c r="G72" s="60" t="n">
        <v>0.20765</v>
      </c>
      <c r="H72" s="60" t="n">
        <f aca="false">1-(1-D72)^(1/3)</f>
        <v>0.0261442307601824</v>
      </c>
    </row>
    <row r="73" customFormat="false" ht="15" hidden="false" customHeight="true" outlineLevel="0" collapsed="false">
      <c r="A73" s="10" t="s">
        <v>516</v>
      </c>
      <c r="B73" s="10" t="s">
        <v>517</v>
      </c>
      <c r="C73" s="60" t="n">
        <v>0</v>
      </c>
      <c r="D73" s="60" t="n">
        <v>0.00215</v>
      </c>
      <c r="E73" s="60" t="n">
        <v>0.0072</v>
      </c>
      <c r="F73" s="60" t="n">
        <v>0.0025</v>
      </c>
      <c r="G73" s="60" t="n">
        <v>0.00745</v>
      </c>
      <c r="H73" s="60" t="n">
        <f aca="false">1-(1-D73)^(1/3)</f>
        <v>0.000717180892138458</v>
      </c>
    </row>
    <row r="74" customFormat="false" ht="15" hidden="false" customHeight="true" outlineLevel="0" collapsed="false">
      <c r="A74" s="10" t="s">
        <v>518</v>
      </c>
      <c r="B74" s="10" t="s">
        <v>519</v>
      </c>
      <c r="C74" s="60" t="n">
        <v>0</v>
      </c>
      <c r="D74" s="60" t="n">
        <v>0</v>
      </c>
      <c r="E74" s="60" t="n">
        <v>0</v>
      </c>
      <c r="F74" s="60" t="n">
        <v>0</v>
      </c>
      <c r="G74" s="60" t="n">
        <v>0</v>
      </c>
      <c r="H74" s="60" t="n">
        <f aca="false">1-(1-D74)^(1/3)</f>
        <v>0</v>
      </c>
    </row>
    <row r="75" customFormat="false" ht="15" hidden="false" customHeight="true" outlineLevel="0" collapsed="false">
      <c r="A75" s="10" t="s">
        <v>520</v>
      </c>
      <c r="B75" s="10" t="s">
        <v>521</v>
      </c>
      <c r="C75" s="60" t="n">
        <v>0</v>
      </c>
      <c r="D75" s="60" t="n">
        <v>0</v>
      </c>
      <c r="E75" s="60" t="n">
        <v>0.0021</v>
      </c>
      <c r="F75" s="60" t="n">
        <v>0</v>
      </c>
      <c r="G75" s="60" t="n">
        <v>0.0051</v>
      </c>
      <c r="H75" s="60" t="n">
        <f aca="false">1-(1-D75)^(1/3)</f>
        <v>0</v>
      </c>
    </row>
    <row r="76" customFormat="false" ht="15" hidden="false" customHeight="true" outlineLevel="0" collapsed="false">
      <c r="A76" s="10" t="s">
        <v>522</v>
      </c>
      <c r="B76" s="10" t="s">
        <v>523</v>
      </c>
      <c r="C76" s="60" t="n">
        <v>0</v>
      </c>
      <c r="D76" s="60" t="n">
        <v>0.0143</v>
      </c>
      <c r="E76" s="60" t="n">
        <v>0.0212</v>
      </c>
      <c r="F76" s="60" t="n">
        <v>0.0177</v>
      </c>
      <c r="G76" s="60" t="n">
        <v>0.02585</v>
      </c>
      <c r="H76" s="60" t="n">
        <f aca="false">1-(1-D76)^(1/3)</f>
        <v>0.00478957002346114</v>
      </c>
    </row>
    <row r="77" customFormat="false" ht="15" hidden="false" customHeight="true" outlineLevel="0" collapsed="false">
      <c r="A77" s="10" t="s">
        <v>525</v>
      </c>
      <c r="B77" s="10" t="s">
        <v>526</v>
      </c>
      <c r="C77" s="60" t="n">
        <v>0</v>
      </c>
      <c r="D77" s="60" t="n">
        <v>0</v>
      </c>
      <c r="E77" s="60" t="n">
        <v>0.0001</v>
      </c>
      <c r="F77" s="60" t="n">
        <v>0</v>
      </c>
      <c r="G77" s="60" t="n">
        <v>0.00015</v>
      </c>
      <c r="H77" s="60" t="n">
        <f aca="false">1-(1-D77)^(1/3)</f>
        <v>0</v>
      </c>
    </row>
    <row r="78" customFormat="false" ht="15" hidden="false" customHeight="true" outlineLevel="0" collapsed="false">
      <c r="A78" s="10" t="s">
        <v>527</v>
      </c>
      <c r="B78" s="10" t="s">
        <v>528</v>
      </c>
      <c r="C78" s="60" t="n">
        <v>5E-005</v>
      </c>
      <c r="D78" s="60" t="n">
        <v>0.0224</v>
      </c>
      <c r="E78" s="60" t="n">
        <v>0.02775</v>
      </c>
      <c r="F78" s="60" t="n">
        <v>0.03035</v>
      </c>
      <c r="G78" s="60" t="n">
        <v>0.03635</v>
      </c>
      <c r="H78" s="60" t="n">
        <f aca="false">1-(1-D78)^(1/3)</f>
        <v>0.00752312210321438</v>
      </c>
    </row>
    <row r="79" customFormat="false" ht="15" hidden="false" customHeight="true" outlineLevel="0" collapsed="false">
      <c r="A79" s="10" t="s">
        <v>530</v>
      </c>
      <c r="B79" s="10" t="s">
        <v>531</v>
      </c>
      <c r="C79" s="60" t="n">
        <v>0</v>
      </c>
      <c r="D79" s="60" t="n">
        <v>0.00055</v>
      </c>
      <c r="E79" s="60" t="n">
        <v>0.00315</v>
      </c>
      <c r="F79" s="60" t="n">
        <v>0.00105</v>
      </c>
      <c r="G79" s="60" t="n">
        <v>0.00405</v>
      </c>
      <c r="H79" s="60" t="n">
        <f aca="false">1-(1-D79)^(1/3)</f>
        <v>0.000183366954718323</v>
      </c>
    </row>
    <row r="80" customFormat="false" ht="15" hidden="false" customHeight="true" outlineLevel="0" collapsed="false">
      <c r="A80" s="10" t="s">
        <v>532</v>
      </c>
      <c r="B80" s="10" t="s">
        <v>533</v>
      </c>
      <c r="C80" s="60" t="n">
        <v>0</v>
      </c>
      <c r="D80" s="60" t="n">
        <v>5E-005</v>
      </c>
      <c r="E80" s="60" t="n">
        <v>0.0009</v>
      </c>
      <c r="F80" s="60" t="n">
        <v>5E-005</v>
      </c>
      <c r="G80" s="60" t="n">
        <v>0.00155</v>
      </c>
      <c r="H80" s="60" t="n">
        <f aca="false">1-(1-D80)^(1/3)</f>
        <v>1.66669444521261E-005</v>
      </c>
    </row>
    <row r="81" customFormat="false" ht="15" hidden="false" customHeight="true" outlineLevel="0" collapsed="false">
      <c r="A81" s="10" t="s">
        <v>534</v>
      </c>
      <c r="B81" s="10" t="s">
        <v>534</v>
      </c>
      <c r="C81" s="60" t="n">
        <v>0</v>
      </c>
      <c r="D81" s="60" t="n">
        <v>0</v>
      </c>
      <c r="E81" s="60" t="n">
        <v>0</v>
      </c>
      <c r="F81" s="60" t="n">
        <v>0</v>
      </c>
      <c r="G81" s="60" t="n">
        <v>0</v>
      </c>
      <c r="H81" s="60" t="n">
        <f aca="false">1-(1-D81)^(1/3)</f>
        <v>0</v>
      </c>
    </row>
    <row r="82" customFormat="false" ht="15" hidden="false" customHeight="true" outlineLevel="0" collapsed="false">
      <c r="A82" s="10" t="s">
        <v>535</v>
      </c>
      <c r="B82" s="10" t="s">
        <v>535</v>
      </c>
      <c r="C82" s="60" t="n">
        <v>0</v>
      </c>
      <c r="D82" s="60" t="n">
        <v>0.0119</v>
      </c>
      <c r="E82" s="60" t="n">
        <v>0.0177</v>
      </c>
      <c r="F82" s="60" t="n">
        <v>0.01715</v>
      </c>
      <c r="G82" s="60" t="n">
        <v>0.0236</v>
      </c>
      <c r="H82" s="60" t="n">
        <f aca="false">1-(1-D82)^(1/3)</f>
        <v>0.00398250596578298</v>
      </c>
    </row>
    <row r="83" customFormat="false" ht="15" hidden="false" customHeight="true" outlineLevel="0" collapsed="false">
      <c r="A83" s="10" t="s">
        <v>537</v>
      </c>
      <c r="B83" s="10" t="s">
        <v>537</v>
      </c>
      <c r="C83" s="60" t="n">
        <v>0</v>
      </c>
      <c r="D83" s="60" t="n">
        <v>0.0001</v>
      </c>
      <c r="E83" s="60" t="n">
        <v>0.0013</v>
      </c>
      <c r="F83" s="60" t="n">
        <v>0.00025</v>
      </c>
      <c r="G83" s="60" t="n">
        <v>0.0017</v>
      </c>
      <c r="H83" s="60" t="n">
        <f aca="false">1-(1-D83)^(1/3)</f>
        <v>3.33344445061501E-005</v>
      </c>
    </row>
    <row r="84" customFormat="false" ht="15" hidden="false" customHeight="true" outlineLevel="0" collapsed="false">
      <c r="A84" s="10" t="s">
        <v>538</v>
      </c>
      <c r="B84" s="10" t="s">
        <v>539</v>
      </c>
      <c r="C84" s="60" t="n">
        <v>0</v>
      </c>
      <c r="D84" s="60" t="n">
        <v>0</v>
      </c>
      <c r="E84" s="60" t="n">
        <v>0.0001</v>
      </c>
      <c r="F84" s="60" t="n">
        <v>0</v>
      </c>
      <c r="G84" s="60" t="n">
        <v>0.0001</v>
      </c>
      <c r="H84" s="60" t="n">
        <f aca="false">1-(1-D84)^(1/3)</f>
        <v>0</v>
      </c>
    </row>
    <row r="85" customFormat="false" ht="15" hidden="false" customHeight="true" outlineLevel="0" collapsed="false">
      <c r="A85" s="10" t="s">
        <v>540</v>
      </c>
      <c r="B85" s="10" t="s">
        <v>541</v>
      </c>
      <c r="C85" s="60" t="n">
        <v>0</v>
      </c>
      <c r="D85" s="60" t="n">
        <v>0</v>
      </c>
      <c r="E85" s="60" t="n">
        <v>0.00125</v>
      </c>
      <c r="F85" s="60" t="n">
        <v>5E-005</v>
      </c>
      <c r="G85" s="60" t="n">
        <v>0.00165</v>
      </c>
      <c r="H85" s="60" t="n">
        <f aca="false">1-(1-D85)^(1/3)</f>
        <v>0</v>
      </c>
    </row>
    <row r="86" customFormat="false" ht="15" hidden="false" customHeight="true" outlineLevel="0" collapsed="false">
      <c r="A86" s="10" t="s">
        <v>543</v>
      </c>
      <c r="B86" s="10" t="s">
        <v>544</v>
      </c>
      <c r="C86" s="60" t="n">
        <v>0</v>
      </c>
      <c r="D86" s="60" t="n">
        <v>0</v>
      </c>
      <c r="E86" s="60" t="n">
        <v>0</v>
      </c>
      <c r="F86" s="60" t="n">
        <v>0</v>
      </c>
      <c r="G86" s="60" t="n">
        <v>0</v>
      </c>
      <c r="H86" s="60" t="n">
        <f aca="false">1-(1-D86)^(1/3)</f>
        <v>0</v>
      </c>
    </row>
    <row r="88" customFormat="false" ht="15" hidden="false" customHeight="true" outlineLevel="0" collapsed="false">
      <c r="A88" s="9" t="s">
        <v>1247</v>
      </c>
    </row>
    <row r="89" customFormat="false" ht="15" hidden="false" customHeight="true" outlineLevel="0" collapsed="false">
      <c r="A89" s="10" t="s">
        <v>1248</v>
      </c>
    </row>
    <row r="90" customFormat="false" ht="15" hidden="false" customHeight="true" outlineLevel="0" collapsed="false">
      <c r="A90" s="10" t="s">
        <v>1249</v>
      </c>
    </row>
    <row r="91" customFormat="false" ht="15" hidden="false" customHeight="true" outlineLevel="0" collapsed="false">
      <c r="A91" s="10" t="s">
        <v>1250</v>
      </c>
    </row>
    <row r="92" customFormat="false" ht="15" hidden="false" customHeight="true" outlineLevel="0" collapsed="false">
      <c r="A92" s="10" t="s">
        <v>1251</v>
      </c>
    </row>
    <row r="93" customFormat="false" ht="15" hidden="false" customHeight="true" outlineLevel="0" collapsed="false">
      <c r="A93" s="10" t="s">
        <v>1252</v>
      </c>
    </row>
    <row r="94" customFormat="false" ht="15" hidden="false" customHeight="true" outlineLevel="0" collapsed="false">
      <c r="A94" s="10" t="s">
        <v>1253</v>
      </c>
    </row>
    <row r="95" customFormat="false" ht="15" hidden="false" customHeight="true" outlineLevel="0" collapsed="false">
      <c r="A95" s="10" t="s">
        <v>1254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9" min="3" style="1" width="11"/>
  </cols>
  <sheetData>
    <row r="1" customFormat="false" ht="17.25" hidden="false" customHeight="true" outlineLevel="0" collapsed="false">
      <c r="A1" s="5" t="s">
        <v>1255</v>
      </c>
    </row>
    <row r="4" customFormat="false" ht="15" hidden="false" customHeight="true" outlineLevel="0" collapsed="false">
      <c r="C4" s="9" t="s">
        <v>1017</v>
      </c>
      <c r="N4" s="9" t="s">
        <v>1256</v>
      </c>
      <c r="Y4" s="9" t="s">
        <v>1257</v>
      </c>
    </row>
    <row r="5" customFormat="false" ht="39.75" hidden="false" customHeight="true" outlineLevel="0" collapsed="false">
      <c r="A5" s="21" t="s">
        <v>51</v>
      </c>
      <c r="B5" s="21" t="s">
        <v>52</v>
      </c>
      <c r="C5" s="21" t="s">
        <v>68</v>
      </c>
      <c r="D5" s="21" t="s">
        <v>69</v>
      </c>
      <c r="E5" s="21" t="s">
        <v>70</v>
      </c>
      <c r="F5" s="21" t="s">
        <v>71</v>
      </c>
      <c r="G5" s="21" t="s">
        <v>72</v>
      </c>
      <c r="H5" s="21" t="s">
        <v>73</v>
      </c>
      <c r="I5" s="21" t="s">
        <v>74</v>
      </c>
      <c r="J5" s="21" t="s">
        <v>18</v>
      </c>
      <c r="K5" s="21" t="s">
        <v>75</v>
      </c>
      <c r="L5" s="21" t="s">
        <v>76</v>
      </c>
      <c r="M5" s="21"/>
      <c r="N5" s="21" t="s">
        <v>68</v>
      </c>
      <c r="O5" s="21" t="s">
        <v>69</v>
      </c>
      <c r="P5" s="21" t="s">
        <v>70</v>
      </c>
      <c r="Q5" s="21" t="s">
        <v>71</v>
      </c>
      <c r="R5" s="21" t="s">
        <v>72</v>
      </c>
      <c r="S5" s="21" t="s">
        <v>73</v>
      </c>
      <c r="T5" s="21" t="s">
        <v>74</v>
      </c>
      <c r="U5" s="21" t="s">
        <v>18</v>
      </c>
      <c r="V5" s="21" t="s">
        <v>75</v>
      </c>
      <c r="W5" s="21" t="s">
        <v>76</v>
      </c>
      <c r="X5" s="21"/>
      <c r="Y5" s="21" t="s">
        <v>68</v>
      </c>
      <c r="Z5" s="21" t="s">
        <v>69</v>
      </c>
      <c r="AA5" s="21" t="s">
        <v>70</v>
      </c>
      <c r="AB5" s="21" t="s">
        <v>71</v>
      </c>
      <c r="AC5" s="21" t="s">
        <v>72</v>
      </c>
      <c r="AD5" s="21" t="s">
        <v>73</v>
      </c>
      <c r="AE5" s="21" t="s">
        <v>74</v>
      </c>
      <c r="AF5" s="21" t="s">
        <v>18</v>
      </c>
      <c r="AG5" s="21" t="s">
        <v>75</v>
      </c>
      <c r="AH5" s="21" t="s">
        <v>76</v>
      </c>
    </row>
    <row r="6" customFormat="false" ht="15" hidden="false" customHeight="true" outlineLevel="0" collapsed="false">
      <c r="A6" s="10" t="s">
        <v>496</v>
      </c>
      <c r="B6" s="10" t="s">
        <v>497</v>
      </c>
      <c r="C6" s="60" t="n">
        <v>0.138529265392412</v>
      </c>
      <c r="D6" s="60" t="n">
        <v>0.134470365279134</v>
      </c>
      <c r="E6" s="60" t="n">
        <v>0.136109381527383</v>
      </c>
      <c r="F6" s="60" t="n">
        <v>0.105049171630252</v>
      </c>
      <c r="G6" s="60" t="n">
        <v>0.117031094729984</v>
      </c>
      <c r="H6" s="60" t="n">
        <v>0.112208314080319</v>
      </c>
      <c r="I6" s="60" t="n">
        <v>0.107388486261441</v>
      </c>
      <c r="J6" s="60" t="n">
        <v>0.0579926268046499</v>
      </c>
      <c r="K6" s="60" t="n">
        <v>0.117031040111884</v>
      </c>
      <c r="L6" s="60" t="n">
        <v>0.0524070660904187</v>
      </c>
      <c r="N6" s="55" t="n">
        <v>1.16788514114942</v>
      </c>
      <c r="O6" s="55" t="n">
        <v>5.41967406162745</v>
      </c>
      <c r="P6" s="55" t="n">
        <v>6.08393788942233</v>
      </c>
      <c r="Q6" s="55" t="n">
        <v>26.204890284276</v>
      </c>
      <c r="R6" s="55" t="n">
        <v>7.42795263196734</v>
      </c>
      <c r="S6" s="55" t="n">
        <v>7.11565406874875</v>
      </c>
      <c r="T6" s="55" t="n">
        <v>49.3456078444173</v>
      </c>
      <c r="U6" s="55" t="n">
        <v>90.5415498016209</v>
      </c>
      <c r="V6" s="55" t="n">
        <v>7.42795263196734</v>
      </c>
      <c r="W6" s="55" t="n">
        <v>93.2025817186401</v>
      </c>
      <c r="Y6" s="55" t="n">
        <v>1.62134901566897</v>
      </c>
      <c r="Z6" s="55" t="n">
        <v>7.54779698714064</v>
      </c>
      <c r="AA6" s="55" t="n">
        <v>6.90516543495858</v>
      </c>
      <c r="AB6" s="55" t="n">
        <v>63.2563904326121</v>
      </c>
      <c r="AC6" s="55" t="n">
        <v>35.7857348899333</v>
      </c>
      <c r="AD6" s="55" t="n">
        <v>59.0931462056241</v>
      </c>
      <c r="AE6" s="55" t="n">
        <v>69.6172402481427</v>
      </c>
      <c r="AF6" s="55" t="n">
        <v>167.342947321811</v>
      </c>
      <c r="AG6" s="55" t="n">
        <v>35.7858601114869</v>
      </c>
      <c r="AH6" s="55" t="n">
        <v>180.514704886896</v>
      </c>
    </row>
    <row r="7" customFormat="false" ht="15" hidden="false" customHeight="true" outlineLevel="0" collapsed="false">
      <c r="A7" s="10" t="s">
        <v>499</v>
      </c>
      <c r="B7" s="10" t="s">
        <v>500</v>
      </c>
      <c r="C7" s="60" t="n">
        <v>0.108215272367633</v>
      </c>
      <c r="D7" s="60" t="n">
        <v>0.102876216579296</v>
      </c>
      <c r="E7" s="60" t="n">
        <v>0.105422070554138</v>
      </c>
      <c r="F7" s="60" t="n">
        <v>0.0747680240456693</v>
      </c>
      <c r="G7" s="60" t="n">
        <v>0.0865713449328823</v>
      </c>
      <c r="H7" s="60" t="n">
        <v>0.0643355617411877</v>
      </c>
      <c r="I7" s="60" t="n">
        <v>0.0576951693154242</v>
      </c>
      <c r="J7" s="60" t="n">
        <v>0.0269501064254917</v>
      </c>
      <c r="K7" s="60" t="n">
        <v>0.086571315105644</v>
      </c>
      <c r="L7" s="60" t="n">
        <v>0.0112220627235903</v>
      </c>
      <c r="N7" s="55" t="n">
        <v>0.823247440328858</v>
      </c>
      <c r="O7" s="55" t="n">
        <v>5.76140845501338</v>
      </c>
      <c r="P7" s="55" t="n">
        <v>5.75223552508695</v>
      </c>
      <c r="Q7" s="55" t="n">
        <v>26.4888222778081</v>
      </c>
      <c r="R7" s="55" t="n">
        <v>6.2576810013543</v>
      </c>
      <c r="S7" s="55" t="n">
        <v>5.44490967676536</v>
      </c>
      <c r="T7" s="55" t="n">
        <v>58.608171246804</v>
      </c>
      <c r="U7" s="55" t="n">
        <v>72.5047308269883</v>
      </c>
      <c r="V7" s="55" t="n">
        <v>6.2576810013543</v>
      </c>
      <c r="W7" s="55" t="n">
        <v>73.7539159855252</v>
      </c>
      <c r="Y7" s="55" t="n">
        <v>1.02616472867384</v>
      </c>
      <c r="Z7" s="55" t="n">
        <v>8.88770926683285</v>
      </c>
      <c r="AA7" s="55" t="n">
        <v>6.12068551630785</v>
      </c>
      <c r="AB7" s="55" t="n">
        <v>55.2121309902589</v>
      </c>
      <c r="AC7" s="55" t="n">
        <v>32.6076501757618</v>
      </c>
      <c r="AD7" s="55" t="n">
        <v>81.0583689402478</v>
      </c>
      <c r="AE7" s="55" t="n">
        <v>93.1697806855977</v>
      </c>
      <c r="AF7" s="55" t="n">
        <v>145.313356961789</v>
      </c>
      <c r="AG7" s="55" t="n">
        <v>32.6077072977566</v>
      </c>
      <c r="AH7" s="55" t="n">
        <v>176.294646182319</v>
      </c>
    </row>
    <row r="8" customFormat="false" ht="15" hidden="false" customHeight="true" outlineLevel="0" collapsed="false">
      <c r="A8" s="10" t="s">
        <v>501</v>
      </c>
      <c r="B8" s="10" t="s">
        <v>502</v>
      </c>
      <c r="C8" s="60" t="n">
        <v>0.127146698662514</v>
      </c>
      <c r="D8" s="60" t="n">
        <v>0.122666203733852</v>
      </c>
      <c r="E8" s="60" t="n">
        <v>0.122988238649323</v>
      </c>
      <c r="F8" s="60" t="n">
        <v>0.0896767288239437</v>
      </c>
      <c r="G8" s="60" t="n">
        <v>0.105123989907764</v>
      </c>
      <c r="H8" s="60" t="n">
        <v>0.098173897709564</v>
      </c>
      <c r="I8" s="60" t="n">
        <v>0.097970292630137</v>
      </c>
      <c r="J8" s="60" t="n">
        <v>0.0402347976121738</v>
      </c>
      <c r="K8" s="60" t="n">
        <v>0.105123942674695</v>
      </c>
      <c r="L8" s="60" t="n">
        <v>0.0339702039223224</v>
      </c>
      <c r="N8" s="55" t="n">
        <v>0.594847440328858</v>
      </c>
      <c r="O8" s="55" t="n">
        <v>3.53319562843635</v>
      </c>
      <c r="P8" s="55" t="n">
        <v>5.57709386064827</v>
      </c>
      <c r="Q8" s="55" t="n">
        <v>16.6891524946928</v>
      </c>
      <c r="R8" s="55" t="n">
        <v>3.5449216592183</v>
      </c>
      <c r="S8" s="55" t="n">
        <v>3.74641890117961</v>
      </c>
      <c r="T8" s="55" t="n">
        <v>27.2343785083951</v>
      </c>
      <c r="U8" s="55" t="n">
        <v>57.9164019699365</v>
      </c>
      <c r="V8" s="55" t="n">
        <v>3.5449216592183</v>
      </c>
      <c r="W8" s="55" t="n">
        <v>60.3207450093173</v>
      </c>
      <c r="Y8" s="55" t="n">
        <v>0.767981917649297</v>
      </c>
      <c r="Z8" s="55" t="n">
        <v>4.77637865647024</v>
      </c>
      <c r="AA8" s="55" t="n">
        <v>5.89078880789866</v>
      </c>
      <c r="AB8" s="55" t="n">
        <v>41.403599649873</v>
      </c>
      <c r="AC8" s="55" t="n">
        <v>21.4226446742575</v>
      </c>
      <c r="AD8" s="55" t="n">
        <v>36.459575411588</v>
      </c>
      <c r="AE8" s="55" t="n">
        <v>36.7103965089342</v>
      </c>
      <c r="AF8" s="55" t="n">
        <v>103.869533047288</v>
      </c>
      <c r="AG8" s="55" t="n">
        <v>21.4227057699954</v>
      </c>
      <c r="AH8" s="55" t="n">
        <v>112.204274251138</v>
      </c>
    </row>
    <row r="9" customFormat="false" ht="15" hidden="false" customHeight="true" outlineLevel="0" collapsed="false">
      <c r="A9" s="10" t="s">
        <v>503</v>
      </c>
      <c r="B9" s="10" t="s">
        <v>504</v>
      </c>
      <c r="C9" s="60" t="n">
        <v>0.0997843942889806</v>
      </c>
      <c r="D9" s="60" t="n">
        <v>0.0967232923620729</v>
      </c>
      <c r="E9" s="60" t="n">
        <v>0.0991214247707002</v>
      </c>
      <c r="F9" s="60" t="n">
        <v>0.0545044265317229</v>
      </c>
      <c r="G9" s="60" t="n">
        <v>0.0770439139388084</v>
      </c>
      <c r="H9" s="60" t="n">
        <v>0.058255520812471</v>
      </c>
      <c r="I9" s="60" t="n">
        <v>0.0596871650031879</v>
      </c>
      <c r="J9" s="60" t="n">
        <v>0.00207390282086281</v>
      </c>
      <c r="K9" s="60" t="n">
        <v>0.0770438756443727</v>
      </c>
      <c r="L9" s="60" t="n">
        <v>-0.00800731538307882</v>
      </c>
      <c r="N9" s="55" t="n">
        <v>0.76244</v>
      </c>
      <c r="O9" s="55" t="n">
        <v>2.21375315503193</v>
      </c>
      <c r="P9" s="55" t="n">
        <v>1.53274857431686</v>
      </c>
      <c r="Q9" s="55" t="n">
        <v>26.5773705614821</v>
      </c>
      <c r="R9" s="55" t="n">
        <v>3.38105819827986</v>
      </c>
      <c r="S9" s="55" t="n">
        <v>2.83007671997236</v>
      </c>
      <c r="T9" s="55" t="n">
        <v>30.8593858599862</v>
      </c>
      <c r="U9" s="55" t="n">
        <v>73.1828378268631</v>
      </c>
      <c r="V9" s="55" t="n">
        <v>3.38105819827986</v>
      </c>
      <c r="W9" s="55" t="n">
        <v>76.8398554033601</v>
      </c>
      <c r="Y9" s="55" t="n">
        <v>0.908868531623864</v>
      </c>
      <c r="Z9" s="55" t="n">
        <v>3.71423422222766</v>
      </c>
      <c r="AA9" s="55" t="n">
        <v>1.79711509221589</v>
      </c>
      <c r="AB9" s="55" t="n">
        <v>57.9237177994376</v>
      </c>
      <c r="AC9" s="55" t="n">
        <v>26.2153923100238</v>
      </c>
      <c r="AD9" s="55" t="n">
        <v>56.5492532154514</v>
      </c>
      <c r="AE9" s="55" t="n">
        <v>54.6311363287288</v>
      </c>
      <c r="AF9" s="55" t="n">
        <v>131.599095800657</v>
      </c>
      <c r="AG9" s="55" t="n">
        <v>26.2154461822529</v>
      </c>
      <c r="AH9" s="55" t="n">
        <v>146.186457242269</v>
      </c>
    </row>
    <row r="10" customFormat="false" ht="15" hidden="false" customHeight="true" outlineLevel="0" collapsed="false">
      <c r="A10" s="10" t="s">
        <v>505</v>
      </c>
      <c r="B10" s="10" t="s">
        <v>506</v>
      </c>
      <c r="C10" s="60" t="n">
        <v>0.123149060172353</v>
      </c>
      <c r="D10" s="60" t="n">
        <v>0.117428497644622</v>
      </c>
      <c r="E10" s="60" t="n">
        <v>0.11926580222075</v>
      </c>
      <c r="F10" s="60" t="n">
        <v>0.0690316415245085</v>
      </c>
      <c r="G10" s="60" t="n">
        <v>0.0920530252159596</v>
      </c>
      <c r="H10" s="60" t="n">
        <v>0.0822542042859185</v>
      </c>
      <c r="I10" s="60" t="n">
        <v>0.0869546360063677</v>
      </c>
      <c r="J10" s="60" t="n">
        <v>0.0105156793887712</v>
      </c>
      <c r="K10" s="60" t="n">
        <v>0.092052954229316</v>
      </c>
      <c r="L10" s="60" t="n">
        <v>0.00448699153816131</v>
      </c>
      <c r="N10" s="55" t="n">
        <v>0.447593516369294</v>
      </c>
      <c r="O10" s="55" t="n">
        <v>3.08846743219973</v>
      </c>
      <c r="P10" s="55" t="n">
        <v>3.3444539776147</v>
      </c>
      <c r="Q10" s="55" t="n">
        <v>18.6998175217125</v>
      </c>
      <c r="R10" s="55" t="n">
        <v>4.05707952365431</v>
      </c>
      <c r="S10" s="55" t="n">
        <v>4.96965901317825</v>
      </c>
      <c r="T10" s="55" t="n">
        <v>15.5209140965159</v>
      </c>
      <c r="U10" s="55" t="n">
        <v>48.0969217019943</v>
      </c>
      <c r="V10" s="55" t="n">
        <v>4.05707952365431</v>
      </c>
      <c r="W10" s="55" t="n">
        <v>49.4970050715347</v>
      </c>
      <c r="Y10" s="55" t="n">
        <v>0.787217839187958</v>
      </c>
      <c r="Z10" s="55" t="n">
        <v>4.5015265985877</v>
      </c>
      <c r="AA10" s="55" t="n">
        <v>3.95983958564719</v>
      </c>
      <c r="AB10" s="55" t="n">
        <v>42.1812063182004</v>
      </c>
      <c r="AC10" s="55" t="n">
        <v>22.4323123184891</v>
      </c>
      <c r="AD10" s="55" t="n">
        <v>34.1983150984046</v>
      </c>
      <c r="AE10" s="55" t="n">
        <v>30.3580623827976</v>
      </c>
      <c r="AF10" s="55" t="n">
        <v>92.1213851345239</v>
      </c>
      <c r="AG10" s="55" t="n">
        <v>22.4323732143813</v>
      </c>
      <c r="AH10" s="55" t="n">
        <v>97.440858146388</v>
      </c>
    </row>
    <row r="11" customFormat="false" ht="15" hidden="false" customHeight="true" outlineLevel="0" collapsed="false">
      <c r="A11" s="10" t="s">
        <v>507</v>
      </c>
      <c r="B11" s="10" t="s">
        <v>508</v>
      </c>
      <c r="C11" s="60" t="n">
        <v>0.147566694760986</v>
      </c>
      <c r="D11" s="60" t="n">
        <v>0.13698069719119</v>
      </c>
      <c r="E11" s="60" t="n">
        <v>0.134091488420878</v>
      </c>
      <c r="F11" s="60" t="n">
        <v>0.085473758964223</v>
      </c>
      <c r="G11" s="60" t="n">
        <v>0.110517284441643</v>
      </c>
      <c r="H11" s="60" t="n">
        <v>0.0991758561940802</v>
      </c>
      <c r="I11" s="60" t="n">
        <v>0.107680634422593</v>
      </c>
      <c r="J11" s="60" t="n">
        <v>0.0189677475490801</v>
      </c>
      <c r="K11" s="60" t="n">
        <v>0.110517208580626</v>
      </c>
      <c r="L11" s="60" t="n">
        <v>0.0104923936727544</v>
      </c>
      <c r="N11" s="55" t="n">
        <v>0.596688398940268</v>
      </c>
      <c r="O11" s="55" t="n">
        <v>5.24409616861705</v>
      </c>
      <c r="P11" s="55" t="n">
        <v>8.39783449085271</v>
      </c>
      <c r="Q11" s="55" t="n">
        <v>16.708713364762</v>
      </c>
      <c r="R11" s="55" t="n">
        <v>4.96912070373195</v>
      </c>
      <c r="S11" s="55" t="n">
        <v>5.05596250917626</v>
      </c>
      <c r="T11" s="55" t="n">
        <v>13.1868587848448</v>
      </c>
      <c r="U11" s="55" t="n">
        <v>40.7856044226178</v>
      </c>
      <c r="V11" s="55" t="n">
        <v>4.96912070373195</v>
      </c>
      <c r="W11" s="55" t="n">
        <v>41.8732949271668</v>
      </c>
      <c r="Y11" s="55" t="n">
        <v>0.879763261404367</v>
      </c>
      <c r="Z11" s="55" t="n">
        <v>6.37076961962409</v>
      </c>
      <c r="AA11" s="55" t="n">
        <v>8.9082911988407</v>
      </c>
      <c r="AB11" s="55" t="n">
        <v>35.3284711295717</v>
      </c>
      <c r="AC11" s="55" t="n">
        <v>19.6614920261524</v>
      </c>
      <c r="AD11" s="55" t="n">
        <v>29.7110248795671</v>
      </c>
      <c r="AE11" s="55" t="n">
        <v>24.6438780110194</v>
      </c>
      <c r="AF11" s="55" t="n">
        <v>76.5949372910787</v>
      </c>
      <c r="AG11" s="55" t="n">
        <v>19.6615394840462</v>
      </c>
      <c r="AH11" s="55" t="n">
        <v>82.0485223977548</v>
      </c>
    </row>
    <row r="12" customFormat="false" ht="15" hidden="false" customHeight="true" outlineLevel="0" collapsed="false">
      <c r="A12" s="10" t="s">
        <v>509</v>
      </c>
      <c r="B12" s="10" t="s">
        <v>509</v>
      </c>
      <c r="C12" s="60" t="n">
        <v>0.0974175598843039</v>
      </c>
      <c r="D12" s="60" t="n">
        <v>0.0946182572376537</v>
      </c>
      <c r="E12" s="60" t="n">
        <v>0.0972819890619593</v>
      </c>
      <c r="F12" s="60" t="n">
        <v>0.043278059657362</v>
      </c>
      <c r="G12" s="60" t="n">
        <v>0.0741736059149939</v>
      </c>
      <c r="H12" s="60" t="n">
        <v>0.0629828282000627</v>
      </c>
      <c r="I12" s="60" t="n">
        <v>0.0814517787102983</v>
      </c>
      <c r="J12" s="60" t="n">
        <v>0.00360182651565631</v>
      </c>
      <c r="K12" s="60" t="n">
        <v>0.0741735840334768</v>
      </c>
      <c r="L12" s="60" t="n">
        <v>-0.00346567497862931</v>
      </c>
      <c r="N12" s="55" t="n">
        <v>0.29765</v>
      </c>
      <c r="O12" s="55" t="n">
        <v>0.675364803998633</v>
      </c>
      <c r="P12" s="55" t="n">
        <v>0.352451801082068</v>
      </c>
      <c r="Q12" s="55" t="n">
        <v>13.6851133984312</v>
      </c>
      <c r="R12" s="55" t="n">
        <v>1.0101715904777</v>
      </c>
      <c r="S12" s="55" t="n">
        <v>0.7831525</v>
      </c>
      <c r="T12" s="55" t="n">
        <v>5.68839</v>
      </c>
      <c r="U12" s="55" t="n">
        <v>28.7444507123833</v>
      </c>
      <c r="V12" s="55" t="n">
        <v>1.0101715904777</v>
      </c>
      <c r="W12" s="55" t="n">
        <v>30.4593182782965</v>
      </c>
      <c r="Y12" s="55" t="n">
        <v>0.313286009940626</v>
      </c>
      <c r="Z12" s="55" t="n">
        <v>1.24132854313686</v>
      </c>
      <c r="AA12" s="55" t="n">
        <v>0.38117987777077</v>
      </c>
      <c r="AB12" s="55" t="n">
        <v>26.3426651097728</v>
      </c>
      <c r="AC12" s="55" t="n">
        <v>10.0965510656596</v>
      </c>
      <c r="AD12" s="55" t="n">
        <v>17.5581996374086</v>
      </c>
      <c r="AE12" s="55" t="n">
        <v>8.30894922188259</v>
      </c>
      <c r="AF12" s="55" t="n">
        <v>47.1519017034361</v>
      </c>
      <c r="AG12" s="55" t="n">
        <v>10.0965625718366</v>
      </c>
      <c r="AH12" s="55" t="n">
        <v>50.9744588316414</v>
      </c>
    </row>
    <row r="13" customFormat="false" ht="15" hidden="false" customHeight="true" outlineLevel="0" collapsed="false">
      <c r="A13" s="10" t="s">
        <v>510</v>
      </c>
      <c r="B13" s="10" t="s">
        <v>511</v>
      </c>
      <c r="C13" s="60" t="n">
        <v>0.107621897315671</v>
      </c>
      <c r="D13" s="60" t="n">
        <v>0.105375273350565</v>
      </c>
      <c r="E13" s="60" t="n">
        <v>0.107487903940742</v>
      </c>
      <c r="F13" s="60" t="n">
        <v>0.0790304408798367</v>
      </c>
      <c r="G13" s="60" t="n">
        <v>0.0936073145046478</v>
      </c>
      <c r="H13" s="60" t="n">
        <v>0.083981099432795</v>
      </c>
      <c r="I13" s="60" t="n">
        <v>0.0889753560134028</v>
      </c>
      <c r="J13" s="60" t="n">
        <v>0.0509039617393305</v>
      </c>
      <c r="K13" s="60" t="n">
        <v>0.0936072946416531</v>
      </c>
      <c r="L13" s="60" t="n">
        <v>0.0407632768151156</v>
      </c>
      <c r="N13" s="55" t="n">
        <v>0.282229564137777</v>
      </c>
      <c r="O13" s="55" t="n">
        <v>0.643033156281712</v>
      </c>
      <c r="P13" s="55" t="n">
        <v>0.330813028729004</v>
      </c>
      <c r="Q13" s="55" t="n">
        <v>7.24590438065419</v>
      </c>
      <c r="R13" s="55" t="n">
        <v>1.01851579003319</v>
      </c>
      <c r="S13" s="55" t="n">
        <v>0.785072378839713</v>
      </c>
      <c r="T13" s="55" t="n">
        <v>8.11267987883971</v>
      </c>
      <c r="U13" s="55" t="n">
        <v>14.0514024449052</v>
      </c>
      <c r="V13" s="55" t="n">
        <v>1.01851579003319</v>
      </c>
      <c r="W13" s="55" t="n">
        <v>14.6948037771601</v>
      </c>
      <c r="Y13" s="55" t="n">
        <v>0.306551784175807</v>
      </c>
      <c r="Z13" s="55" t="n">
        <v>0.912768944075113</v>
      </c>
      <c r="AA13" s="55" t="n">
        <v>0.374647217314999</v>
      </c>
      <c r="AB13" s="55" t="n">
        <v>12.8285664421103</v>
      </c>
      <c r="AC13" s="55" t="n">
        <v>5.05020090717489</v>
      </c>
      <c r="AD13" s="55" t="n">
        <v>12.3208052682536</v>
      </c>
      <c r="AE13" s="55" t="n">
        <v>9.78272407398869</v>
      </c>
      <c r="AF13" s="55" t="n">
        <v>27.061055175598</v>
      </c>
      <c r="AG13" s="55" t="n">
        <v>5.05021150626748</v>
      </c>
      <c r="AH13" s="55" t="n">
        <v>32.6268309403629</v>
      </c>
    </row>
    <row r="14" customFormat="false" ht="15" hidden="false" customHeight="true" outlineLevel="0" collapsed="false">
      <c r="A14" s="10" t="s">
        <v>512</v>
      </c>
      <c r="B14" s="10" t="s">
        <v>513</v>
      </c>
      <c r="C14" s="60" t="n">
        <v>0.106550761693164</v>
      </c>
      <c r="D14" s="60" t="n">
        <v>0.10392495060144</v>
      </c>
      <c r="E14" s="60" t="n">
        <v>0.106520134739078</v>
      </c>
      <c r="F14" s="60" t="n">
        <v>0.0568135177027659</v>
      </c>
      <c r="G14" s="60" t="n">
        <v>0.0855964741693157</v>
      </c>
      <c r="H14" s="60" t="n">
        <v>0.0701151349652418</v>
      </c>
      <c r="I14" s="60" t="n">
        <v>0.0881357535698466</v>
      </c>
      <c r="J14" s="60" t="n">
        <v>0.0157292211183521</v>
      </c>
      <c r="K14" s="60" t="n">
        <v>0.0855964568884083</v>
      </c>
      <c r="L14" s="60" t="n">
        <v>0.00486050712149041</v>
      </c>
      <c r="N14" s="55" t="n">
        <v>0.2832</v>
      </c>
      <c r="O14" s="55" t="n">
        <v>0.58812975</v>
      </c>
      <c r="P14" s="55" t="n">
        <v>0.2898</v>
      </c>
      <c r="Q14" s="55" t="n">
        <v>10.8562075977176</v>
      </c>
      <c r="R14" s="55" t="n">
        <v>0.869906</v>
      </c>
      <c r="S14" s="55" t="n">
        <v>0.6150525</v>
      </c>
      <c r="T14" s="55" t="n">
        <v>6.5438675</v>
      </c>
      <c r="U14" s="55" t="n">
        <v>22.0731438863716</v>
      </c>
      <c r="V14" s="55" t="n">
        <v>0.869906</v>
      </c>
      <c r="W14" s="55" t="n">
        <v>23.4127201851126</v>
      </c>
      <c r="Y14" s="55" t="n">
        <v>0.291381100891992</v>
      </c>
      <c r="Z14" s="55" t="n">
        <v>0.97645839360141</v>
      </c>
      <c r="AA14" s="55" t="n">
        <v>0.304605819665965</v>
      </c>
      <c r="AB14" s="55" t="n">
        <v>20.541319208743</v>
      </c>
      <c r="AC14" s="55" t="n">
        <v>7.49141457637394</v>
      </c>
      <c r="AD14" s="55" t="n">
        <v>16.0242847220086</v>
      </c>
      <c r="AE14" s="55" t="n">
        <v>8.24298160854022</v>
      </c>
      <c r="AF14" s="55" t="n">
        <v>38.9647721067832</v>
      </c>
      <c r="AG14" s="55" t="n">
        <v>7.49142241136456</v>
      </c>
      <c r="AH14" s="55" t="n">
        <v>44.0333316669357</v>
      </c>
    </row>
    <row r="15" customFormat="false" ht="15" hidden="false" customHeight="true" outlineLevel="0" collapsed="false">
      <c r="A15" s="10" t="s">
        <v>514</v>
      </c>
      <c r="B15" s="10" t="s">
        <v>515</v>
      </c>
      <c r="C15" s="60" t="n">
        <v>0.10896220731431</v>
      </c>
      <c r="D15" s="60" t="n">
        <v>0.10412336765017</v>
      </c>
      <c r="E15" s="60" t="n">
        <v>0.10839790988922</v>
      </c>
      <c r="F15" s="60" t="n">
        <v>0.0112737208269193</v>
      </c>
      <c r="G15" s="60" t="n">
        <v>0.0602898121340718</v>
      </c>
      <c r="H15" s="60" t="n">
        <v>0.0203271174714541</v>
      </c>
      <c r="I15" s="60" t="n">
        <v>0.0319475910049232</v>
      </c>
      <c r="J15" s="60" t="n">
        <v>-0.112909158592408</v>
      </c>
      <c r="K15" s="60" t="n">
        <v>0.0602897172838664</v>
      </c>
      <c r="L15" s="60" t="n">
        <v>-0.13088735903817</v>
      </c>
      <c r="N15" s="55" t="n">
        <v>0.04445</v>
      </c>
      <c r="O15" s="55" t="n">
        <v>0.20391975</v>
      </c>
      <c r="P15" s="55" t="n">
        <v>0.094125</v>
      </c>
      <c r="Q15" s="55" t="n">
        <v>5.31815483906397</v>
      </c>
      <c r="R15" s="55" t="n">
        <v>0.410816</v>
      </c>
      <c r="S15" s="55" t="n">
        <v>0.4007925</v>
      </c>
      <c r="T15" s="55" t="n">
        <v>6.22166</v>
      </c>
      <c r="U15" s="55" t="n">
        <v>17.082082819929</v>
      </c>
      <c r="V15" s="55" t="n">
        <v>0.410816</v>
      </c>
      <c r="W15" s="55" t="n">
        <v>18.0233299964329</v>
      </c>
      <c r="Y15" s="55" t="n">
        <v>0.0799136516080485</v>
      </c>
      <c r="Z15" s="55" t="n">
        <v>0.613857053469926</v>
      </c>
      <c r="AA15" s="55" t="n">
        <v>0.15925386957563</v>
      </c>
      <c r="AB15" s="55" t="n">
        <v>13.7356605943219</v>
      </c>
      <c r="AC15" s="55" t="n">
        <v>6.49941503464698</v>
      </c>
      <c r="AD15" s="55" t="n">
        <v>12.5420072835136</v>
      </c>
      <c r="AE15" s="55" t="n">
        <v>10.9081687047078</v>
      </c>
      <c r="AF15" s="55" t="n">
        <v>32.54502991394</v>
      </c>
      <c r="AG15" s="55" t="n">
        <v>6.4994290373828</v>
      </c>
      <c r="AH15" s="55" t="n">
        <v>35.274983695228</v>
      </c>
    </row>
    <row r="16" customFormat="false" ht="15" hidden="false" customHeight="true" outlineLevel="0" collapsed="false">
      <c r="A16" s="10" t="s">
        <v>516</v>
      </c>
      <c r="B16" s="10" t="s">
        <v>517</v>
      </c>
      <c r="C16" s="60" t="n">
        <v>0.109077025513588</v>
      </c>
      <c r="D16" s="60" t="n">
        <v>0.106506506648857</v>
      </c>
      <c r="E16" s="60" t="n">
        <v>0.108389838919913</v>
      </c>
      <c r="F16" s="60" t="n">
        <v>0.0982239568555119</v>
      </c>
      <c r="G16" s="60" t="n">
        <v>0.0942492720985564</v>
      </c>
      <c r="H16" s="60" t="n">
        <v>0.0895528971774378</v>
      </c>
      <c r="I16" s="60" t="n">
        <v>0.0472884533836443</v>
      </c>
      <c r="J16" s="60" t="n">
        <v>0.0334695551461126</v>
      </c>
      <c r="K16" s="60" t="n">
        <v>0.0942491863135459</v>
      </c>
      <c r="L16" s="60" t="n">
        <v>0.0236443690377904</v>
      </c>
      <c r="N16" s="55" t="n">
        <v>0.033699</v>
      </c>
      <c r="O16" s="55" t="n">
        <v>0.2343682025</v>
      </c>
      <c r="P16" s="55" t="n">
        <v>0.1283615</v>
      </c>
      <c r="Q16" s="55" t="n">
        <v>-0.891558201858068</v>
      </c>
      <c r="R16" s="55" t="n">
        <v>0.46338629</v>
      </c>
      <c r="S16" s="55" t="n">
        <v>0.677684175</v>
      </c>
      <c r="T16" s="55" t="n">
        <v>8.234059</v>
      </c>
      <c r="U16" s="55" t="n">
        <v>6.25249274416618</v>
      </c>
      <c r="V16" s="55" t="n">
        <v>0.46338629</v>
      </c>
      <c r="W16" s="55" t="n">
        <v>6.25743910788844</v>
      </c>
      <c r="Y16" s="55" t="n">
        <v>0.079026506493769</v>
      </c>
      <c r="Z16" s="55" t="n">
        <v>0.367772544996774</v>
      </c>
      <c r="AA16" s="55" t="n">
        <v>0.210828895160729</v>
      </c>
      <c r="AB16" s="55" t="n">
        <v>1.21867732886846</v>
      </c>
      <c r="AC16" s="55" t="n">
        <v>2.01913909207173</v>
      </c>
      <c r="AD16" s="55" t="n">
        <v>3.82375432136744</v>
      </c>
      <c r="AE16" s="55" t="n">
        <v>11.930074641017</v>
      </c>
      <c r="AF16" s="55" t="n">
        <v>14.0669824688136</v>
      </c>
      <c r="AG16" s="55" t="n">
        <v>2.01915636831499</v>
      </c>
      <c r="AH16" s="55" t="n">
        <v>16.102210820036</v>
      </c>
    </row>
    <row r="17" customFormat="false" ht="15" hidden="false" customHeight="true" outlineLevel="0" collapsed="false">
      <c r="A17" s="10" t="s">
        <v>518</v>
      </c>
      <c r="B17" s="10" t="s">
        <v>519</v>
      </c>
      <c r="C17" s="60" t="n">
        <v>0.10645955659052</v>
      </c>
      <c r="D17" s="60" t="n">
        <v>0.103702361073139</v>
      </c>
      <c r="E17" s="60" t="n">
        <v>0.10645314517209</v>
      </c>
      <c r="F17" s="60" t="n">
        <v>0.0822520524214648</v>
      </c>
      <c r="G17" s="60" t="n">
        <v>0.0954913601068934</v>
      </c>
      <c r="H17" s="60" t="n">
        <v>0.0977174477540234</v>
      </c>
      <c r="I17" s="60" t="n">
        <v>0.09615190574219</v>
      </c>
      <c r="J17" s="60" t="n">
        <v>0.0594960655409115</v>
      </c>
      <c r="K17" s="60" t="n">
        <v>0.0954913564384599</v>
      </c>
      <c r="L17" s="60" t="n">
        <v>0.057053724273762</v>
      </c>
      <c r="N17" s="55" t="n">
        <v>0.23135</v>
      </c>
      <c r="O17" s="55" t="n">
        <v>0.512952</v>
      </c>
      <c r="P17" s="55" t="n">
        <v>0.2315625</v>
      </c>
      <c r="Q17" s="55" t="n">
        <v>3.0618741370574</v>
      </c>
      <c r="R17" s="55" t="n">
        <v>0.760847</v>
      </c>
      <c r="S17" s="55" t="n">
        <v>0.57029</v>
      </c>
      <c r="T17" s="55" t="n">
        <v>1.9583275</v>
      </c>
      <c r="U17" s="55" t="n">
        <v>6.43289912719403</v>
      </c>
      <c r="V17" s="55" t="n">
        <v>0.760847</v>
      </c>
      <c r="W17" s="55" t="n">
        <v>6.55138601871443</v>
      </c>
      <c r="Y17" s="55" t="n">
        <v>0.232565853390103</v>
      </c>
      <c r="Z17" s="55" t="n">
        <v>0.550109587357566</v>
      </c>
      <c r="AA17" s="55" t="n">
        <v>0.233749401232125</v>
      </c>
      <c r="AB17" s="55" t="n">
        <v>3.94208467914748</v>
      </c>
      <c r="AC17" s="55" t="n">
        <v>1.37590967048086</v>
      </c>
      <c r="AD17" s="55" t="n">
        <v>1.84635914460728</v>
      </c>
      <c r="AE17" s="55" t="n">
        <v>2.13535819999173</v>
      </c>
      <c r="AF17" s="55" t="n">
        <v>8.02338840523956</v>
      </c>
      <c r="AG17" s="55" t="n">
        <v>1.37591038153332</v>
      </c>
      <c r="AH17" s="55" t="n">
        <v>8.51031309898863</v>
      </c>
    </row>
    <row r="18" customFormat="false" ht="15" hidden="false" customHeight="true" outlineLevel="0" collapsed="false">
      <c r="A18" s="10" t="s">
        <v>520</v>
      </c>
      <c r="B18" s="10" t="s">
        <v>521</v>
      </c>
      <c r="C18" s="60" t="n">
        <v>0.104601184799036</v>
      </c>
      <c r="D18" s="60" t="n">
        <v>0.102021100971867</v>
      </c>
      <c r="E18" s="60" t="n">
        <v>0.104559270062251</v>
      </c>
      <c r="F18" s="60" t="n">
        <v>0.0684764546550352</v>
      </c>
      <c r="G18" s="60" t="n">
        <v>0.0886121460256665</v>
      </c>
      <c r="H18" s="60" t="n">
        <v>0.0841008502171096</v>
      </c>
      <c r="I18" s="60" t="n">
        <v>0.0922092265232919</v>
      </c>
      <c r="J18" s="60" t="n">
        <v>0.0396275346594056</v>
      </c>
      <c r="K18" s="60" t="n">
        <v>0.0886121347774414</v>
      </c>
      <c r="L18" s="60" t="n">
        <v>0.0336805402684595</v>
      </c>
      <c r="N18" s="55" t="n">
        <v>0.15065</v>
      </c>
      <c r="O18" s="55" t="n">
        <v>0.3266435</v>
      </c>
      <c r="P18" s="55" t="n">
        <v>0.1552</v>
      </c>
      <c r="Q18" s="55" t="n">
        <v>3.55304368975533</v>
      </c>
      <c r="R18" s="55" t="n">
        <v>0.489136</v>
      </c>
      <c r="S18" s="55" t="n">
        <v>0.355385</v>
      </c>
      <c r="T18" s="55" t="n">
        <v>1.85659</v>
      </c>
      <c r="U18" s="55" t="n">
        <v>7.1255055731551</v>
      </c>
      <c r="V18" s="55" t="n">
        <v>0.489136</v>
      </c>
      <c r="W18" s="55" t="n">
        <v>7.45459678161143</v>
      </c>
      <c r="Y18" s="55" t="n">
        <v>0.154209935130919</v>
      </c>
      <c r="Z18" s="55" t="n">
        <v>0.430775385664824</v>
      </c>
      <c r="AA18" s="55" t="n">
        <v>0.161641417962902</v>
      </c>
      <c r="AB18" s="55" t="n">
        <v>5.95208081914537</v>
      </c>
      <c r="AC18" s="55" t="n">
        <v>2.2035198351318</v>
      </c>
      <c r="AD18" s="55" t="n">
        <v>3.78891925650647</v>
      </c>
      <c r="AE18" s="55" t="n">
        <v>2.35130413742035</v>
      </c>
      <c r="AF18" s="55" t="n">
        <v>11.1119611532784</v>
      </c>
      <c r="AG18" s="55" t="n">
        <v>2.20352192915763</v>
      </c>
      <c r="AH18" s="55" t="n">
        <v>12.2507154272343</v>
      </c>
    </row>
    <row r="19" customFormat="false" ht="15" hidden="false" customHeight="true" outlineLevel="0" collapsed="false">
      <c r="A19" s="10" t="s">
        <v>522</v>
      </c>
      <c r="B19" s="10" t="s">
        <v>523</v>
      </c>
      <c r="C19" s="60" t="n">
        <v>0.142125866869927</v>
      </c>
      <c r="D19" s="60" t="n">
        <v>0.135050652892477</v>
      </c>
      <c r="E19" s="60" t="n">
        <v>0.138986468715537</v>
      </c>
      <c r="F19" s="60" t="n">
        <v>0.065185135030885</v>
      </c>
      <c r="G19" s="60" t="n">
        <v>0.101442630230092</v>
      </c>
      <c r="H19" s="60" t="n">
        <v>0.0822002293846404</v>
      </c>
      <c r="I19" s="60" t="n">
        <v>0.0927844072441491</v>
      </c>
      <c r="J19" s="60" t="n">
        <v>-0.0211494340470956</v>
      </c>
      <c r="K19" s="60" t="n">
        <v>0.101442515876309</v>
      </c>
      <c r="L19" s="60" t="n">
        <v>-0.0321420856523988</v>
      </c>
      <c r="N19" s="55" t="n">
        <v>0.199836</v>
      </c>
      <c r="O19" s="55" t="n">
        <v>2.15120296165363</v>
      </c>
      <c r="P19" s="55" t="n">
        <v>1.49840596627198</v>
      </c>
      <c r="Q19" s="55" t="n">
        <v>15.7470286591165</v>
      </c>
      <c r="R19" s="55" t="n">
        <v>3.61263602060475</v>
      </c>
      <c r="S19" s="55" t="n">
        <v>3.79488617638684</v>
      </c>
      <c r="T19" s="55" t="n">
        <v>9.74472012119342</v>
      </c>
      <c r="U19" s="55" t="n">
        <v>38.2477487713896</v>
      </c>
      <c r="V19" s="55" t="n">
        <v>3.61263602060475</v>
      </c>
      <c r="W19" s="55" t="n">
        <v>39.1675496409651</v>
      </c>
      <c r="Y19" s="55" t="n">
        <v>0.467358225141585</v>
      </c>
      <c r="Z19" s="55" t="n">
        <v>3.23633235340984</v>
      </c>
      <c r="AA19" s="55" t="n">
        <v>1.98584844424957</v>
      </c>
      <c r="AB19" s="55" t="n">
        <v>36.106227125335</v>
      </c>
      <c r="AC19" s="55" t="n">
        <v>17.6920338380067</v>
      </c>
      <c r="AD19" s="55" t="n">
        <v>29.4526891453286</v>
      </c>
      <c r="AE19" s="55" t="n">
        <v>24.3332459378817</v>
      </c>
      <c r="AF19" s="55" t="n">
        <v>80.2600929610457</v>
      </c>
      <c r="AG19" s="55" t="n">
        <v>17.6920919151753</v>
      </c>
      <c r="AH19" s="55" t="n">
        <v>86.0024715233453</v>
      </c>
    </row>
    <row r="20" customFormat="false" ht="15" hidden="false" customHeight="true" outlineLevel="0" collapsed="false">
      <c r="A20" s="10" t="s">
        <v>525</v>
      </c>
      <c r="B20" s="10" t="s">
        <v>526</v>
      </c>
      <c r="C20" s="60" t="n">
        <v>0.140303835672723</v>
      </c>
      <c r="D20" s="60" t="n">
        <v>0.137538052625588</v>
      </c>
      <c r="E20" s="60" t="n">
        <v>0.139476444906031</v>
      </c>
      <c r="F20" s="60" t="n">
        <v>0.115247867318393</v>
      </c>
      <c r="G20" s="60" t="n">
        <v>0.124735253711946</v>
      </c>
      <c r="H20" s="60" t="n">
        <v>0.124832466140101</v>
      </c>
      <c r="I20" s="60" t="n">
        <v>0.116018973952439</v>
      </c>
      <c r="J20" s="60" t="n">
        <v>0.0755269060545672</v>
      </c>
      <c r="K20" s="60" t="n">
        <v>0.124735227245362</v>
      </c>
      <c r="L20" s="60" t="n">
        <v>0.0701666153934877</v>
      </c>
      <c r="N20" s="55" t="n">
        <v>0.404604034565895</v>
      </c>
      <c r="O20" s="55" t="n">
        <v>1.22756891592889</v>
      </c>
      <c r="P20" s="55" t="n">
        <v>1.05655167976902</v>
      </c>
      <c r="Q20" s="55" t="n">
        <v>7.07421864670039</v>
      </c>
      <c r="R20" s="55" t="n">
        <v>1.58233591425099</v>
      </c>
      <c r="S20" s="55" t="n">
        <v>1.40983601700946</v>
      </c>
      <c r="T20" s="55" t="n">
        <v>17.4982460170095</v>
      </c>
      <c r="U20" s="55" t="n">
        <v>23.411477074979</v>
      </c>
      <c r="V20" s="55" t="n">
        <v>1.58233591425099</v>
      </c>
      <c r="W20" s="55" t="n">
        <v>24.126734841965</v>
      </c>
      <c r="Y20" s="55" t="n">
        <v>0.528603346243957</v>
      </c>
      <c r="Z20" s="55" t="n">
        <v>1.78886419116875</v>
      </c>
      <c r="AA20" s="55" t="n">
        <v>1.27855033717342</v>
      </c>
      <c r="AB20" s="55" t="n">
        <v>18.0162997157389</v>
      </c>
      <c r="AC20" s="55" t="n">
        <v>8.9869643372666</v>
      </c>
      <c r="AD20" s="55" t="n">
        <v>14.5518526906126</v>
      </c>
      <c r="AE20" s="55" t="n">
        <v>22.5404020095093</v>
      </c>
      <c r="AF20" s="55" t="n">
        <v>53.7658053403115</v>
      </c>
      <c r="AG20" s="55" t="n">
        <v>8.98698952604459</v>
      </c>
      <c r="AH20" s="55" t="n">
        <v>59.0130581919302</v>
      </c>
    </row>
    <row r="21" customFormat="false" ht="15" hidden="false" customHeight="true" outlineLevel="0" collapsed="false">
      <c r="A21" s="10" t="s">
        <v>527</v>
      </c>
      <c r="B21" s="10" t="s">
        <v>528</v>
      </c>
      <c r="C21" s="60" t="n">
        <v>0.138016555475784</v>
      </c>
      <c r="D21" s="60" t="n">
        <v>0.131324555545862</v>
      </c>
      <c r="E21" s="60" t="n">
        <v>0.135751725785914</v>
      </c>
      <c r="F21" s="60" t="n">
        <v>0.0556061468166789</v>
      </c>
      <c r="G21" s="60" t="n">
        <v>0.0962210625262484</v>
      </c>
      <c r="H21" s="60" t="n">
        <v>0.0784637063102857</v>
      </c>
      <c r="I21" s="60" t="n">
        <v>0.0998327078567735</v>
      </c>
      <c r="J21" s="60" t="n">
        <v>-0.0205130863573704</v>
      </c>
      <c r="K21" s="60" t="n">
        <v>0.0962209443632245</v>
      </c>
      <c r="L21" s="60" t="n">
        <v>-0.0295275394472405</v>
      </c>
      <c r="N21" s="55" t="n">
        <v>0.30212103</v>
      </c>
      <c r="O21" s="55" t="n">
        <v>1.79796070334016</v>
      </c>
      <c r="P21" s="55" t="n">
        <v>1.10758096278054</v>
      </c>
      <c r="Q21" s="55" t="n">
        <v>14.803618866115</v>
      </c>
      <c r="R21" s="55" t="n">
        <v>2.9530433821459</v>
      </c>
      <c r="S21" s="55" t="n">
        <v>2.06335551251252</v>
      </c>
      <c r="T21" s="55" t="n">
        <v>8.00934688998618</v>
      </c>
      <c r="U21" s="55" t="n">
        <v>33.9273455784296</v>
      </c>
      <c r="V21" s="55" t="n">
        <v>2.9530433821459</v>
      </c>
      <c r="W21" s="55" t="n">
        <v>35.220382944053</v>
      </c>
      <c r="Y21" s="55" t="n">
        <v>0.478738590802833</v>
      </c>
      <c r="Z21" s="55" t="n">
        <v>2.73368583561885</v>
      </c>
      <c r="AA21" s="55" t="n">
        <v>1.42822821490558</v>
      </c>
      <c r="AB21" s="55" t="n">
        <v>33.8622443378886</v>
      </c>
      <c r="AC21" s="55" t="n">
        <v>15.9838081430379</v>
      </c>
      <c r="AD21" s="55" t="n">
        <v>25.4452129448368</v>
      </c>
      <c r="AE21" s="55" t="n">
        <v>16.4866385599392</v>
      </c>
      <c r="AF21" s="55" t="n">
        <v>67.6274552143469</v>
      </c>
      <c r="AG21" s="55" t="n">
        <v>15.9838601576745</v>
      </c>
      <c r="AH21" s="55" t="n">
        <v>71.7089365244874</v>
      </c>
    </row>
    <row r="22" customFormat="false" ht="15" hidden="false" customHeight="true" outlineLevel="0" collapsed="false">
      <c r="A22" s="10" t="s">
        <v>530</v>
      </c>
      <c r="B22" s="10" t="s">
        <v>531</v>
      </c>
      <c r="C22" s="60" t="n">
        <v>0.128801654458578</v>
      </c>
      <c r="D22" s="60" t="n">
        <v>0.12351631081752</v>
      </c>
      <c r="E22" s="60" t="n">
        <v>0.126721880383164</v>
      </c>
      <c r="F22" s="60" t="n">
        <v>0.0828884833860029</v>
      </c>
      <c r="G22" s="60" t="n">
        <v>0.101352222207613</v>
      </c>
      <c r="H22" s="60" t="n">
        <v>0.0964118966758244</v>
      </c>
      <c r="I22" s="60" t="n">
        <v>0.0952548113653465</v>
      </c>
      <c r="J22" s="60" t="n">
        <v>0.0374031559348759</v>
      </c>
      <c r="K22" s="60" t="n">
        <v>0.10135214444598</v>
      </c>
      <c r="L22" s="60" t="n">
        <v>0.0308336328050733</v>
      </c>
      <c r="N22" s="55" t="n">
        <v>0.631287818759469</v>
      </c>
      <c r="O22" s="55" t="n">
        <v>3.41406600808488</v>
      </c>
      <c r="P22" s="55" t="n">
        <v>2.28410286634263</v>
      </c>
      <c r="Q22" s="55" t="n">
        <v>17.7237385468523</v>
      </c>
      <c r="R22" s="55" t="n">
        <v>5.61689659990009</v>
      </c>
      <c r="S22" s="55" t="n">
        <v>3.97856791116046</v>
      </c>
      <c r="T22" s="55" t="n">
        <v>16.1046583691646</v>
      </c>
      <c r="U22" s="55" t="n">
        <v>37.4237491507271</v>
      </c>
      <c r="V22" s="55" t="n">
        <v>5.61689659990009</v>
      </c>
      <c r="W22" s="55" t="n">
        <v>38.5185612894348</v>
      </c>
      <c r="Y22" s="55" t="n">
        <v>0.916425128190044</v>
      </c>
      <c r="Z22" s="55" t="n">
        <v>4.59257756413231</v>
      </c>
      <c r="AA22" s="55" t="n">
        <v>2.80413518740096</v>
      </c>
      <c r="AB22" s="55" t="n">
        <v>38.8278909080679</v>
      </c>
      <c r="AC22" s="55" t="n">
        <v>21.2313186591731</v>
      </c>
      <c r="AD22" s="55" t="n">
        <v>30.315037364343</v>
      </c>
      <c r="AE22" s="55" t="n">
        <v>31.3652675820262</v>
      </c>
      <c r="AF22" s="55" t="n">
        <v>81.1584869638541</v>
      </c>
      <c r="AG22" s="55" t="n">
        <v>21.2313927686595</v>
      </c>
      <c r="AH22" s="55" t="n">
        <v>87.5983514887481</v>
      </c>
    </row>
    <row r="23" customFormat="false" ht="15" hidden="false" customHeight="true" outlineLevel="0" collapsed="false">
      <c r="A23" s="10" t="s">
        <v>532</v>
      </c>
      <c r="B23" s="10" t="s">
        <v>533</v>
      </c>
      <c r="C23" s="60" t="n">
        <v>0.131104013789758</v>
      </c>
      <c r="D23" s="60" t="n">
        <v>0.126790773053195</v>
      </c>
      <c r="E23" s="60" t="n">
        <v>0.129441476076724</v>
      </c>
      <c r="F23" s="60" t="n">
        <v>0.0908177491026245</v>
      </c>
      <c r="G23" s="60" t="n">
        <v>0.107450340559616</v>
      </c>
      <c r="H23" s="60" t="n">
        <v>0.104250563051723</v>
      </c>
      <c r="I23" s="60" t="n">
        <v>0.106692528589155</v>
      </c>
      <c r="J23" s="60" t="n">
        <v>0.0472616971280715</v>
      </c>
      <c r="K23" s="60" t="n">
        <v>0.107450293567298</v>
      </c>
      <c r="L23" s="60" t="n">
        <v>0.0418161286697658</v>
      </c>
      <c r="N23" s="55" t="n">
        <v>0.1782838</v>
      </c>
      <c r="O23" s="55" t="n">
        <v>1.13194093004796</v>
      </c>
      <c r="P23" s="55" t="n">
        <v>0.842918101082068</v>
      </c>
      <c r="Q23" s="55" t="n">
        <v>7.83933826135828</v>
      </c>
      <c r="R23" s="55" t="n">
        <v>1.57027891835025</v>
      </c>
      <c r="S23" s="55" t="n">
        <v>1.45602494175594</v>
      </c>
      <c r="T23" s="55" t="n">
        <v>6.0451038</v>
      </c>
      <c r="U23" s="55" t="n">
        <v>15.4754745087719</v>
      </c>
      <c r="V23" s="55" t="n">
        <v>1.57027891835025</v>
      </c>
      <c r="W23" s="55" t="n">
        <v>15.9738293310917</v>
      </c>
      <c r="Y23" s="55" t="n">
        <v>0.310280267230561</v>
      </c>
      <c r="Z23" s="55" t="n">
        <v>1.72188408458302</v>
      </c>
      <c r="AA23" s="55" t="n">
        <v>1.08091670586102</v>
      </c>
      <c r="AB23" s="55" t="n">
        <v>16.8793421246562</v>
      </c>
      <c r="AC23" s="55" t="n">
        <v>8.78414825784978</v>
      </c>
      <c r="AD23" s="55" t="n">
        <v>12.7576656585223</v>
      </c>
      <c r="AE23" s="55" t="n">
        <v>11.6257408845632</v>
      </c>
      <c r="AF23" s="55" t="n">
        <v>37.4211481641165</v>
      </c>
      <c r="AG23" s="55" t="n">
        <v>8.78417112932602</v>
      </c>
      <c r="AH23" s="55" t="n">
        <v>40.1472684356359</v>
      </c>
    </row>
    <row r="24" customFormat="false" ht="15" hidden="false" customHeight="true" outlineLevel="0" collapsed="false">
      <c r="A24" s="10" t="s">
        <v>534</v>
      </c>
      <c r="B24" s="10" t="s">
        <v>534</v>
      </c>
      <c r="C24" s="60" t="n">
        <v>0.142630931683967</v>
      </c>
      <c r="D24" s="60" t="n">
        <v>0.138704995771692</v>
      </c>
      <c r="E24" s="60" t="n">
        <v>0.140947703239153</v>
      </c>
      <c r="F24" s="60" t="n">
        <v>0.114146830663279</v>
      </c>
      <c r="G24" s="60" t="n">
        <v>0.124872042316234</v>
      </c>
      <c r="H24" s="60" t="n">
        <v>0.126515942295429</v>
      </c>
      <c r="I24" s="60" t="n">
        <v>0.123963446539188</v>
      </c>
      <c r="J24" s="60" t="n">
        <v>0.0793534454428393</v>
      </c>
      <c r="K24" s="60" t="n">
        <v>0.124871991471161</v>
      </c>
      <c r="L24" s="60" t="n">
        <v>0.0750463546841016</v>
      </c>
      <c r="N24" s="55" t="n">
        <v>0.46565</v>
      </c>
      <c r="O24" s="55" t="n">
        <v>1.50753003603352</v>
      </c>
      <c r="P24" s="55" t="n">
        <v>1.21076029766999</v>
      </c>
      <c r="Q24" s="55" t="n">
        <v>6.74773205662797</v>
      </c>
      <c r="R24" s="55" t="n">
        <v>2.15008205662797</v>
      </c>
      <c r="S24" s="55" t="n">
        <v>1.76185766399178</v>
      </c>
      <c r="T24" s="55" t="n">
        <v>5.09754883199589</v>
      </c>
      <c r="U24" s="55" t="n">
        <v>10.46175279767</v>
      </c>
      <c r="V24" s="55" t="n">
        <v>2.15008205662797</v>
      </c>
      <c r="W24" s="55" t="n">
        <v>10.46175279767</v>
      </c>
      <c r="Y24" s="55" t="n">
        <v>0.592273524448915</v>
      </c>
      <c r="Z24" s="55" t="n">
        <v>1.8716181569507</v>
      </c>
      <c r="AA24" s="55" t="n">
        <v>1.44045233779089</v>
      </c>
      <c r="AB24" s="55" t="n">
        <v>12.0694826302123</v>
      </c>
      <c r="AC24" s="55" t="n">
        <v>6.39482677069223</v>
      </c>
      <c r="AD24" s="55" t="n">
        <v>8.71261667733338</v>
      </c>
      <c r="AE24" s="55" t="n">
        <v>9.99881928890297</v>
      </c>
      <c r="AF24" s="55" t="n">
        <v>29.2789027486616</v>
      </c>
      <c r="AG24" s="55" t="n">
        <v>6.39485367256608</v>
      </c>
      <c r="AH24" s="55" t="n">
        <v>31.6228732246557</v>
      </c>
    </row>
    <row r="25" customFormat="false" ht="15" hidden="false" customHeight="true" outlineLevel="0" collapsed="false">
      <c r="A25" s="10" t="s">
        <v>535</v>
      </c>
      <c r="B25" s="10" t="s">
        <v>535</v>
      </c>
      <c r="C25" s="60" t="n">
        <v>0.128046742028618</v>
      </c>
      <c r="D25" s="60" t="n">
        <v>0.119655472822276</v>
      </c>
      <c r="E25" s="60" t="n">
        <v>0.119638257342402</v>
      </c>
      <c r="F25" s="60" t="n">
        <v>0.0621237819271201</v>
      </c>
      <c r="G25" s="60" t="n">
        <v>0.0904778520203489</v>
      </c>
      <c r="H25" s="60" t="n">
        <v>0.0803337006472847</v>
      </c>
      <c r="I25" s="60" t="n">
        <v>0.0778630834811125</v>
      </c>
      <c r="J25" s="60" t="n">
        <v>0.00281267876952754</v>
      </c>
      <c r="K25" s="60" t="n">
        <v>0.0904777349815337</v>
      </c>
      <c r="L25" s="60" t="n">
        <v>-0.0068900663578076</v>
      </c>
      <c r="N25" s="55" t="n">
        <v>0.724893276801429</v>
      </c>
      <c r="O25" s="55" t="n">
        <v>5.01663733487047</v>
      </c>
      <c r="P25" s="55" t="n">
        <v>6.81817866011114</v>
      </c>
      <c r="Q25" s="55" t="n">
        <v>24.2912232770528</v>
      </c>
      <c r="R25" s="55" t="n">
        <v>5.95889410895388</v>
      </c>
      <c r="S25" s="55" t="n">
        <v>6.6935357420966</v>
      </c>
      <c r="T25" s="55" t="n">
        <v>22.7793446825098</v>
      </c>
      <c r="U25" s="55" t="n">
        <v>48.6231959646889</v>
      </c>
      <c r="V25" s="55" t="n">
        <v>5.95889410895388</v>
      </c>
      <c r="W25" s="55" t="n">
        <v>49.8933242499935</v>
      </c>
      <c r="Y25" s="55" t="n">
        <v>1.19061975808826</v>
      </c>
      <c r="Z25" s="55" t="n">
        <v>6.72218756052721</v>
      </c>
      <c r="AA25" s="55" t="n">
        <v>7.65537986761474</v>
      </c>
      <c r="AB25" s="55" t="n">
        <v>49.4865221183526</v>
      </c>
      <c r="AC25" s="55" t="n">
        <v>26.5968598869414</v>
      </c>
      <c r="AD25" s="55" t="n">
        <v>37.87420522407</v>
      </c>
      <c r="AE25" s="55" t="n">
        <v>39.7737088680455</v>
      </c>
      <c r="AF25" s="55" t="n">
        <v>97.3022906701138</v>
      </c>
      <c r="AG25" s="55" t="n">
        <v>26.5969543699889</v>
      </c>
      <c r="AH25" s="55" t="n">
        <v>105.358913920592</v>
      </c>
    </row>
    <row r="26" customFormat="false" ht="15" hidden="false" customHeight="true" outlineLevel="0" collapsed="false">
      <c r="A26" s="10" t="s">
        <v>537</v>
      </c>
      <c r="B26" s="10" t="s">
        <v>537</v>
      </c>
      <c r="C26" s="60" t="n">
        <v>0.125213058252478</v>
      </c>
      <c r="D26" s="60" t="n">
        <v>0.118303635248404</v>
      </c>
      <c r="E26" s="60" t="n">
        <v>0.11751573825032</v>
      </c>
      <c r="F26" s="60" t="n">
        <v>0.0843910312677504</v>
      </c>
      <c r="G26" s="60" t="n">
        <v>0.0998629959286492</v>
      </c>
      <c r="H26" s="60" t="n">
        <v>0.0985313198244563</v>
      </c>
      <c r="I26" s="60" t="n">
        <v>0.0939169314057892</v>
      </c>
      <c r="J26" s="60" t="n">
        <v>0.0463485337720714</v>
      </c>
      <c r="K26" s="60" t="n">
        <v>0.0998629682335966</v>
      </c>
      <c r="L26" s="60" t="n">
        <v>0.0399322993718939</v>
      </c>
      <c r="N26" s="55" t="n">
        <v>0.409540654921659</v>
      </c>
      <c r="O26" s="55" t="n">
        <v>3.42696100990336</v>
      </c>
      <c r="P26" s="55" t="n">
        <v>5.01597238392655</v>
      </c>
      <c r="Q26" s="55" t="n">
        <v>12.1669625041517</v>
      </c>
      <c r="R26" s="55" t="n">
        <v>3.5414591973652</v>
      </c>
      <c r="S26" s="55" t="n">
        <v>4.49400586750875</v>
      </c>
      <c r="T26" s="55" t="n">
        <v>11.1857126697359</v>
      </c>
      <c r="U26" s="55" t="n">
        <v>21.1369078004484</v>
      </c>
      <c r="V26" s="55" t="n">
        <v>3.5414591973652</v>
      </c>
      <c r="W26" s="55" t="n">
        <v>21.4620226541964</v>
      </c>
      <c r="Y26" s="55" t="n">
        <v>0.697108075636346</v>
      </c>
      <c r="Z26" s="55" t="n">
        <v>4.29360005786951</v>
      </c>
      <c r="AA26" s="55" t="n">
        <v>5.53145674204359</v>
      </c>
      <c r="AB26" s="55" t="n">
        <v>23.6855154941576</v>
      </c>
      <c r="AC26" s="55" t="n">
        <v>13.4823908625528</v>
      </c>
      <c r="AD26" s="55" t="n">
        <v>17.4547362567121</v>
      </c>
      <c r="AE26" s="55" t="n">
        <v>20.3528309821246</v>
      </c>
      <c r="AF26" s="55" t="n">
        <v>47.8996942812661</v>
      </c>
      <c r="AG26" s="55" t="n">
        <v>13.4824091263014</v>
      </c>
      <c r="AH26" s="55" t="n">
        <v>52.2518297444827</v>
      </c>
    </row>
    <row r="27" customFormat="false" ht="15" hidden="false" customHeight="true" outlineLevel="0" collapsed="false">
      <c r="A27" s="10" t="s">
        <v>538</v>
      </c>
      <c r="B27" s="10" t="s">
        <v>539</v>
      </c>
      <c r="C27" s="60" t="n">
        <v>0.13463628656289</v>
      </c>
      <c r="D27" s="60" t="n">
        <v>0.128396452425143</v>
      </c>
      <c r="E27" s="60" t="n">
        <v>0.127798728058858</v>
      </c>
      <c r="F27" s="60" t="n">
        <v>0.0963991869045327</v>
      </c>
      <c r="G27" s="60" t="n">
        <v>0.109674739724677</v>
      </c>
      <c r="H27" s="60" t="n">
        <v>0.109351469435289</v>
      </c>
      <c r="I27" s="60" t="n">
        <v>0.105270964400058</v>
      </c>
      <c r="J27" s="60" t="n">
        <v>0.0683840792474054</v>
      </c>
      <c r="K27" s="60" t="n">
        <v>0.109674710237291</v>
      </c>
      <c r="L27" s="60" t="n">
        <v>0.0649644163478185</v>
      </c>
      <c r="N27" s="55" t="n">
        <v>0.03054409217572</v>
      </c>
      <c r="O27" s="55" t="n">
        <v>2.05770393718319</v>
      </c>
      <c r="P27" s="55" t="n">
        <v>3.31182956250209</v>
      </c>
      <c r="Q27" s="55" t="n">
        <v>7.89833258675291</v>
      </c>
      <c r="R27" s="55" t="n">
        <v>2.01083606284853</v>
      </c>
      <c r="S27" s="55" t="n">
        <v>2.89069108692041</v>
      </c>
      <c r="T27" s="55" t="n">
        <v>8.07490802086757</v>
      </c>
      <c r="U27" s="55" t="n">
        <v>15.3135603574867</v>
      </c>
      <c r="V27" s="55" t="n">
        <v>2.01083606284853</v>
      </c>
      <c r="W27" s="55" t="n">
        <v>15.6422202859962</v>
      </c>
      <c r="Y27" s="55" t="n">
        <v>0.252461271782485</v>
      </c>
      <c r="Z27" s="55" t="n">
        <v>2.75809055437904</v>
      </c>
      <c r="AA27" s="55" t="n">
        <v>3.70945028588326</v>
      </c>
      <c r="AB27" s="55" t="n">
        <v>17.147773666848</v>
      </c>
      <c r="AC27" s="55" t="n">
        <v>10.100212429938</v>
      </c>
      <c r="AD27" s="55" t="n">
        <v>13.0361668857265</v>
      </c>
      <c r="AE27" s="55" t="n">
        <v>15.0992221517922</v>
      </c>
      <c r="AF27" s="55" t="n">
        <v>30.9828618774724</v>
      </c>
      <c r="AG27" s="55" t="n">
        <v>10.1002280838362</v>
      </c>
      <c r="AH27" s="55" t="n">
        <v>32.8501184478309</v>
      </c>
    </row>
    <row r="28" customFormat="false" ht="15" hidden="false" customHeight="true" outlineLevel="0" collapsed="false">
      <c r="A28" s="10" t="s">
        <v>540</v>
      </c>
      <c r="B28" s="10" t="s">
        <v>541</v>
      </c>
      <c r="C28" s="60" t="n">
        <v>0.133949529368331</v>
      </c>
      <c r="D28" s="60" t="n">
        <v>0.130457269990832</v>
      </c>
      <c r="E28" s="60" t="n">
        <v>0.132559539321973</v>
      </c>
      <c r="F28" s="60" t="n">
        <v>0.100497352324864</v>
      </c>
      <c r="G28" s="60" t="n">
        <v>0.115248685300408</v>
      </c>
      <c r="H28" s="60" t="n">
        <v>0.110126820938405</v>
      </c>
      <c r="I28" s="60" t="n">
        <v>0.0981819463800251</v>
      </c>
      <c r="J28" s="60" t="n">
        <v>0.0561728885356686</v>
      </c>
      <c r="K28" s="60" t="n">
        <v>0.115248632639964</v>
      </c>
      <c r="L28" s="60" t="n">
        <v>0.0484826957867225</v>
      </c>
      <c r="N28" s="55" t="n">
        <v>0.425856089405139</v>
      </c>
      <c r="O28" s="55" t="n">
        <v>1.29402423646391</v>
      </c>
      <c r="P28" s="55" t="n">
        <v>1.10499356567712</v>
      </c>
      <c r="Q28" s="55" t="n">
        <v>7.03034280837544</v>
      </c>
      <c r="R28" s="55" t="n">
        <v>1.92199746941503</v>
      </c>
      <c r="S28" s="55" t="n">
        <v>1.56762044119712</v>
      </c>
      <c r="T28" s="55" t="n">
        <v>12.5069563170435</v>
      </c>
      <c r="U28" s="55" t="n">
        <v>18.9389692803866</v>
      </c>
      <c r="V28" s="55" t="n">
        <v>1.92199746941503</v>
      </c>
      <c r="W28" s="55" t="n">
        <v>19.3276868886006</v>
      </c>
      <c r="Y28" s="55" t="n">
        <v>0.523242626848798</v>
      </c>
      <c r="Z28" s="55" t="n">
        <v>1.72142653052011</v>
      </c>
      <c r="AA28" s="55" t="n">
        <v>1.28453249384359</v>
      </c>
      <c r="AB28" s="55" t="n">
        <v>16.0927229044831</v>
      </c>
      <c r="AC28" s="55" t="n">
        <v>7.60953817535831</v>
      </c>
      <c r="AD28" s="55" t="n">
        <v>13.5708083843163</v>
      </c>
      <c r="AE28" s="55" t="n">
        <v>20.1129501698982</v>
      </c>
      <c r="AF28" s="55" t="n">
        <v>40.6598325496584</v>
      </c>
      <c r="AG28" s="55" t="n">
        <v>7.60956845928454</v>
      </c>
      <c r="AH28" s="55" t="n">
        <v>45.208658706205</v>
      </c>
    </row>
    <row r="29" customFormat="false" ht="15" hidden="false" customHeight="true" outlineLevel="0" collapsed="false">
      <c r="A29" s="10" t="s">
        <v>543</v>
      </c>
      <c r="B29" s="10" t="s">
        <v>544</v>
      </c>
      <c r="C29" s="60" t="n">
        <v>0.0888916095397439</v>
      </c>
      <c r="D29" s="60" t="n">
        <v>0.0857217989952782</v>
      </c>
      <c r="E29" s="60" t="n">
        <v>0.0864561421059389</v>
      </c>
      <c r="F29" s="60" t="n">
        <v>0.068800609319333</v>
      </c>
      <c r="G29" s="60" t="n">
        <v>0.0746293136625563</v>
      </c>
      <c r="H29" s="60" t="n">
        <v>0.0741662845290256</v>
      </c>
      <c r="I29" s="60" t="n">
        <v>0.0772409037233179</v>
      </c>
      <c r="J29" s="60" t="n">
        <v>0.0549360248218316</v>
      </c>
      <c r="K29" s="60" t="n">
        <v>0.0746292661669271</v>
      </c>
      <c r="L29" s="60" t="n">
        <v>0.053381022682645</v>
      </c>
      <c r="N29" s="55" t="n">
        <v>0.0833847120967872</v>
      </c>
      <c r="O29" s="55" t="n">
        <v>0.261732308423043</v>
      </c>
      <c r="P29" s="55" t="n">
        <v>0.299861094224689</v>
      </c>
      <c r="Q29" s="55" t="n">
        <v>0.754657436832629</v>
      </c>
      <c r="R29" s="55" t="n">
        <v>0.312782436832629</v>
      </c>
      <c r="S29" s="55" t="n">
        <v>0.294289580079609</v>
      </c>
      <c r="T29" s="55" t="n">
        <v>0.339129580079609</v>
      </c>
      <c r="U29" s="55" t="n">
        <v>1.15691359422469</v>
      </c>
      <c r="V29" s="55" t="n">
        <v>0.312782436832629</v>
      </c>
      <c r="W29" s="55" t="n">
        <v>1.15691359422469</v>
      </c>
      <c r="Y29" s="55" t="n">
        <v>0.10736608925014</v>
      </c>
      <c r="Z29" s="55" t="n">
        <v>0.331379221363959</v>
      </c>
      <c r="AA29" s="55" t="n">
        <v>0.343281701338044</v>
      </c>
      <c r="AB29" s="55" t="n">
        <v>1.72029002613064</v>
      </c>
      <c r="AC29" s="55" t="n">
        <v>1.1274525073814</v>
      </c>
      <c r="AD29" s="55" t="n">
        <v>1.53375923862171</v>
      </c>
      <c r="AE29" s="55" t="n">
        <v>1.23593112600127</v>
      </c>
      <c r="AF29" s="55" t="n">
        <v>2.97081282723926</v>
      </c>
      <c r="AG29" s="55" t="n">
        <v>1.12745733816184</v>
      </c>
      <c r="AH29" s="55" t="n">
        <v>3.13349093103241</v>
      </c>
    </row>
    <row r="31" customFormat="false" ht="15" hidden="false" customHeight="true" outlineLevel="0" collapsed="false">
      <c r="A31" s="9" t="s">
        <v>1258</v>
      </c>
    </row>
    <row r="32" customFormat="false" ht="15" hidden="false" customHeight="true" outlineLevel="0" collapsed="false">
      <c r="B32" s="10" t="s">
        <v>27</v>
      </c>
      <c r="C32" s="62" t="n">
        <v>0</v>
      </c>
      <c r="D32" s="62" t="n">
        <v>0</v>
      </c>
      <c r="E32" s="62" t="n">
        <v>0</v>
      </c>
      <c r="F32" s="62" t="n">
        <v>13</v>
      </c>
      <c r="G32" s="62" t="n">
        <v>9</v>
      </c>
      <c r="H32" s="62" t="n">
        <v>12</v>
      </c>
      <c r="I32" s="62" t="n">
        <v>13</v>
      </c>
      <c r="J32" s="62" t="n">
        <v>18</v>
      </c>
      <c r="K32" s="62" t="n">
        <v>9</v>
      </c>
      <c r="L32" s="62" t="n">
        <v>18</v>
      </c>
    </row>
    <row r="33" customFormat="false" ht="15" hidden="false" customHeight="true" outlineLevel="0" collapsed="false">
      <c r="B33" s="10" t="s">
        <v>1259</v>
      </c>
      <c r="C33" s="62" t="n">
        <v>0</v>
      </c>
      <c r="D33" s="62" t="n">
        <v>0</v>
      </c>
      <c r="E33" s="62" t="n">
        <v>0</v>
      </c>
      <c r="F33" s="62" t="n">
        <v>1</v>
      </c>
      <c r="G33" s="62" t="n">
        <v>0</v>
      </c>
      <c r="H33" s="62" t="n">
        <v>1</v>
      </c>
      <c r="I33" s="62" t="n">
        <v>1</v>
      </c>
      <c r="J33" s="62" t="n">
        <v>11</v>
      </c>
      <c r="K33" s="62" t="n">
        <v>0</v>
      </c>
      <c r="L33" s="62" t="n">
        <v>13</v>
      </c>
    </row>
    <row r="34" customFormat="false" ht="15" hidden="false" customHeight="true" outlineLevel="0" collapsed="false">
      <c r="B34" s="10" t="s">
        <v>1260</v>
      </c>
      <c r="C34" s="62" t="n">
        <v>0</v>
      </c>
      <c r="D34" s="62" t="n">
        <v>0</v>
      </c>
      <c r="E34" s="62" t="n">
        <v>0</v>
      </c>
      <c r="F34" s="62" t="n">
        <v>2</v>
      </c>
      <c r="G34" s="62" t="n">
        <v>0</v>
      </c>
      <c r="H34" s="62" t="n">
        <v>2</v>
      </c>
      <c r="I34" s="62" t="n">
        <v>1</v>
      </c>
      <c r="J34" s="62" t="n">
        <v>14</v>
      </c>
      <c r="K34" s="62" t="n">
        <v>0</v>
      </c>
      <c r="L34" s="62" t="n">
        <v>17</v>
      </c>
    </row>
    <row r="35" customFormat="false" ht="15" hidden="false" customHeight="true" outlineLevel="0" collapsed="false">
      <c r="B35" s="10" t="s">
        <v>1256</v>
      </c>
      <c r="C35" s="55" t="n">
        <v>9.57193200998058</v>
      </c>
      <c r="D35" s="55" t="n">
        <v>51.7323344456392</v>
      </c>
      <c r="E35" s="55" t="n">
        <v>56.8217732881107</v>
      </c>
      <c r="F35" s="55" t="n">
        <v>296.274699995491</v>
      </c>
      <c r="G35" s="55" t="n">
        <v>65.8918345560122</v>
      </c>
      <c r="H35" s="55" t="n">
        <v>63.7547808834798</v>
      </c>
      <c r="I35" s="55" t="n">
        <v>350.756565519389</v>
      </c>
      <c r="J35" s="55" t="n">
        <v>748.907118737328</v>
      </c>
      <c r="K35" s="55" t="n">
        <v>65.8918345560122</v>
      </c>
      <c r="L35" s="55" t="n">
        <v>773.291970778952</v>
      </c>
    </row>
    <row r="36" customFormat="false" ht="15" hidden="false" customHeight="true" outlineLevel="0" collapsed="false">
      <c r="B36" s="10" t="s">
        <v>1257</v>
      </c>
      <c r="C36" s="55" t="n">
        <v>13.5127570395035</v>
      </c>
      <c r="D36" s="55" t="n">
        <v>72.6631319137089</v>
      </c>
      <c r="E36" s="55" t="n">
        <v>63.9500244526566</v>
      </c>
      <c r="F36" s="55" t="n">
        <v>643.760881553934</v>
      </c>
      <c r="G36" s="55" t="n">
        <v>330.850930444356</v>
      </c>
      <c r="H36" s="55" t="n">
        <v>569.678763854972</v>
      </c>
      <c r="I36" s="55" t="n">
        <v>575.714812313453</v>
      </c>
      <c r="J36" s="55" t="n">
        <v>1465.09373008232</v>
      </c>
      <c r="K36" s="55" t="n">
        <v>330.851822812796</v>
      </c>
      <c r="L36" s="55" t="n">
        <v>1609.35827872614</v>
      </c>
    </row>
    <row r="37" customFormat="false" ht="15" hidden="false" customHeight="true" outlineLevel="0" collapsed="false">
      <c r="B37" s="10" t="s">
        <v>1065</v>
      </c>
      <c r="C37" s="55" t="n">
        <v>0</v>
      </c>
      <c r="D37" s="55" t="n">
        <v>0</v>
      </c>
      <c r="E37" s="55" t="n">
        <v>0</v>
      </c>
      <c r="F37" s="55" t="n">
        <v>347.053350428865</v>
      </c>
      <c r="G37" s="55" t="n">
        <v>97.8499179531812</v>
      </c>
      <c r="H37" s="55" t="n">
        <v>225.034592356057</v>
      </c>
      <c r="I37" s="55" t="n">
        <v>233.548377993587</v>
      </c>
      <c r="J37" s="55" t="n">
        <v>1192.22650906098</v>
      </c>
      <c r="K37" s="55" t="n">
        <v>97.8503986949823</v>
      </c>
      <c r="L37" s="55" t="n">
        <v>1336.4910577048</v>
      </c>
    </row>
    <row r="38" customFormat="false" ht="15" hidden="false" customHeight="true" outlineLevel="0" collapsed="false">
      <c r="B38" s="10" t="s">
        <v>623</v>
      </c>
      <c r="C38" s="55" t="n">
        <v>6.93317938733866</v>
      </c>
      <c r="D38" s="55" t="n">
        <v>80.3079282234017</v>
      </c>
      <c r="E38" s="55" t="n">
        <v>16.5674314496487</v>
      </c>
      <c r="F38" s="55" t="n">
        <v>944.537748704279</v>
      </c>
      <c r="G38" s="55" t="n">
        <v>677.422179640208</v>
      </c>
      <c r="H38" s="55" t="n">
        <v>1255.7874148925</v>
      </c>
      <c r="I38" s="55" t="n">
        <v>940.341234704194</v>
      </c>
      <c r="J38" s="55" t="n">
        <v>2113.5618395659</v>
      </c>
      <c r="K38" s="55" t="n">
        <v>677.442121566195</v>
      </c>
      <c r="L38" s="55" t="n">
        <v>2508.1056554879</v>
      </c>
    </row>
    <row r="39" customFormat="false" ht="15" hidden="false" customHeight="true" outlineLevel="0" collapsed="false">
      <c r="B39" s="10" t="s">
        <v>1261</v>
      </c>
      <c r="C39" s="62" t="n">
        <v>0</v>
      </c>
      <c r="D39" s="62" t="n">
        <v>0</v>
      </c>
      <c r="E39" s="62" t="n">
        <v>0</v>
      </c>
      <c r="F39" s="62" t="n">
        <v>1</v>
      </c>
      <c r="G39" s="62" t="n">
        <v>1</v>
      </c>
      <c r="H39" s="62" t="n">
        <v>1</v>
      </c>
      <c r="I39" s="62" t="n">
        <v>1</v>
      </c>
      <c r="J39" s="62" t="n">
        <v>1</v>
      </c>
      <c r="K39" s="62" t="n">
        <v>1</v>
      </c>
      <c r="L39" s="6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2" min="2" style="1" width="14"/>
    <col collapsed="false" customWidth="true" hidden="false" outlineLevel="0" max="4" min="3" style="1" width="10"/>
  </cols>
  <sheetData>
    <row r="1" customFormat="false" ht="17.25" hidden="false" customHeight="true" outlineLevel="0" collapsed="false">
      <c r="A1" s="5" t="s">
        <v>1262</v>
      </c>
    </row>
    <row r="2" customFormat="false" ht="15" hidden="false" customHeight="true" outlineLevel="0" collapsed="false">
      <c r="A2" s="6" t="s">
        <v>1263</v>
      </c>
    </row>
    <row r="4" customFormat="false" ht="42" hidden="false" customHeight="true" outlineLevel="0" collapsed="false">
      <c r="A4" s="21" t="s">
        <v>1264</v>
      </c>
      <c r="B4" s="21" t="s">
        <v>363</v>
      </c>
      <c r="C4" s="21" t="s">
        <v>1265</v>
      </c>
      <c r="D4" s="21" t="s">
        <v>1266</v>
      </c>
    </row>
    <row r="5" customFormat="false" ht="15" hidden="false" customHeight="true" outlineLevel="0" collapsed="false">
      <c r="A5" s="10" t="s">
        <v>1267</v>
      </c>
      <c r="B5" s="42" t="n">
        <f aca="false">SUMPRODUCT(ABS(Network!AD6:AD29/SUM(Network!AD6:AD29)-Inputs_Banks!AY6:AY29/SUM(Inputs_Banks!AY6:AY29)))</f>
        <v>0</v>
      </c>
      <c r="C5" s="25" t="n">
        <v>1E-006</v>
      </c>
      <c r="D5" s="51" t="str">
        <f aca="false">IF(ABS(B5)&lt;=C5,"OK","CHECK")</f>
        <v>OK</v>
      </c>
    </row>
    <row r="6" customFormat="false" ht="15" hidden="false" customHeight="true" outlineLevel="0" collapsed="false">
      <c r="A6" s="10" t="s">
        <v>1268</v>
      </c>
      <c r="B6" s="42" t="n">
        <f aca="false">SUM(Inputs_Banks!X6:X29)</f>
        <v>89.436522</v>
      </c>
      <c r="D6" s="6" t="s">
        <v>1269</v>
      </c>
    </row>
    <row r="7" customFormat="false" ht="15" hidden="false" customHeight="true" outlineLevel="0" collapsed="false">
      <c r="A7" s="10" t="s">
        <v>1270</v>
      </c>
      <c r="B7" s="42" t="n">
        <f aca="false">SUM(AI_Deals!T46:AQ46)</f>
        <v>134.048</v>
      </c>
      <c r="D7" s="6" t="s">
        <v>1269</v>
      </c>
    </row>
    <row r="8" customFormat="false" ht="15" hidden="false" customHeight="true" outlineLevel="0" collapsed="false">
      <c r="A8" s="10" t="s">
        <v>1271</v>
      </c>
      <c r="B8" s="42" t="n">
        <f aca="false">SUM(CreditEngine!B6:B10)-1</f>
        <v>0</v>
      </c>
      <c r="C8" s="25" t="n">
        <v>1E-006</v>
      </c>
      <c r="D8" s="51" t="str">
        <f aca="false">IF(ABS(B8)&lt;=C8,"OK","CHECK")</f>
        <v>OK</v>
      </c>
    </row>
    <row r="9" customFormat="false" ht="15" hidden="false" customHeight="true" outlineLevel="0" collapsed="false">
      <c r="A9" s="10" t="s">
        <v>1272</v>
      </c>
      <c r="B9" s="42" t="n">
        <f aca="false">SUMPRODUCT((Holdings!P6:P29&gt;0)*1)-SUM(Holdings!Q6:AC29)</f>
        <v>0</v>
      </c>
      <c r="C9" s="25" t="n">
        <v>1E-006</v>
      </c>
      <c r="D9" s="51" t="str">
        <f aca="false">IF(ABS(B9)&lt;=C9,"OK","CHECK")</f>
        <v>OK</v>
      </c>
    </row>
    <row r="10" customFormat="false" ht="15" hidden="false" customHeight="true" outlineLevel="0" collapsed="false">
      <c r="A10" s="10" t="s">
        <v>1273</v>
      </c>
      <c r="B10" s="42" t="n">
        <f aca="false">SUMPRODUCT(ABS(Results!I6:I29-INDEX(PyCheck!C6:L29,0,MATCH(sel_scen,PyCheck!C5:L5,0))))</f>
        <v>0</v>
      </c>
      <c r="C10" s="25" t="n">
        <v>0.0001</v>
      </c>
      <c r="D10" s="51" t="str">
        <f aca="false">IF(ABS(B10)&lt;=C10,"OK","CHECK")</f>
        <v>OK</v>
      </c>
    </row>
    <row r="11" customFormat="false" ht="15" hidden="false" customHeight="true" outlineLevel="0" collapsed="false">
      <c r="A11" s="10" t="s">
        <v>1274</v>
      </c>
      <c r="B11" s="42" t="n">
        <f aca="false">SUMPRODUCT(ABS(Results!F6:F29-INDEX(PyCheck!N6:W29,0,MATCH(sel_scen,PyCheck!N5:W5,0))))</f>
        <v>0</v>
      </c>
      <c r="C11" s="25" t="n">
        <v>0.001</v>
      </c>
      <c r="D11" s="51" t="str">
        <f aca="false">IF(ABS(B11)&lt;=C11,"OK","CHECK")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40"/>
  </cols>
  <sheetData>
    <row r="1" customFormat="false" ht="17.25" hidden="false" customHeight="true" outlineLevel="0" collapsed="false">
      <c r="A1" s="5" t="s">
        <v>1275</v>
      </c>
    </row>
    <row r="2" customFormat="false" ht="15" hidden="false" customHeight="true" outlineLevel="0" collapsed="false">
      <c r="A2" s="6" t="s">
        <v>1276</v>
      </c>
    </row>
    <row r="4" customFormat="false" ht="42" hidden="false" customHeight="true" outlineLevel="0" collapsed="false">
      <c r="A4" s="21" t="s">
        <v>1277</v>
      </c>
      <c r="B4" s="21" t="s">
        <v>1278</v>
      </c>
      <c r="C4" s="21" t="s">
        <v>363</v>
      </c>
      <c r="D4" s="21" t="s">
        <v>1279</v>
      </c>
      <c r="E4" s="21" t="s">
        <v>1280</v>
      </c>
    </row>
    <row r="5" customFormat="false" ht="15" hidden="false" customHeight="true" outlineLevel="0" collapsed="false">
      <c r="A5" s="10" t="s">
        <v>496</v>
      </c>
      <c r="B5" s="10" t="s">
        <v>1281</v>
      </c>
      <c r="C5" s="10" t="n">
        <v>1</v>
      </c>
      <c r="D5" s="10"/>
      <c r="E5" s="6"/>
    </row>
    <row r="6" customFormat="false" ht="15" hidden="false" customHeight="true" outlineLevel="0" collapsed="false">
      <c r="A6" s="10" t="s">
        <v>496</v>
      </c>
      <c r="B6" s="10" t="s">
        <v>1282</v>
      </c>
      <c r="C6" s="10" t="n">
        <v>1</v>
      </c>
      <c r="D6" s="10"/>
      <c r="E6" s="6"/>
    </row>
    <row r="7" customFormat="false" ht="15" hidden="false" customHeight="true" outlineLevel="0" collapsed="false">
      <c r="A7" s="10" t="s">
        <v>496</v>
      </c>
      <c r="B7" s="10" t="s">
        <v>1283</v>
      </c>
      <c r="C7" s="10" t="n">
        <v>5</v>
      </c>
      <c r="D7" s="10"/>
      <c r="E7" s="6" t="s">
        <v>1284</v>
      </c>
    </row>
    <row r="8" customFormat="false" ht="15" hidden="false" customHeight="true" outlineLevel="0" collapsed="false">
      <c r="A8" s="10" t="s">
        <v>496</v>
      </c>
      <c r="B8" s="10" t="s">
        <v>1285</v>
      </c>
      <c r="C8" s="63" t="n">
        <v>304.1</v>
      </c>
      <c r="D8" s="10"/>
      <c r="E8" s="6" t="s">
        <v>1286</v>
      </c>
    </row>
    <row r="9" customFormat="false" ht="15" hidden="false" customHeight="true" outlineLevel="0" collapsed="false">
      <c r="A9" s="10" t="s">
        <v>496</v>
      </c>
      <c r="B9" s="10" t="s">
        <v>1287</v>
      </c>
      <c r="C9" s="63" t="n">
        <v>2183.5</v>
      </c>
      <c r="D9" s="10"/>
      <c r="E9" s="6" t="s">
        <v>1288</v>
      </c>
    </row>
    <row r="10" customFormat="false" ht="15" hidden="false" customHeight="true" outlineLevel="0" collapsed="false">
      <c r="A10" s="10" t="s">
        <v>496</v>
      </c>
      <c r="B10" s="10" t="s">
        <v>1289</v>
      </c>
      <c r="C10" s="63" t="n">
        <v>0.115</v>
      </c>
      <c r="D10" s="10"/>
      <c r="E10" s="6" t="s">
        <v>1290</v>
      </c>
    </row>
    <row r="11" customFormat="false" ht="15" hidden="false" customHeight="true" outlineLevel="0" collapsed="false">
      <c r="A11" s="10" t="s">
        <v>496</v>
      </c>
      <c r="B11" s="10" t="s">
        <v>216</v>
      </c>
      <c r="C11" s="63" t="n">
        <v>30.031</v>
      </c>
      <c r="D11" s="10"/>
      <c r="E11" s="6" t="s">
        <v>1291</v>
      </c>
    </row>
    <row r="12" customFormat="false" ht="15" hidden="false" customHeight="true" outlineLevel="0" collapsed="false">
      <c r="A12" s="10" t="s">
        <v>496</v>
      </c>
      <c r="B12" s="10" t="s">
        <v>1292</v>
      </c>
      <c r="C12" s="63" t="n">
        <v>536.048</v>
      </c>
      <c r="D12" s="10"/>
      <c r="E12" s="6" t="s">
        <v>1293</v>
      </c>
    </row>
    <row r="13" customFormat="false" ht="15" hidden="false" customHeight="true" outlineLevel="0" collapsed="false">
      <c r="A13" s="10" t="s">
        <v>496</v>
      </c>
      <c r="B13" s="10" t="s">
        <v>1294</v>
      </c>
      <c r="C13" s="63" t="n">
        <v>-2.641</v>
      </c>
      <c r="D13" s="10"/>
      <c r="E13" s="6" t="s">
        <v>1295</v>
      </c>
    </row>
    <row r="14" customFormat="false" ht="15" hidden="false" customHeight="true" outlineLevel="0" collapsed="false">
      <c r="A14" s="10" t="s">
        <v>496</v>
      </c>
      <c r="B14" s="10" t="s">
        <v>1296</v>
      </c>
      <c r="C14" s="63" t="n">
        <v>268.474</v>
      </c>
      <c r="D14" s="10"/>
      <c r="E14" s="6" t="s">
        <v>1297</v>
      </c>
    </row>
    <row r="15" customFormat="false" ht="15" hidden="false" customHeight="true" outlineLevel="0" collapsed="false">
      <c r="A15" s="10" t="s">
        <v>496</v>
      </c>
      <c r="B15" s="10" t="s">
        <v>1298</v>
      </c>
      <c r="C15" s="63" t="n">
        <v>-18.164</v>
      </c>
      <c r="D15" s="10"/>
      <c r="E15" s="6" t="s">
        <v>1299</v>
      </c>
    </row>
    <row r="16" customFormat="false" ht="15" hidden="false" customHeight="true" outlineLevel="0" collapsed="false">
      <c r="A16" s="10" t="s">
        <v>496</v>
      </c>
      <c r="B16" s="10" t="s">
        <v>1300</v>
      </c>
      <c r="C16" s="63" t="n">
        <v>2.5</v>
      </c>
      <c r="D16" s="10" t="s">
        <v>1301</v>
      </c>
      <c r="E16" s="6" t="s">
        <v>1302</v>
      </c>
    </row>
    <row r="17" customFormat="false" ht="15" hidden="false" customHeight="true" outlineLevel="0" collapsed="false">
      <c r="A17" s="10" t="s">
        <v>496</v>
      </c>
      <c r="B17" s="10" t="s">
        <v>1303</v>
      </c>
      <c r="C17" s="63" t="n">
        <v>0</v>
      </c>
      <c r="D17" s="10"/>
      <c r="E17" s="6" t="s">
        <v>1304</v>
      </c>
    </row>
    <row r="18" customFormat="false" ht="15" hidden="false" customHeight="true" outlineLevel="0" collapsed="false">
      <c r="A18" s="10" t="s">
        <v>496</v>
      </c>
      <c r="B18" s="10" t="s">
        <v>1305</v>
      </c>
      <c r="C18" s="63" t="n">
        <v>56.5</v>
      </c>
      <c r="D18" s="10"/>
      <c r="E18" s="6" t="s">
        <v>1306</v>
      </c>
    </row>
    <row r="19" customFormat="false" ht="15" hidden="false" customHeight="true" outlineLevel="0" collapsed="false">
      <c r="A19" s="10" t="s">
        <v>496</v>
      </c>
      <c r="B19" s="10" t="s">
        <v>1307</v>
      </c>
      <c r="C19" s="63" t="n">
        <v>23.1</v>
      </c>
      <c r="D19" s="10"/>
      <c r="E19" s="6" t="s">
        <v>1308</v>
      </c>
    </row>
    <row r="20" customFormat="false" ht="15" hidden="false" customHeight="true" outlineLevel="0" collapsed="false">
      <c r="A20" s="10" t="s">
        <v>496</v>
      </c>
      <c r="B20" s="10" t="s">
        <v>1309</v>
      </c>
      <c r="C20" s="63" t="n">
        <v>68</v>
      </c>
      <c r="D20" s="10"/>
      <c r="E20" s="6" t="s">
        <v>1310</v>
      </c>
    </row>
    <row r="21" customFormat="false" ht="15" hidden="false" customHeight="true" outlineLevel="0" collapsed="false">
      <c r="A21" s="10" t="s">
        <v>496</v>
      </c>
      <c r="B21" s="10" t="s">
        <v>1311</v>
      </c>
      <c r="C21" s="63" t="n">
        <v>37.6</v>
      </c>
      <c r="D21" s="10"/>
      <c r="E21" s="6" t="s">
        <v>1312</v>
      </c>
    </row>
    <row r="22" customFormat="false" ht="15" hidden="false" customHeight="true" outlineLevel="0" collapsed="false">
      <c r="A22" s="10" t="s">
        <v>496</v>
      </c>
      <c r="B22" s="10" t="s">
        <v>1313</v>
      </c>
      <c r="C22" s="63" t="n">
        <v>0</v>
      </c>
      <c r="D22" s="10"/>
      <c r="E22" s="6" t="s">
        <v>1314</v>
      </c>
    </row>
    <row r="23" customFormat="false" ht="15" hidden="false" customHeight="true" outlineLevel="0" collapsed="false">
      <c r="A23" s="10" t="s">
        <v>496</v>
      </c>
      <c r="B23" s="10" t="s">
        <v>1315</v>
      </c>
      <c r="C23" s="63" t="n">
        <v>0</v>
      </c>
      <c r="D23" s="10"/>
      <c r="E23" s="6" t="s">
        <v>1304</v>
      </c>
    </row>
    <row r="24" customFormat="false" ht="15" hidden="false" customHeight="true" outlineLevel="0" collapsed="false">
      <c r="A24" s="10" t="s">
        <v>496</v>
      </c>
      <c r="B24" s="10" t="s">
        <v>1316</v>
      </c>
      <c r="C24" s="63" t="n">
        <v>0</v>
      </c>
      <c r="D24" s="10"/>
      <c r="E24" s="6" t="s">
        <v>1317</v>
      </c>
    </row>
    <row r="25" customFormat="false" ht="15" hidden="false" customHeight="true" outlineLevel="0" collapsed="false">
      <c r="A25" s="10" t="s">
        <v>496</v>
      </c>
      <c r="B25" s="10" t="s">
        <v>1318</v>
      </c>
      <c r="C25" s="63" t="n">
        <v>82.203</v>
      </c>
      <c r="D25" s="10"/>
      <c r="E25" s="6" t="s">
        <v>1319</v>
      </c>
    </row>
    <row r="26" customFormat="false" ht="15" hidden="false" customHeight="true" outlineLevel="0" collapsed="false">
      <c r="A26" s="10" t="s">
        <v>496</v>
      </c>
      <c r="B26" s="10" t="s">
        <v>1320</v>
      </c>
      <c r="C26" s="63" t="n">
        <v>0</v>
      </c>
      <c r="D26" s="10"/>
      <c r="E26" s="6" t="s">
        <v>1321</v>
      </c>
    </row>
    <row r="27" customFormat="false" ht="15" hidden="false" customHeight="true" outlineLevel="0" collapsed="false">
      <c r="A27" s="10" t="s">
        <v>496</v>
      </c>
      <c r="B27" s="10" t="s">
        <v>1322</v>
      </c>
      <c r="C27" s="63" t="n">
        <v>0</v>
      </c>
      <c r="D27" s="10"/>
      <c r="E27" s="6" t="s">
        <v>1323</v>
      </c>
    </row>
    <row r="28" customFormat="false" ht="15" hidden="false" customHeight="true" outlineLevel="0" collapsed="false">
      <c r="A28" s="10" t="s">
        <v>496</v>
      </c>
      <c r="B28" s="10" t="s">
        <v>1324</v>
      </c>
      <c r="C28" s="63" t="n">
        <v>4.55</v>
      </c>
      <c r="D28" s="10" t="s">
        <v>1301</v>
      </c>
      <c r="E28" s="6" t="s">
        <v>1325</v>
      </c>
    </row>
    <row r="29" customFormat="false" ht="15" hidden="false" customHeight="true" outlineLevel="0" collapsed="false">
      <c r="A29" s="10" t="s">
        <v>496</v>
      </c>
      <c r="B29" s="10" t="s">
        <v>1326</v>
      </c>
      <c r="C29" s="63" t="n">
        <v>180.31</v>
      </c>
      <c r="D29" s="10"/>
      <c r="E29" s="6" t="s">
        <v>1327</v>
      </c>
    </row>
    <row r="30" customFormat="false" ht="15" hidden="false" customHeight="true" outlineLevel="0" collapsed="false">
      <c r="A30" s="10" t="s">
        <v>496</v>
      </c>
      <c r="B30" s="10" t="s">
        <v>1328</v>
      </c>
      <c r="C30" s="63" t="n">
        <v>975.412</v>
      </c>
      <c r="D30" s="10"/>
      <c r="E30" s="6" t="s">
        <v>1329</v>
      </c>
    </row>
    <row r="31" customFormat="false" ht="15" hidden="false" customHeight="true" outlineLevel="0" collapsed="false">
      <c r="A31" s="10" t="s">
        <v>496</v>
      </c>
      <c r="B31" s="10" t="s">
        <v>1330</v>
      </c>
      <c r="C31" s="63" t="n">
        <v>1.1</v>
      </c>
      <c r="D31" s="10"/>
      <c r="E31" s="6" t="s">
        <v>1329</v>
      </c>
    </row>
    <row r="32" customFormat="false" ht="15" hidden="false" customHeight="true" outlineLevel="0" collapsed="false">
      <c r="A32" s="10" t="s">
        <v>496</v>
      </c>
      <c r="B32" s="10" t="s">
        <v>1331</v>
      </c>
      <c r="C32" s="63" t="n">
        <v>1743.9</v>
      </c>
      <c r="D32" s="10"/>
      <c r="E32" s="6" t="s">
        <v>1332</v>
      </c>
    </row>
    <row r="33" customFormat="false" ht="15" hidden="false" customHeight="true" outlineLevel="0" collapsed="false">
      <c r="A33" s="10" t="s">
        <v>496</v>
      </c>
      <c r="B33" s="10" t="s">
        <v>1333</v>
      </c>
      <c r="C33" s="63" t="n">
        <v>2713.7</v>
      </c>
      <c r="D33" s="10"/>
      <c r="E33" s="6" t="s">
        <v>1332</v>
      </c>
    </row>
    <row r="34" customFormat="false" ht="15" hidden="false" customHeight="true" outlineLevel="0" collapsed="false">
      <c r="A34" s="10" t="s">
        <v>496</v>
      </c>
      <c r="B34" s="10" t="s">
        <v>1334</v>
      </c>
      <c r="C34" s="63" t="n">
        <v>30.166</v>
      </c>
      <c r="D34" s="10"/>
      <c r="E34" s="6" t="s">
        <v>1332</v>
      </c>
    </row>
    <row r="35" customFormat="false" ht="15" hidden="false" customHeight="true" outlineLevel="0" collapsed="false">
      <c r="A35" s="10" t="s">
        <v>496</v>
      </c>
      <c r="B35" s="10" t="s">
        <v>1335</v>
      </c>
      <c r="C35" s="63" t="n">
        <v>704.704</v>
      </c>
      <c r="D35" s="10"/>
      <c r="E35" s="6" t="s">
        <v>1332</v>
      </c>
    </row>
    <row r="36" customFormat="false" ht="15" hidden="false" customHeight="true" outlineLevel="0" collapsed="false">
      <c r="A36" s="10" t="s">
        <v>496</v>
      </c>
      <c r="B36" s="10" t="s">
        <v>1336</v>
      </c>
      <c r="C36" s="63" t="n">
        <v>0.266990210303364</v>
      </c>
      <c r="D36" s="10" t="s">
        <v>1301</v>
      </c>
      <c r="E36" s="6" t="s">
        <v>1337</v>
      </c>
    </row>
    <row r="37" customFormat="false" ht="15" hidden="false" customHeight="true" outlineLevel="0" collapsed="false">
      <c r="A37" s="10" t="s">
        <v>496</v>
      </c>
      <c r="B37" s="10" t="s">
        <v>1338</v>
      </c>
      <c r="C37" s="63" t="n">
        <v>5.45</v>
      </c>
      <c r="D37" s="10"/>
      <c r="E37" s="6" t="s">
        <v>1339</v>
      </c>
    </row>
    <row r="38" customFormat="false" ht="15" hidden="false" customHeight="true" outlineLevel="0" collapsed="false">
      <c r="A38" s="10" t="s">
        <v>496</v>
      </c>
      <c r="B38" s="10" t="s">
        <v>1340</v>
      </c>
      <c r="C38" s="63" t="n">
        <v>34.48</v>
      </c>
      <c r="D38" s="10"/>
      <c r="E38" s="6" t="s">
        <v>1341</v>
      </c>
    </row>
    <row r="39" customFormat="false" ht="15" hidden="false" customHeight="true" outlineLevel="0" collapsed="false">
      <c r="A39" s="10" t="s">
        <v>496</v>
      </c>
      <c r="B39" s="10" t="s">
        <v>1342</v>
      </c>
      <c r="C39" s="63" t="n">
        <v>457</v>
      </c>
      <c r="D39" s="10"/>
      <c r="E39" s="6" t="s">
        <v>1332</v>
      </c>
    </row>
    <row r="40" customFormat="false" ht="15" hidden="false" customHeight="true" outlineLevel="0" collapsed="false">
      <c r="A40" s="10" t="s">
        <v>496</v>
      </c>
      <c r="B40" s="10" t="s">
        <v>1343</v>
      </c>
      <c r="C40" s="10" t="s">
        <v>1344</v>
      </c>
      <c r="D40" s="10" t="s">
        <v>1301</v>
      </c>
      <c r="E40" s="6" t="s">
        <v>1345</v>
      </c>
    </row>
    <row r="41" customFormat="false" ht="15" hidden="false" customHeight="true" outlineLevel="0" collapsed="false">
      <c r="A41" s="10" t="s">
        <v>496</v>
      </c>
      <c r="B41" s="10" t="s">
        <v>1346</v>
      </c>
      <c r="C41" s="63" t="n">
        <v>533.281</v>
      </c>
      <c r="D41" s="10"/>
      <c r="E41" s="6" t="s">
        <v>1347</v>
      </c>
    </row>
    <row r="42" customFormat="false" ht="15" hidden="false" customHeight="true" outlineLevel="0" collapsed="false">
      <c r="A42" s="10" t="s">
        <v>496</v>
      </c>
      <c r="B42" s="10" t="s">
        <v>1348</v>
      </c>
      <c r="C42" s="63" t="n">
        <v>633.693</v>
      </c>
      <c r="D42" s="10"/>
      <c r="E42" s="6" t="s">
        <v>1349</v>
      </c>
    </row>
    <row r="43" customFormat="false" ht="15" hidden="false" customHeight="true" outlineLevel="0" collapsed="false">
      <c r="A43" s="10" t="s">
        <v>499</v>
      </c>
      <c r="B43" s="10" t="s">
        <v>1281</v>
      </c>
      <c r="C43" s="10" t="n">
        <v>1</v>
      </c>
      <c r="D43" s="10"/>
      <c r="E43" s="6"/>
    </row>
    <row r="44" customFormat="false" ht="15" hidden="false" customHeight="true" outlineLevel="0" collapsed="false">
      <c r="A44" s="10" t="s">
        <v>499</v>
      </c>
      <c r="B44" s="10" t="s">
        <v>1282</v>
      </c>
      <c r="C44" s="10" t="n">
        <v>1</v>
      </c>
      <c r="D44" s="10"/>
      <c r="E44" s="6"/>
    </row>
    <row r="45" customFormat="false" ht="15" hidden="false" customHeight="true" outlineLevel="0" collapsed="false">
      <c r="A45" s="10" t="s">
        <v>499</v>
      </c>
      <c r="B45" s="10" t="s">
        <v>1283</v>
      </c>
      <c r="C45" s="10" t="n">
        <v>4</v>
      </c>
      <c r="D45" s="10"/>
      <c r="E45" s="6" t="s">
        <v>1284</v>
      </c>
    </row>
    <row r="46" customFormat="false" ht="15" hidden="false" customHeight="true" outlineLevel="0" collapsed="false">
      <c r="A46" s="10" t="s">
        <v>499</v>
      </c>
      <c r="B46" s="10" t="s">
        <v>1285</v>
      </c>
      <c r="C46" s="63" t="n">
        <v>198.4</v>
      </c>
      <c r="D46" s="10"/>
      <c r="E46" s="6" t="s">
        <v>1350</v>
      </c>
    </row>
    <row r="47" customFormat="false" ht="15" hidden="false" customHeight="true" outlineLevel="0" collapsed="false">
      <c r="A47" s="10" t="s">
        <v>499</v>
      </c>
      <c r="B47" s="10" t="s">
        <v>1287</v>
      </c>
      <c r="C47" s="63" t="n">
        <v>1823.9</v>
      </c>
      <c r="D47" s="10"/>
      <c r="E47" s="6" t="s">
        <v>1351</v>
      </c>
    </row>
    <row r="48" customFormat="false" ht="15" hidden="false" customHeight="true" outlineLevel="0" collapsed="false">
      <c r="A48" s="10" t="s">
        <v>499</v>
      </c>
      <c r="B48" s="10" t="s">
        <v>1289</v>
      </c>
      <c r="C48" s="63" t="n">
        <v>0.1</v>
      </c>
      <c r="D48" s="10"/>
      <c r="E48" s="6" t="s">
        <v>1352</v>
      </c>
    </row>
    <row r="49" customFormat="false" ht="15" hidden="false" customHeight="true" outlineLevel="0" collapsed="false">
      <c r="A49" s="10" t="s">
        <v>499</v>
      </c>
      <c r="B49" s="10" t="s">
        <v>216</v>
      </c>
      <c r="C49" s="63" t="n">
        <v>12.931</v>
      </c>
      <c r="D49" s="10"/>
      <c r="E49" s="6" t="s">
        <v>1353</v>
      </c>
    </row>
    <row r="50" customFormat="false" ht="15" hidden="false" customHeight="true" outlineLevel="0" collapsed="false">
      <c r="A50" s="10" t="s">
        <v>499</v>
      </c>
      <c r="B50" s="10" t="s">
        <v>1292</v>
      </c>
      <c r="C50" s="63" t="n">
        <v>348.54</v>
      </c>
      <c r="D50" s="10"/>
      <c r="E50" s="6" t="s">
        <v>1354</v>
      </c>
    </row>
    <row r="51" customFormat="false" ht="15" hidden="false" customHeight="true" outlineLevel="0" collapsed="false">
      <c r="A51" s="10" t="s">
        <v>499</v>
      </c>
      <c r="B51" s="10" t="s">
        <v>1294</v>
      </c>
      <c r="C51" s="63" t="n">
        <v>-2.374</v>
      </c>
      <c r="D51" s="10"/>
      <c r="E51" s="6" t="s">
        <v>1355</v>
      </c>
    </row>
    <row r="52" customFormat="false" ht="15" hidden="false" customHeight="true" outlineLevel="0" collapsed="false">
      <c r="A52" s="10" t="s">
        <v>499</v>
      </c>
      <c r="B52" s="10" t="s">
        <v>1296</v>
      </c>
      <c r="C52" s="63" t="n">
        <v>505.799</v>
      </c>
      <c r="D52" s="10"/>
      <c r="E52" s="6" t="s">
        <v>1356</v>
      </c>
    </row>
    <row r="53" customFormat="false" ht="15" hidden="false" customHeight="true" outlineLevel="0" collapsed="false">
      <c r="A53" s="10" t="s">
        <v>499</v>
      </c>
      <c r="B53" s="10" t="s">
        <v>1298</v>
      </c>
      <c r="C53" s="63" t="n">
        <v>-82.094</v>
      </c>
      <c r="D53" s="10"/>
      <c r="E53" s="6" t="s">
        <v>1357</v>
      </c>
    </row>
    <row r="54" customFormat="false" ht="15" hidden="false" customHeight="true" outlineLevel="0" collapsed="false">
      <c r="A54" s="10" t="s">
        <v>499</v>
      </c>
      <c r="B54" s="10" t="s">
        <v>1300</v>
      </c>
      <c r="C54" s="63" t="n">
        <v>2.5</v>
      </c>
      <c r="D54" s="10" t="s">
        <v>1301</v>
      </c>
      <c r="E54" s="6" t="s">
        <v>1302</v>
      </c>
    </row>
    <row r="55" customFormat="false" ht="15" hidden="false" customHeight="true" outlineLevel="0" collapsed="false">
      <c r="A55" s="10" t="s">
        <v>499</v>
      </c>
      <c r="B55" s="10" t="s">
        <v>1303</v>
      </c>
      <c r="C55" s="63" t="n">
        <v>0</v>
      </c>
      <c r="D55" s="10"/>
      <c r="E55" s="6" t="s">
        <v>1304</v>
      </c>
    </row>
    <row r="56" customFormat="false" ht="15" hidden="false" customHeight="true" outlineLevel="0" collapsed="false">
      <c r="A56" s="10" t="s">
        <v>499</v>
      </c>
      <c r="B56" s="10" t="s">
        <v>1305</v>
      </c>
      <c r="C56" s="63" t="n">
        <v>31.5</v>
      </c>
      <c r="D56" s="10"/>
      <c r="E56" s="6" t="s">
        <v>1306</v>
      </c>
    </row>
    <row r="57" customFormat="false" ht="15" hidden="false" customHeight="true" outlineLevel="0" collapsed="false">
      <c r="A57" s="10" t="s">
        <v>499</v>
      </c>
      <c r="B57" s="10" t="s">
        <v>1307</v>
      </c>
      <c r="C57" s="63" t="n">
        <v>6.1</v>
      </c>
      <c r="D57" s="10"/>
      <c r="E57" s="6" t="s">
        <v>1308</v>
      </c>
    </row>
    <row r="58" customFormat="false" ht="15" hidden="false" customHeight="true" outlineLevel="0" collapsed="false">
      <c r="A58" s="10" t="s">
        <v>499</v>
      </c>
      <c r="B58" s="10" t="s">
        <v>1309</v>
      </c>
      <c r="C58" s="63" t="n">
        <v>37.3</v>
      </c>
      <c r="D58" s="10"/>
      <c r="E58" s="6" t="s">
        <v>1310</v>
      </c>
    </row>
    <row r="59" customFormat="false" ht="15" hidden="false" customHeight="true" outlineLevel="0" collapsed="false">
      <c r="A59" s="10" t="s">
        <v>499</v>
      </c>
      <c r="B59" s="10" t="s">
        <v>1311</v>
      </c>
      <c r="C59" s="63" t="n">
        <v>31.5</v>
      </c>
      <c r="D59" s="10"/>
      <c r="E59" s="6" t="s">
        <v>1312</v>
      </c>
    </row>
    <row r="60" customFormat="false" ht="15" hidden="false" customHeight="true" outlineLevel="0" collapsed="false">
      <c r="A60" s="10" t="s">
        <v>499</v>
      </c>
      <c r="B60" s="10" t="s">
        <v>1313</v>
      </c>
      <c r="C60" s="63" t="n">
        <v>0</v>
      </c>
      <c r="D60" s="10"/>
      <c r="E60" s="6" t="s">
        <v>1314</v>
      </c>
    </row>
    <row r="61" customFormat="false" ht="15" hidden="false" customHeight="true" outlineLevel="0" collapsed="false">
      <c r="A61" s="10" t="s">
        <v>499</v>
      </c>
      <c r="B61" s="10" t="s">
        <v>1315</v>
      </c>
      <c r="C61" s="63" t="n">
        <v>0</v>
      </c>
      <c r="D61" s="10"/>
      <c r="E61" s="6" t="s">
        <v>1304</v>
      </c>
    </row>
    <row r="62" customFormat="false" ht="15" hidden="false" customHeight="true" outlineLevel="0" collapsed="false">
      <c r="A62" s="10" t="s">
        <v>499</v>
      </c>
      <c r="B62" s="10" t="s">
        <v>1316</v>
      </c>
      <c r="C62" s="63" t="n">
        <v>0</v>
      </c>
      <c r="D62" s="10"/>
      <c r="E62" s="6" t="s">
        <v>1317</v>
      </c>
    </row>
    <row r="63" customFormat="false" ht="15" hidden="false" customHeight="true" outlineLevel="0" collapsed="false">
      <c r="A63" s="10" t="s">
        <v>499</v>
      </c>
      <c r="B63" s="10" t="s">
        <v>1318</v>
      </c>
      <c r="C63" s="63" t="n">
        <v>0</v>
      </c>
      <c r="D63" s="10"/>
      <c r="E63" s="6" t="s">
        <v>1358</v>
      </c>
    </row>
    <row r="64" customFormat="false" ht="15" hidden="false" customHeight="true" outlineLevel="0" collapsed="false">
      <c r="A64" s="10" t="s">
        <v>499</v>
      </c>
      <c r="B64" s="10" t="s">
        <v>1320</v>
      </c>
      <c r="C64" s="63" t="n">
        <v>49.867</v>
      </c>
      <c r="D64" s="10"/>
      <c r="E64" s="6" t="s">
        <v>1359</v>
      </c>
    </row>
    <row r="65" customFormat="false" ht="15" hidden="false" customHeight="true" outlineLevel="0" collapsed="false">
      <c r="A65" s="10" t="s">
        <v>499</v>
      </c>
      <c r="B65" s="10" t="s">
        <v>1322</v>
      </c>
      <c r="C65" s="63" t="n">
        <v>0</v>
      </c>
      <c r="D65" s="10"/>
      <c r="E65" s="6" t="s">
        <v>1323</v>
      </c>
    </row>
    <row r="66" customFormat="false" ht="15" hidden="false" customHeight="true" outlineLevel="0" collapsed="false">
      <c r="A66" s="10" t="s">
        <v>499</v>
      </c>
      <c r="B66" s="10" t="s">
        <v>1324</v>
      </c>
      <c r="C66" s="63" t="n">
        <v>4.55</v>
      </c>
      <c r="D66" s="10" t="s">
        <v>1301</v>
      </c>
      <c r="E66" s="6" t="s">
        <v>1325</v>
      </c>
    </row>
    <row r="67" customFormat="false" ht="15" hidden="false" customHeight="true" outlineLevel="0" collapsed="false">
      <c r="A67" s="10" t="s">
        <v>499</v>
      </c>
      <c r="B67" s="10" t="s">
        <v>1326</v>
      </c>
      <c r="C67" s="63" t="n">
        <v>83.31</v>
      </c>
      <c r="D67" s="10"/>
      <c r="E67" s="6" t="s">
        <v>1327</v>
      </c>
    </row>
    <row r="68" customFormat="false" ht="15" hidden="false" customHeight="true" outlineLevel="0" collapsed="false">
      <c r="A68" s="10" t="s">
        <v>499</v>
      </c>
      <c r="B68" s="10" t="s">
        <v>1328</v>
      </c>
      <c r="C68" s="63" t="n">
        <v>684</v>
      </c>
      <c r="D68" s="10"/>
      <c r="E68" s="6" t="s">
        <v>1360</v>
      </c>
    </row>
    <row r="69" customFormat="false" ht="15" hidden="false" customHeight="true" outlineLevel="0" collapsed="false">
      <c r="A69" s="10" t="s">
        <v>499</v>
      </c>
      <c r="B69" s="10" t="s">
        <v>1330</v>
      </c>
      <c r="C69" s="63" t="n">
        <v>1.12</v>
      </c>
      <c r="D69" s="10"/>
      <c r="E69" s="6" t="s">
        <v>1360</v>
      </c>
    </row>
    <row r="70" customFormat="false" ht="15" hidden="false" customHeight="true" outlineLevel="0" collapsed="false">
      <c r="A70" s="10" t="s">
        <v>499</v>
      </c>
      <c r="B70" s="10" t="s">
        <v>1331</v>
      </c>
      <c r="C70" s="63" t="n">
        <v>899.7</v>
      </c>
      <c r="D70" s="10"/>
      <c r="E70" s="6" t="s">
        <v>1361</v>
      </c>
    </row>
    <row r="71" customFormat="false" ht="15" hidden="false" customHeight="true" outlineLevel="0" collapsed="false">
      <c r="A71" s="10" t="s">
        <v>499</v>
      </c>
      <c r="B71" s="10" t="s">
        <v>1333</v>
      </c>
      <c r="C71" s="63" t="n">
        <v>2025.124</v>
      </c>
      <c r="D71" s="10"/>
      <c r="E71" s="6" t="s">
        <v>1362</v>
      </c>
    </row>
    <row r="72" customFormat="false" ht="15" hidden="false" customHeight="true" outlineLevel="0" collapsed="false">
      <c r="A72" s="10" t="s">
        <v>499</v>
      </c>
      <c r="B72" s="10" t="s">
        <v>1334</v>
      </c>
      <c r="C72" s="63" t="n">
        <v>59.979</v>
      </c>
      <c r="D72" s="10"/>
      <c r="E72" s="6" t="s">
        <v>1362</v>
      </c>
    </row>
    <row r="73" customFormat="false" ht="15" hidden="false" customHeight="true" outlineLevel="0" collapsed="false">
      <c r="A73" s="10" t="s">
        <v>499</v>
      </c>
      <c r="B73" s="10" t="s">
        <v>1335</v>
      </c>
      <c r="C73" s="63" t="n">
        <v>332.218</v>
      </c>
      <c r="D73" s="10"/>
      <c r="E73" s="6" t="s">
        <v>1362</v>
      </c>
    </row>
    <row r="74" customFormat="false" ht="15" hidden="false" customHeight="true" outlineLevel="0" collapsed="false">
      <c r="A74" s="10" t="s">
        <v>499</v>
      </c>
      <c r="B74" s="10" t="s">
        <v>1336</v>
      </c>
      <c r="C74" s="63" t="n">
        <v>0.17209184755133</v>
      </c>
      <c r="D74" s="10" t="s">
        <v>1301</v>
      </c>
      <c r="E74" s="6" t="s">
        <v>1337</v>
      </c>
    </row>
    <row r="75" customFormat="false" ht="15" hidden="false" customHeight="true" outlineLevel="0" collapsed="false">
      <c r="A75" s="10" t="s">
        <v>499</v>
      </c>
      <c r="B75" s="10" t="s">
        <v>1338</v>
      </c>
      <c r="C75" s="63" t="n">
        <v>27.98</v>
      </c>
      <c r="D75" s="10"/>
      <c r="E75" s="6" t="s">
        <v>1339</v>
      </c>
    </row>
    <row r="76" customFormat="false" ht="15" hidden="false" customHeight="true" outlineLevel="0" collapsed="false">
      <c r="A76" s="10" t="s">
        <v>499</v>
      </c>
      <c r="B76" s="10" t="s">
        <v>1340</v>
      </c>
      <c r="C76" s="63" t="n">
        <v>7.87</v>
      </c>
      <c r="D76" s="10"/>
      <c r="E76" s="6" t="s">
        <v>1341</v>
      </c>
    </row>
    <row r="77" customFormat="false" ht="15" hidden="false" customHeight="true" outlineLevel="0" collapsed="false">
      <c r="A77" s="10" t="s">
        <v>499</v>
      </c>
      <c r="B77" s="10" t="s">
        <v>1342</v>
      </c>
      <c r="C77" s="63" t="n">
        <v>357</v>
      </c>
      <c r="D77" s="10"/>
      <c r="E77" s="6" t="s">
        <v>1363</v>
      </c>
    </row>
    <row r="78" customFormat="false" ht="15" hidden="false" customHeight="true" outlineLevel="0" collapsed="false">
      <c r="A78" s="10" t="s">
        <v>499</v>
      </c>
      <c r="B78" s="10" t="s">
        <v>1343</v>
      </c>
      <c r="C78" s="10" t="s">
        <v>1364</v>
      </c>
      <c r="D78" s="10" t="s">
        <v>1301</v>
      </c>
      <c r="E78" s="6" t="s">
        <v>1345</v>
      </c>
    </row>
    <row r="79" customFormat="false" ht="15" hidden="false" customHeight="true" outlineLevel="0" collapsed="false">
      <c r="A79" s="10" t="s">
        <v>499</v>
      </c>
      <c r="B79" s="10" t="s">
        <v>1346</v>
      </c>
      <c r="C79" s="63" t="n">
        <v>335.222</v>
      </c>
      <c r="D79" s="10"/>
      <c r="E79" s="6" t="s">
        <v>1347</v>
      </c>
    </row>
    <row r="80" customFormat="false" ht="15" hidden="false" customHeight="true" outlineLevel="0" collapsed="false">
      <c r="A80" s="10" t="s">
        <v>499</v>
      </c>
      <c r="B80" s="10" t="s">
        <v>1348</v>
      </c>
      <c r="C80" s="63" t="n">
        <v>200.993</v>
      </c>
      <c r="D80" s="10"/>
      <c r="E80" s="6" t="s">
        <v>1349</v>
      </c>
    </row>
    <row r="81" customFormat="false" ht="15" hidden="false" customHeight="true" outlineLevel="0" collapsed="false">
      <c r="A81" s="10" t="s">
        <v>501</v>
      </c>
      <c r="B81" s="10" t="s">
        <v>1281</v>
      </c>
      <c r="C81" s="10" t="n">
        <v>1</v>
      </c>
      <c r="D81" s="10"/>
      <c r="E81" s="6"/>
    </row>
    <row r="82" customFormat="false" ht="15" hidden="false" customHeight="true" outlineLevel="0" collapsed="false">
      <c r="A82" s="10" t="s">
        <v>501</v>
      </c>
      <c r="B82" s="10" t="s">
        <v>1282</v>
      </c>
      <c r="C82" s="10" t="n">
        <v>1</v>
      </c>
      <c r="D82" s="10"/>
      <c r="E82" s="6"/>
    </row>
    <row r="83" customFormat="false" ht="15" hidden="false" customHeight="true" outlineLevel="0" collapsed="false">
      <c r="A83" s="10" t="s">
        <v>501</v>
      </c>
      <c r="B83" s="10" t="s">
        <v>1283</v>
      </c>
      <c r="C83" s="10" t="n">
        <v>3</v>
      </c>
      <c r="D83" s="10"/>
      <c r="E83" s="6" t="s">
        <v>1284</v>
      </c>
    </row>
    <row r="84" customFormat="false" ht="15" hidden="false" customHeight="true" outlineLevel="0" collapsed="false">
      <c r="A84" s="10" t="s">
        <v>501</v>
      </c>
      <c r="B84" s="10" t="s">
        <v>1285</v>
      </c>
      <c r="C84" s="63" t="n">
        <v>157.4</v>
      </c>
      <c r="D84" s="10"/>
      <c r="E84" s="6" t="s">
        <v>1365</v>
      </c>
    </row>
    <row r="85" customFormat="false" ht="15" hidden="false" customHeight="true" outlineLevel="0" collapsed="false">
      <c r="A85" s="10" t="s">
        <v>501</v>
      </c>
      <c r="B85" s="10" t="s">
        <v>1287</v>
      </c>
      <c r="C85" s="63" t="n">
        <v>1231.9</v>
      </c>
      <c r="D85" s="10"/>
      <c r="E85" s="6" t="s">
        <v>1366</v>
      </c>
    </row>
    <row r="86" customFormat="false" ht="15" hidden="false" customHeight="true" outlineLevel="0" collapsed="false">
      <c r="A86" s="10" t="s">
        <v>501</v>
      </c>
      <c r="B86" s="10" t="s">
        <v>1289</v>
      </c>
      <c r="C86" s="63" t="n">
        <v>0.116</v>
      </c>
      <c r="D86" s="10"/>
      <c r="E86" s="6" t="s">
        <v>1367</v>
      </c>
    </row>
    <row r="87" customFormat="false" ht="15" hidden="false" customHeight="true" outlineLevel="0" collapsed="false">
      <c r="A87" s="10" t="s">
        <v>501</v>
      </c>
      <c r="B87" s="10" t="s">
        <v>216</v>
      </c>
      <c r="C87" s="63" t="n">
        <v>10.551</v>
      </c>
      <c r="D87" s="10"/>
      <c r="E87" s="6" t="s">
        <v>1368</v>
      </c>
    </row>
    <row r="88" customFormat="false" ht="15" hidden="false" customHeight="true" outlineLevel="0" collapsed="false">
      <c r="A88" s="10" t="s">
        <v>501</v>
      </c>
      <c r="B88" s="10" t="s">
        <v>1292</v>
      </c>
      <c r="C88" s="63" t="n">
        <v>286.765</v>
      </c>
      <c r="D88" s="10"/>
      <c r="E88" s="6" t="s">
        <v>1369</v>
      </c>
    </row>
    <row r="89" customFormat="false" ht="15" hidden="false" customHeight="true" outlineLevel="0" collapsed="false">
      <c r="A89" s="10" t="s">
        <v>501</v>
      </c>
      <c r="B89" s="10" t="s">
        <v>1294</v>
      </c>
      <c r="C89" s="63" t="n">
        <v>-1.084</v>
      </c>
      <c r="D89" s="10"/>
      <c r="E89" s="6" t="s">
        <v>1370</v>
      </c>
    </row>
    <row r="90" customFormat="false" ht="15" hidden="false" customHeight="true" outlineLevel="0" collapsed="false">
      <c r="A90" s="10" t="s">
        <v>501</v>
      </c>
      <c r="B90" s="10" t="s">
        <v>1296</v>
      </c>
      <c r="C90" s="63" t="n">
        <v>167.893</v>
      </c>
      <c r="D90" s="10"/>
      <c r="E90" s="6" t="s">
        <v>1371</v>
      </c>
    </row>
    <row r="91" customFormat="false" ht="15" hidden="false" customHeight="true" outlineLevel="0" collapsed="false">
      <c r="A91" s="10" t="s">
        <v>501</v>
      </c>
      <c r="B91" s="10" t="s">
        <v>1298</v>
      </c>
      <c r="C91" s="63" t="n">
        <v>-10.369</v>
      </c>
      <c r="D91" s="10"/>
      <c r="E91" s="6" t="s">
        <v>1372</v>
      </c>
    </row>
    <row r="92" customFormat="false" ht="15" hidden="false" customHeight="true" outlineLevel="0" collapsed="false">
      <c r="A92" s="10" t="s">
        <v>501</v>
      </c>
      <c r="B92" s="10" t="s">
        <v>1300</v>
      </c>
      <c r="C92" s="63" t="n">
        <v>2.5</v>
      </c>
      <c r="D92" s="10" t="s">
        <v>1301</v>
      </c>
      <c r="E92" s="6" t="s">
        <v>1302</v>
      </c>
    </row>
    <row r="93" customFormat="false" ht="15" hidden="false" customHeight="true" outlineLevel="0" collapsed="false">
      <c r="A93" s="10" t="s">
        <v>501</v>
      </c>
      <c r="B93" s="10" t="s">
        <v>1303</v>
      </c>
      <c r="C93" s="63" t="n">
        <v>0</v>
      </c>
      <c r="D93" s="10"/>
      <c r="E93" s="6" t="s">
        <v>1304</v>
      </c>
    </row>
    <row r="94" customFormat="false" ht="15" hidden="false" customHeight="true" outlineLevel="0" collapsed="false">
      <c r="A94" s="10" t="s">
        <v>501</v>
      </c>
      <c r="B94" s="10" t="s">
        <v>1305</v>
      </c>
      <c r="C94" s="63" t="n">
        <v>51.4</v>
      </c>
      <c r="D94" s="10"/>
      <c r="E94" s="6" t="s">
        <v>1306</v>
      </c>
    </row>
    <row r="95" customFormat="false" ht="15" hidden="false" customHeight="true" outlineLevel="0" collapsed="false">
      <c r="A95" s="10" t="s">
        <v>501</v>
      </c>
      <c r="B95" s="10" t="s">
        <v>1307</v>
      </c>
      <c r="C95" s="63" t="n">
        <v>19.8</v>
      </c>
      <c r="D95" s="10"/>
      <c r="E95" s="6" t="s">
        <v>1308</v>
      </c>
    </row>
    <row r="96" customFormat="false" ht="15" hidden="false" customHeight="true" outlineLevel="0" collapsed="false">
      <c r="A96" s="10" t="s">
        <v>501</v>
      </c>
      <c r="B96" s="10" t="s">
        <v>1309</v>
      </c>
      <c r="C96" s="63" t="n">
        <v>9</v>
      </c>
      <c r="D96" s="10"/>
      <c r="E96" s="6" t="s">
        <v>1310</v>
      </c>
    </row>
    <row r="97" customFormat="false" ht="15" hidden="false" customHeight="true" outlineLevel="0" collapsed="false">
      <c r="A97" s="10" t="s">
        <v>501</v>
      </c>
      <c r="B97" s="10" t="s">
        <v>1311</v>
      </c>
      <c r="C97" s="63" t="n">
        <v>4.2</v>
      </c>
      <c r="D97" s="10"/>
      <c r="E97" s="6" t="s">
        <v>1312</v>
      </c>
    </row>
    <row r="98" customFormat="false" ht="15" hidden="false" customHeight="true" outlineLevel="0" collapsed="false">
      <c r="A98" s="10" t="s">
        <v>501</v>
      </c>
      <c r="B98" s="10" t="s">
        <v>1313</v>
      </c>
      <c r="C98" s="63" t="n">
        <v>10.6</v>
      </c>
      <c r="D98" s="10"/>
      <c r="E98" s="6" t="s">
        <v>1373</v>
      </c>
    </row>
    <row r="99" customFormat="false" ht="15" hidden="false" customHeight="true" outlineLevel="0" collapsed="false">
      <c r="A99" s="10" t="s">
        <v>501</v>
      </c>
      <c r="B99" s="10" t="s">
        <v>1315</v>
      </c>
      <c r="C99" s="63" t="n">
        <v>0</v>
      </c>
      <c r="D99" s="10"/>
      <c r="E99" s="6" t="s">
        <v>1374</v>
      </c>
    </row>
    <row r="100" customFormat="false" ht="15" hidden="false" customHeight="true" outlineLevel="0" collapsed="false">
      <c r="A100" s="10" t="s">
        <v>501</v>
      </c>
      <c r="B100" s="10" t="s">
        <v>1316</v>
      </c>
      <c r="C100" s="63" t="n">
        <v>0</v>
      </c>
      <c r="D100" s="10"/>
      <c r="E100" s="6" t="s">
        <v>1317</v>
      </c>
    </row>
    <row r="101" customFormat="false" ht="15" hidden="false" customHeight="true" outlineLevel="0" collapsed="false">
      <c r="A101" s="10" t="s">
        <v>501</v>
      </c>
      <c r="B101" s="10" t="s">
        <v>1318</v>
      </c>
      <c r="C101" s="63" t="n">
        <v>83.322</v>
      </c>
      <c r="D101" s="10"/>
      <c r="E101" s="6" t="s">
        <v>1375</v>
      </c>
    </row>
    <row r="102" customFormat="false" ht="15" hidden="false" customHeight="true" outlineLevel="0" collapsed="false">
      <c r="A102" s="10" t="s">
        <v>501</v>
      </c>
      <c r="B102" s="10" t="s">
        <v>1320</v>
      </c>
      <c r="C102" s="63" t="n">
        <v>0</v>
      </c>
      <c r="D102" s="10"/>
      <c r="E102" s="6" t="s">
        <v>1321</v>
      </c>
    </row>
    <row r="103" customFormat="false" ht="15" hidden="false" customHeight="true" outlineLevel="0" collapsed="false">
      <c r="A103" s="10" t="s">
        <v>501</v>
      </c>
      <c r="B103" s="10" t="s">
        <v>1322</v>
      </c>
      <c r="C103" s="63" t="n">
        <v>3</v>
      </c>
      <c r="D103" s="10"/>
      <c r="E103" s="6" t="s">
        <v>1376</v>
      </c>
    </row>
    <row r="104" customFormat="false" ht="15" hidden="false" customHeight="true" outlineLevel="0" collapsed="false">
      <c r="A104" s="10" t="s">
        <v>501</v>
      </c>
      <c r="B104" s="10" t="s">
        <v>1324</v>
      </c>
      <c r="C104" s="63" t="n">
        <v>4.55</v>
      </c>
      <c r="D104" s="10" t="s">
        <v>1301</v>
      </c>
      <c r="E104" s="6" t="s">
        <v>1325</v>
      </c>
    </row>
    <row r="105" customFormat="false" ht="15" hidden="false" customHeight="true" outlineLevel="0" collapsed="false">
      <c r="A105" s="10" t="s">
        <v>501</v>
      </c>
      <c r="B105" s="10" t="s">
        <v>1326</v>
      </c>
      <c r="C105" s="63" t="n">
        <v>37.19</v>
      </c>
      <c r="D105" s="10"/>
      <c r="E105" s="6" t="s">
        <v>1327</v>
      </c>
    </row>
    <row r="106" customFormat="false" ht="15" hidden="false" customHeight="true" outlineLevel="0" collapsed="false">
      <c r="A106" s="10" t="s">
        <v>501</v>
      </c>
      <c r="B106" s="10" t="s">
        <v>1328</v>
      </c>
      <c r="C106" s="63" t="n">
        <v>641.2</v>
      </c>
      <c r="D106" s="10"/>
      <c r="E106" s="6" t="s">
        <v>1377</v>
      </c>
    </row>
    <row r="107" customFormat="false" ht="15" hidden="false" customHeight="true" outlineLevel="0" collapsed="false">
      <c r="A107" s="10" t="s">
        <v>501</v>
      </c>
      <c r="B107" s="10" t="s">
        <v>1330</v>
      </c>
      <c r="C107" s="63" t="n">
        <v>1.13</v>
      </c>
      <c r="D107" s="10"/>
      <c r="E107" s="6" t="s">
        <v>1377</v>
      </c>
    </row>
    <row r="108" customFormat="false" ht="15" hidden="false" customHeight="true" outlineLevel="0" collapsed="false">
      <c r="A108" s="10" t="s">
        <v>501</v>
      </c>
      <c r="B108" s="10" t="s">
        <v>1331</v>
      </c>
      <c r="C108" s="63" t="n">
        <v>739.5</v>
      </c>
      <c r="D108" s="10"/>
      <c r="E108" s="6" t="s">
        <v>1361</v>
      </c>
    </row>
    <row r="109" customFormat="false" ht="15" hidden="false" customHeight="true" outlineLevel="0" collapsed="false">
      <c r="A109" s="10" t="s">
        <v>501</v>
      </c>
      <c r="B109" s="10" t="s">
        <v>1333</v>
      </c>
      <c r="C109" s="63" t="n">
        <v>1492.607</v>
      </c>
      <c r="D109" s="10"/>
      <c r="E109" s="6" t="s">
        <v>1378</v>
      </c>
    </row>
    <row r="110" customFormat="false" ht="15" hidden="false" customHeight="true" outlineLevel="0" collapsed="false">
      <c r="A110" s="10" t="s">
        <v>501</v>
      </c>
      <c r="B110" s="10" t="s">
        <v>1334</v>
      </c>
      <c r="C110" s="63" t="n">
        <v>60.978</v>
      </c>
      <c r="D110" s="10"/>
      <c r="E110" s="6" t="s">
        <v>1378</v>
      </c>
    </row>
    <row r="111" customFormat="false" ht="15" hidden="false" customHeight="true" outlineLevel="0" collapsed="false">
      <c r="A111" s="10" t="s">
        <v>501</v>
      </c>
      <c r="B111" s="10" t="s">
        <v>1335</v>
      </c>
      <c r="C111" s="63" t="n">
        <v>411.126</v>
      </c>
      <c r="D111" s="10"/>
      <c r="E111" s="6" t="s">
        <v>1378</v>
      </c>
    </row>
    <row r="112" customFormat="false" ht="15" hidden="false" customHeight="true" outlineLevel="0" collapsed="false">
      <c r="A112" s="10" t="s">
        <v>501</v>
      </c>
      <c r="B112" s="10" t="s">
        <v>1336</v>
      </c>
      <c r="C112" s="63" t="n">
        <v>0.194044732931884</v>
      </c>
      <c r="D112" s="10" t="s">
        <v>1301</v>
      </c>
      <c r="E112" s="6" t="s">
        <v>1337</v>
      </c>
    </row>
    <row r="113" customFormat="false" ht="15" hidden="false" customHeight="true" outlineLevel="0" collapsed="false">
      <c r="A113" s="10" t="s">
        <v>501</v>
      </c>
      <c r="B113" s="10" t="s">
        <v>1338</v>
      </c>
      <c r="C113" s="63" t="n">
        <v>3.89</v>
      </c>
      <c r="D113" s="10"/>
      <c r="E113" s="6" t="s">
        <v>1339</v>
      </c>
    </row>
    <row r="114" customFormat="false" ht="15" hidden="false" customHeight="true" outlineLevel="0" collapsed="false">
      <c r="A114" s="10" t="s">
        <v>501</v>
      </c>
      <c r="B114" s="10" t="s">
        <v>1340</v>
      </c>
      <c r="C114" s="63" t="n">
        <v>17.48</v>
      </c>
      <c r="D114" s="10"/>
      <c r="E114" s="6" t="s">
        <v>1341</v>
      </c>
    </row>
    <row r="115" customFormat="false" ht="15" hidden="false" customHeight="true" outlineLevel="0" collapsed="false">
      <c r="A115" s="10" t="s">
        <v>501</v>
      </c>
      <c r="B115" s="10" t="s">
        <v>1342</v>
      </c>
      <c r="C115" s="63" t="n">
        <v>163</v>
      </c>
      <c r="D115" s="10"/>
      <c r="E115" s="6" t="s">
        <v>1378</v>
      </c>
    </row>
    <row r="116" customFormat="false" ht="15" hidden="false" customHeight="true" outlineLevel="0" collapsed="false">
      <c r="A116" s="10" t="s">
        <v>501</v>
      </c>
      <c r="B116" s="10" t="s">
        <v>1343</v>
      </c>
      <c r="C116" s="10" t="s">
        <v>1379</v>
      </c>
      <c r="D116" s="10" t="s">
        <v>1301</v>
      </c>
      <c r="E116" s="6" t="s">
        <v>1345</v>
      </c>
    </row>
    <row r="117" customFormat="false" ht="15" hidden="false" customHeight="true" outlineLevel="0" collapsed="false">
      <c r="A117" s="10" t="s">
        <v>501</v>
      </c>
      <c r="B117" s="10" t="s">
        <v>1346</v>
      </c>
      <c r="C117" s="63" t="n">
        <v>297.956</v>
      </c>
      <c r="D117" s="10"/>
      <c r="E117" s="6" t="s">
        <v>1347</v>
      </c>
    </row>
    <row r="118" customFormat="false" ht="15" hidden="false" customHeight="true" outlineLevel="0" collapsed="false">
      <c r="A118" s="10" t="s">
        <v>501</v>
      </c>
      <c r="B118" s="10" t="s">
        <v>1348</v>
      </c>
      <c r="C118" s="63" t="n">
        <v>442.819</v>
      </c>
      <c r="D118" s="10"/>
      <c r="E118" s="6" t="s">
        <v>1349</v>
      </c>
    </row>
    <row r="119" customFormat="false" ht="15" hidden="false" customHeight="true" outlineLevel="0" collapsed="false">
      <c r="A119" s="10" t="s">
        <v>503</v>
      </c>
      <c r="B119" s="10" t="s">
        <v>1281</v>
      </c>
      <c r="C119" s="10" t="n">
        <v>1</v>
      </c>
      <c r="D119" s="10"/>
      <c r="E119" s="6"/>
    </row>
    <row r="120" customFormat="false" ht="15" hidden="false" customHeight="true" outlineLevel="0" collapsed="false">
      <c r="A120" s="10" t="s">
        <v>503</v>
      </c>
      <c r="B120" s="10" t="s">
        <v>1282</v>
      </c>
      <c r="C120" s="10" t="n">
        <v>1</v>
      </c>
      <c r="D120" s="10"/>
      <c r="E120" s="6"/>
    </row>
    <row r="121" customFormat="false" ht="15" hidden="false" customHeight="true" outlineLevel="0" collapsed="false">
      <c r="A121" s="10" t="s">
        <v>503</v>
      </c>
      <c r="B121" s="10" t="s">
        <v>1283</v>
      </c>
      <c r="C121" s="10" t="n">
        <v>3</v>
      </c>
      <c r="D121" s="10"/>
      <c r="E121" s="6" t="s">
        <v>1284</v>
      </c>
    </row>
    <row r="122" customFormat="false" ht="15" hidden="false" customHeight="true" outlineLevel="0" collapsed="false">
      <c r="A122" s="10" t="s">
        <v>503</v>
      </c>
      <c r="B122" s="10" t="s">
        <v>1285</v>
      </c>
      <c r="C122" s="63" t="n">
        <v>134.6</v>
      </c>
      <c r="D122" s="10"/>
      <c r="E122" s="6" t="s">
        <v>1380</v>
      </c>
    </row>
    <row r="123" customFormat="false" ht="15" hidden="false" customHeight="true" outlineLevel="0" collapsed="false">
      <c r="A123" s="10" t="s">
        <v>503</v>
      </c>
      <c r="B123" s="10" t="s">
        <v>1287</v>
      </c>
      <c r="C123" s="63" t="n">
        <v>1339.8</v>
      </c>
      <c r="D123" s="10"/>
      <c r="E123" s="6" t="s">
        <v>1381</v>
      </c>
    </row>
    <row r="124" customFormat="false" ht="15" hidden="false" customHeight="true" outlineLevel="0" collapsed="false">
      <c r="A124" s="10" t="s">
        <v>503</v>
      </c>
      <c r="B124" s="10" t="s">
        <v>1289</v>
      </c>
      <c r="C124" s="63" t="n">
        <v>0.085</v>
      </c>
      <c r="D124" s="10"/>
      <c r="E124" s="6" t="s">
        <v>1382</v>
      </c>
    </row>
    <row r="125" customFormat="false" ht="15" hidden="false" customHeight="true" outlineLevel="0" collapsed="false">
      <c r="A125" s="10" t="s">
        <v>503</v>
      </c>
      <c r="B125" s="10" t="s">
        <v>216</v>
      </c>
      <c r="C125" s="63" t="n">
        <v>8.961</v>
      </c>
      <c r="D125" s="10"/>
      <c r="E125" s="6" t="s">
        <v>1383</v>
      </c>
    </row>
    <row r="126" customFormat="false" ht="15" hidden="false" customHeight="true" outlineLevel="0" collapsed="false">
      <c r="A126" s="10" t="s">
        <v>503</v>
      </c>
      <c r="B126" s="10" t="s">
        <v>1292</v>
      </c>
      <c r="C126" s="63" t="n">
        <v>250.326</v>
      </c>
      <c r="D126" s="10"/>
      <c r="E126" s="6" t="s">
        <v>1384</v>
      </c>
    </row>
    <row r="127" customFormat="false" ht="15" hidden="false" customHeight="true" outlineLevel="0" collapsed="false">
      <c r="A127" s="10" t="s">
        <v>503</v>
      </c>
      <c r="B127" s="10" t="s">
        <v>1294</v>
      </c>
      <c r="C127" s="63" t="n">
        <v>-3.267</v>
      </c>
      <c r="D127" s="10"/>
      <c r="E127" s="6" t="s">
        <v>1385</v>
      </c>
    </row>
    <row r="128" customFormat="false" ht="15" hidden="false" customHeight="true" outlineLevel="0" collapsed="false">
      <c r="A128" s="10" t="s">
        <v>503</v>
      </c>
      <c r="B128" s="10" t="s">
        <v>1296</v>
      </c>
      <c r="C128" s="63" t="n">
        <v>198.573</v>
      </c>
      <c r="D128" s="10"/>
      <c r="E128" s="6" t="s">
        <v>1386</v>
      </c>
    </row>
    <row r="129" customFormat="false" ht="15" hidden="false" customHeight="true" outlineLevel="0" collapsed="false">
      <c r="A129" s="10" t="s">
        <v>503</v>
      </c>
      <c r="B129" s="10" t="s">
        <v>1298</v>
      </c>
      <c r="C129" s="63" t="n">
        <v>-32.408</v>
      </c>
      <c r="D129" s="10"/>
      <c r="E129" s="6" t="s">
        <v>1387</v>
      </c>
    </row>
    <row r="130" customFormat="false" ht="15" hidden="false" customHeight="true" outlineLevel="0" collapsed="false">
      <c r="A130" s="10" t="s">
        <v>503</v>
      </c>
      <c r="B130" s="10" t="s">
        <v>1300</v>
      </c>
      <c r="C130" s="63" t="n">
        <v>2.5</v>
      </c>
      <c r="D130" s="10" t="s">
        <v>1301</v>
      </c>
      <c r="E130" s="6" t="s">
        <v>1302</v>
      </c>
    </row>
    <row r="131" customFormat="false" ht="15" hidden="false" customHeight="true" outlineLevel="0" collapsed="false">
      <c r="A131" s="10" t="s">
        <v>503</v>
      </c>
      <c r="B131" s="10" t="s">
        <v>1303</v>
      </c>
      <c r="C131" s="63" t="n">
        <v>0</v>
      </c>
      <c r="D131" s="10"/>
      <c r="E131" s="6" t="s">
        <v>1304</v>
      </c>
    </row>
    <row r="132" customFormat="false" ht="15" hidden="false" customHeight="true" outlineLevel="0" collapsed="false">
      <c r="A132" s="10" t="s">
        <v>503</v>
      </c>
      <c r="B132" s="10" t="s">
        <v>1305</v>
      </c>
      <c r="C132" s="63" t="n">
        <v>72</v>
      </c>
      <c r="D132" s="10"/>
      <c r="E132" s="6" t="s">
        <v>1306</v>
      </c>
    </row>
    <row r="133" customFormat="false" ht="15" hidden="false" customHeight="true" outlineLevel="0" collapsed="false">
      <c r="A133" s="10" t="s">
        <v>503</v>
      </c>
      <c r="B133" s="10" t="s">
        <v>1307</v>
      </c>
      <c r="C133" s="63" t="n">
        <v>36.2</v>
      </c>
      <c r="D133" s="10"/>
      <c r="E133" s="6" t="s">
        <v>1308</v>
      </c>
    </row>
    <row r="134" customFormat="false" ht="15" hidden="false" customHeight="true" outlineLevel="0" collapsed="false">
      <c r="A134" s="10" t="s">
        <v>503</v>
      </c>
      <c r="B134" s="10" t="s">
        <v>1309</v>
      </c>
      <c r="C134" s="63" t="n">
        <v>56.7</v>
      </c>
      <c r="D134" s="10"/>
      <c r="E134" s="6" t="s">
        <v>1310</v>
      </c>
    </row>
    <row r="135" customFormat="false" ht="15" hidden="false" customHeight="true" outlineLevel="0" collapsed="false">
      <c r="A135" s="10" t="s">
        <v>503</v>
      </c>
      <c r="B135" s="10" t="s">
        <v>1311</v>
      </c>
      <c r="C135" s="63" t="n">
        <v>27.6</v>
      </c>
      <c r="D135" s="10"/>
      <c r="E135" s="6" t="s">
        <v>1312</v>
      </c>
    </row>
    <row r="136" customFormat="false" ht="15" hidden="false" customHeight="true" outlineLevel="0" collapsed="false">
      <c r="A136" s="10" t="s">
        <v>503</v>
      </c>
      <c r="B136" s="10" t="s">
        <v>1313</v>
      </c>
      <c r="C136" s="63" t="n">
        <v>0</v>
      </c>
      <c r="D136" s="10"/>
      <c r="E136" s="6" t="s">
        <v>1314</v>
      </c>
    </row>
    <row r="137" customFormat="false" ht="15" hidden="false" customHeight="true" outlineLevel="0" collapsed="false">
      <c r="A137" s="10" t="s">
        <v>503</v>
      </c>
      <c r="B137" s="10" t="s">
        <v>1315</v>
      </c>
      <c r="C137" s="63" t="n">
        <v>0</v>
      </c>
      <c r="D137" s="10"/>
      <c r="E137" s="6" t="s">
        <v>1304</v>
      </c>
    </row>
    <row r="138" customFormat="false" ht="15" hidden="false" customHeight="true" outlineLevel="0" collapsed="false">
      <c r="A138" s="10" t="s">
        <v>503</v>
      </c>
      <c r="B138" s="10" t="s">
        <v>1316</v>
      </c>
      <c r="C138" s="63" t="n">
        <v>0</v>
      </c>
      <c r="D138" s="10"/>
      <c r="E138" s="6" t="s">
        <v>1317</v>
      </c>
    </row>
    <row r="139" customFormat="false" ht="15" hidden="false" customHeight="true" outlineLevel="0" collapsed="false">
      <c r="A139" s="10" t="s">
        <v>503</v>
      </c>
      <c r="B139" s="10" t="s">
        <v>1318</v>
      </c>
      <c r="C139" s="63" t="n">
        <v>0</v>
      </c>
      <c r="D139" s="10"/>
      <c r="E139" s="6" t="s">
        <v>1358</v>
      </c>
    </row>
    <row r="140" customFormat="false" ht="15" hidden="false" customHeight="true" outlineLevel="0" collapsed="false">
      <c r="A140" s="10" t="s">
        <v>503</v>
      </c>
      <c r="B140" s="10" t="s">
        <v>1320</v>
      </c>
      <c r="C140" s="63" t="n">
        <v>0</v>
      </c>
      <c r="D140" s="10"/>
      <c r="E140" s="6" t="s">
        <v>1321</v>
      </c>
    </row>
    <row r="141" customFormat="false" ht="15" hidden="false" customHeight="true" outlineLevel="0" collapsed="false">
      <c r="A141" s="10" t="s">
        <v>503</v>
      </c>
      <c r="B141" s="10" t="s">
        <v>1322</v>
      </c>
      <c r="C141" s="63" t="n">
        <v>2.6</v>
      </c>
      <c r="D141" s="10"/>
      <c r="E141" s="6" t="s">
        <v>1388</v>
      </c>
    </row>
    <row r="142" customFormat="false" ht="15" hidden="false" customHeight="true" outlineLevel="0" collapsed="false">
      <c r="A142" s="10" t="s">
        <v>503</v>
      </c>
      <c r="B142" s="10" t="s">
        <v>1324</v>
      </c>
      <c r="C142" s="63" t="n">
        <v>4.55</v>
      </c>
      <c r="D142" s="10" t="s">
        <v>1301</v>
      </c>
      <c r="E142" s="6" t="s">
        <v>1325</v>
      </c>
    </row>
    <row r="143" customFormat="false" ht="15" hidden="false" customHeight="true" outlineLevel="0" collapsed="false">
      <c r="A143" s="10" t="s">
        <v>503</v>
      </c>
      <c r="B143" s="10" t="s">
        <v>1326</v>
      </c>
      <c r="C143" s="63" t="n">
        <v>126.02</v>
      </c>
      <c r="D143" s="10"/>
      <c r="E143" s="6" t="s">
        <v>1327</v>
      </c>
    </row>
    <row r="144" customFormat="false" ht="15" hidden="false" customHeight="true" outlineLevel="0" collapsed="false">
      <c r="A144" s="10" t="s">
        <v>503</v>
      </c>
      <c r="B144" s="10" t="s">
        <v>1328</v>
      </c>
      <c r="C144" s="63" t="n">
        <v>414.24</v>
      </c>
      <c r="D144" s="10"/>
      <c r="E144" s="6" t="s">
        <v>1389</v>
      </c>
    </row>
    <row r="145" customFormat="false" ht="15" hidden="false" customHeight="true" outlineLevel="0" collapsed="false">
      <c r="A145" s="10" t="s">
        <v>503</v>
      </c>
      <c r="B145" s="10" t="s">
        <v>1330</v>
      </c>
      <c r="C145" s="63" t="n">
        <v>1.19</v>
      </c>
      <c r="D145" s="10"/>
      <c r="E145" s="6" t="s">
        <v>1389</v>
      </c>
    </row>
    <row r="146" customFormat="false" ht="15" hidden="false" customHeight="true" outlineLevel="0" collapsed="false">
      <c r="A146" s="10" t="s">
        <v>503</v>
      </c>
      <c r="B146" s="10" t="s">
        <v>1331</v>
      </c>
      <c r="C146" s="63" t="n">
        <v>786.2</v>
      </c>
      <c r="D146" s="10"/>
      <c r="E146" s="6" t="s">
        <v>1361</v>
      </c>
    </row>
    <row r="147" customFormat="false" ht="15" hidden="false" customHeight="true" outlineLevel="0" collapsed="false">
      <c r="A147" s="10" t="s">
        <v>503</v>
      </c>
      <c r="B147" s="10" t="s">
        <v>1333</v>
      </c>
      <c r="C147" s="63" t="n">
        <v>1501.405</v>
      </c>
      <c r="D147" s="10"/>
      <c r="E147" s="6" t="s">
        <v>1390</v>
      </c>
    </row>
    <row r="148" customFormat="false" ht="15" hidden="false" customHeight="true" outlineLevel="0" collapsed="false">
      <c r="A148" s="10" t="s">
        <v>503</v>
      </c>
      <c r="B148" s="10" t="s">
        <v>1334</v>
      </c>
      <c r="C148" s="63" t="n">
        <v>25.168</v>
      </c>
      <c r="D148" s="10"/>
      <c r="E148" s="6" t="s">
        <v>1390</v>
      </c>
    </row>
    <row r="149" customFormat="false" ht="15" hidden="false" customHeight="true" outlineLevel="0" collapsed="false">
      <c r="A149" s="10" t="s">
        <v>503</v>
      </c>
      <c r="B149" s="10" t="s">
        <v>1335</v>
      </c>
      <c r="C149" s="63" t="n">
        <v>251.804</v>
      </c>
      <c r="D149" s="10"/>
      <c r="E149" s="6" t="s">
        <v>1390</v>
      </c>
    </row>
    <row r="150" customFormat="false" ht="15" hidden="false" customHeight="true" outlineLevel="0" collapsed="false">
      <c r="A150" s="10" t="s">
        <v>503</v>
      </c>
      <c r="B150" s="10" t="s">
        <v>1336</v>
      </c>
      <c r="C150" s="63" t="n">
        <v>0.191347853440786</v>
      </c>
      <c r="D150" s="10" t="s">
        <v>1301</v>
      </c>
      <c r="E150" s="6" t="s">
        <v>1337</v>
      </c>
    </row>
    <row r="151" customFormat="false" ht="15" hidden="false" customHeight="true" outlineLevel="0" collapsed="false">
      <c r="A151" s="10" t="s">
        <v>503</v>
      </c>
      <c r="B151" s="10" t="s">
        <v>1338</v>
      </c>
      <c r="C151" s="63" t="n">
        <v>12.67</v>
      </c>
      <c r="D151" s="10"/>
      <c r="E151" s="6" t="s">
        <v>1339</v>
      </c>
    </row>
    <row r="152" customFormat="false" ht="15" hidden="false" customHeight="true" outlineLevel="0" collapsed="false">
      <c r="A152" s="10" t="s">
        <v>503</v>
      </c>
      <c r="B152" s="10" t="s">
        <v>1340</v>
      </c>
      <c r="C152" s="63" t="n">
        <v>17.2</v>
      </c>
      <c r="D152" s="10"/>
      <c r="E152" s="6" t="s">
        <v>1341</v>
      </c>
    </row>
    <row r="153" customFormat="false" ht="15" hidden="false" customHeight="true" outlineLevel="0" collapsed="false">
      <c r="A153" s="10" t="s">
        <v>503</v>
      </c>
      <c r="B153" s="10" t="s">
        <v>1342</v>
      </c>
      <c r="C153" s="63" t="n">
        <v>435.968</v>
      </c>
      <c r="D153" s="10"/>
      <c r="E153" s="6" t="s">
        <v>1391</v>
      </c>
    </row>
    <row r="154" customFormat="false" ht="15" hidden="false" customHeight="true" outlineLevel="0" collapsed="false">
      <c r="A154" s="10" t="s">
        <v>503</v>
      </c>
      <c r="B154" s="10" t="s">
        <v>1343</v>
      </c>
      <c r="C154" s="10" t="s">
        <v>1392</v>
      </c>
      <c r="D154" s="10" t="s">
        <v>1301</v>
      </c>
      <c r="E154" s="6" t="s">
        <v>1393</v>
      </c>
    </row>
    <row r="155" customFormat="false" ht="15" hidden="false" customHeight="true" outlineLevel="0" collapsed="false">
      <c r="A155" s="10" t="s">
        <v>503</v>
      </c>
      <c r="B155" s="10" t="s">
        <v>1346</v>
      </c>
      <c r="C155" s="63" t="n">
        <v>287.074</v>
      </c>
      <c r="D155" s="10"/>
      <c r="E155" s="6" t="s">
        <v>1347</v>
      </c>
    </row>
    <row r="156" customFormat="false" ht="15" hidden="false" customHeight="true" outlineLevel="0" collapsed="false">
      <c r="A156" s="10" t="s">
        <v>503</v>
      </c>
      <c r="B156" s="10" t="s">
        <v>1348</v>
      </c>
      <c r="C156" s="63" t="n">
        <v>163.988</v>
      </c>
      <c r="D156" s="10"/>
      <c r="E156" s="6" t="s">
        <v>1349</v>
      </c>
    </row>
    <row r="157" customFormat="false" ht="15" hidden="false" customHeight="true" outlineLevel="0" collapsed="false">
      <c r="A157" s="10" t="s">
        <v>505</v>
      </c>
      <c r="B157" s="10" t="s">
        <v>1281</v>
      </c>
      <c r="C157" s="10" t="n">
        <v>1</v>
      </c>
      <c r="D157" s="10"/>
      <c r="E157" s="6"/>
    </row>
    <row r="158" customFormat="false" ht="15" hidden="false" customHeight="true" outlineLevel="0" collapsed="false">
      <c r="A158" s="10" t="s">
        <v>505</v>
      </c>
      <c r="B158" s="10" t="s">
        <v>1282</v>
      </c>
      <c r="C158" s="10" t="n">
        <v>1</v>
      </c>
      <c r="D158" s="10"/>
      <c r="E158" s="6"/>
    </row>
    <row r="159" customFormat="false" ht="15" hidden="false" customHeight="true" outlineLevel="0" collapsed="false">
      <c r="A159" s="10" t="s">
        <v>505</v>
      </c>
      <c r="B159" s="10" t="s">
        <v>1283</v>
      </c>
      <c r="C159" s="10" t="n">
        <v>3</v>
      </c>
      <c r="D159" s="10"/>
      <c r="E159" s="6" t="s">
        <v>1284</v>
      </c>
    </row>
    <row r="160" customFormat="false" ht="15" hidden="false" customHeight="true" outlineLevel="0" collapsed="false">
      <c r="A160" s="10" t="s">
        <v>505</v>
      </c>
      <c r="B160" s="10" t="s">
        <v>1285</v>
      </c>
      <c r="C160" s="63" t="n">
        <v>101.4</v>
      </c>
      <c r="D160" s="10"/>
      <c r="E160" s="6" t="s">
        <v>1394</v>
      </c>
    </row>
    <row r="161" customFormat="false" ht="15" hidden="false" customHeight="true" outlineLevel="0" collapsed="false">
      <c r="A161" s="10" t="s">
        <v>505</v>
      </c>
      <c r="B161" s="10" t="s">
        <v>1287</v>
      </c>
      <c r="C161" s="63" t="n">
        <v>817</v>
      </c>
      <c r="D161" s="10"/>
      <c r="E161" s="6" t="s">
        <v>1395</v>
      </c>
    </row>
    <row r="162" customFormat="false" ht="15" hidden="false" customHeight="true" outlineLevel="0" collapsed="false">
      <c r="A162" s="10" t="s">
        <v>505</v>
      </c>
      <c r="B162" s="10" t="s">
        <v>1289</v>
      </c>
      <c r="C162" s="63" t="n">
        <v>0.114</v>
      </c>
      <c r="D162" s="10"/>
      <c r="E162" s="6" t="s">
        <v>1396</v>
      </c>
    </row>
    <row r="163" customFormat="false" ht="15" hidden="false" customHeight="true" outlineLevel="0" collapsed="false">
      <c r="A163" s="10" t="s">
        <v>505</v>
      </c>
      <c r="B163" s="10" t="s">
        <v>216</v>
      </c>
      <c r="C163" s="63" t="n">
        <v>8.665</v>
      </c>
      <c r="D163" s="10"/>
      <c r="E163" s="6" t="s">
        <v>1397</v>
      </c>
    </row>
    <row r="164" customFormat="false" ht="15" hidden="false" customHeight="true" outlineLevel="0" collapsed="false">
      <c r="A164" s="10" t="s">
        <v>505</v>
      </c>
      <c r="B164" s="10" t="s">
        <v>1292</v>
      </c>
      <c r="C164" s="63" t="n">
        <v>155.636</v>
      </c>
      <c r="D164" s="10"/>
      <c r="E164" s="6" t="s">
        <v>1398</v>
      </c>
    </row>
    <row r="165" customFormat="false" ht="15" hidden="false" customHeight="true" outlineLevel="0" collapsed="false">
      <c r="A165" s="10" t="s">
        <v>505</v>
      </c>
      <c r="B165" s="10" t="s">
        <v>1294</v>
      </c>
      <c r="C165" s="63" t="n">
        <v>-1</v>
      </c>
      <c r="D165" s="10"/>
      <c r="E165" s="6" t="s">
        <v>1399</v>
      </c>
    </row>
    <row r="166" customFormat="false" ht="15" hidden="false" customHeight="true" outlineLevel="0" collapsed="false">
      <c r="A166" s="10" t="s">
        <v>505</v>
      </c>
      <c r="B166" s="10" t="s">
        <v>1296</v>
      </c>
      <c r="C166" s="63" t="n">
        <v>74.658</v>
      </c>
      <c r="D166" s="10"/>
      <c r="E166" s="6" t="s">
        <v>1400</v>
      </c>
    </row>
    <row r="167" customFormat="false" ht="15" hidden="false" customHeight="true" outlineLevel="0" collapsed="false">
      <c r="A167" s="10" t="s">
        <v>505</v>
      </c>
      <c r="B167" s="10" t="s">
        <v>1298</v>
      </c>
      <c r="C167" s="63" t="n">
        <v>-0.003</v>
      </c>
      <c r="D167" s="10"/>
      <c r="E167" s="6" t="s">
        <v>1401</v>
      </c>
    </row>
    <row r="168" customFormat="false" ht="15" hidden="false" customHeight="true" outlineLevel="0" collapsed="false">
      <c r="A168" s="10" t="s">
        <v>505</v>
      </c>
      <c r="B168" s="10" t="s">
        <v>1300</v>
      </c>
      <c r="C168" s="63" t="n">
        <v>2.5</v>
      </c>
      <c r="D168" s="10" t="s">
        <v>1301</v>
      </c>
      <c r="E168" s="6" t="s">
        <v>1302</v>
      </c>
    </row>
    <row r="169" customFormat="false" ht="15" hidden="false" customHeight="true" outlineLevel="0" collapsed="false">
      <c r="A169" s="10" t="s">
        <v>505</v>
      </c>
      <c r="B169" s="10" t="s">
        <v>1303</v>
      </c>
      <c r="C169" s="63" t="n">
        <v>0</v>
      </c>
      <c r="D169" s="10"/>
      <c r="E169" s="6" t="s">
        <v>1304</v>
      </c>
    </row>
    <row r="170" customFormat="false" ht="15" hidden="false" customHeight="true" outlineLevel="0" collapsed="false">
      <c r="A170" s="10" t="s">
        <v>505</v>
      </c>
      <c r="B170" s="10" t="s">
        <v>1305</v>
      </c>
      <c r="C170" s="63" t="n">
        <v>27.4</v>
      </c>
      <c r="D170" s="10"/>
      <c r="E170" s="6" t="s">
        <v>1306</v>
      </c>
    </row>
    <row r="171" customFormat="false" ht="15" hidden="false" customHeight="true" outlineLevel="0" collapsed="false">
      <c r="A171" s="10" t="s">
        <v>505</v>
      </c>
      <c r="B171" s="10" t="s">
        <v>1307</v>
      </c>
      <c r="C171" s="63" t="n">
        <v>15.5</v>
      </c>
      <c r="D171" s="10"/>
      <c r="E171" s="6" t="s">
        <v>1308</v>
      </c>
    </row>
    <row r="172" customFormat="false" ht="15" hidden="false" customHeight="true" outlineLevel="0" collapsed="false">
      <c r="A172" s="10" t="s">
        <v>505</v>
      </c>
      <c r="B172" s="10" t="s">
        <v>1309</v>
      </c>
      <c r="C172" s="63" t="n">
        <v>34.6</v>
      </c>
      <c r="D172" s="10"/>
      <c r="E172" s="6" t="s">
        <v>1310</v>
      </c>
    </row>
    <row r="173" customFormat="false" ht="15" hidden="false" customHeight="true" outlineLevel="0" collapsed="false">
      <c r="A173" s="10" t="s">
        <v>505</v>
      </c>
      <c r="B173" s="10" t="s">
        <v>1311</v>
      </c>
      <c r="C173" s="63" t="n">
        <v>14.6</v>
      </c>
      <c r="D173" s="10"/>
      <c r="E173" s="6" t="s">
        <v>1312</v>
      </c>
    </row>
    <row r="174" customFormat="false" ht="15" hidden="false" customHeight="true" outlineLevel="0" collapsed="false">
      <c r="A174" s="10" t="s">
        <v>505</v>
      </c>
      <c r="B174" s="10" t="s">
        <v>1313</v>
      </c>
      <c r="C174" s="63" t="n">
        <v>0</v>
      </c>
      <c r="D174" s="10"/>
      <c r="E174" s="6" t="s">
        <v>1314</v>
      </c>
    </row>
    <row r="175" customFormat="false" ht="15" hidden="false" customHeight="true" outlineLevel="0" collapsed="false">
      <c r="A175" s="10" t="s">
        <v>505</v>
      </c>
      <c r="B175" s="10" t="s">
        <v>1315</v>
      </c>
      <c r="C175" s="63" t="n">
        <v>0</v>
      </c>
      <c r="D175" s="10"/>
      <c r="E175" s="6" t="s">
        <v>1304</v>
      </c>
    </row>
    <row r="176" customFormat="false" ht="15" hidden="false" customHeight="true" outlineLevel="0" collapsed="false">
      <c r="A176" s="10" t="s">
        <v>505</v>
      </c>
      <c r="B176" s="10" t="s">
        <v>1316</v>
      </c>
      <c r="C176" s="63" t="n">
        <v>0</v>
      </c>
      <c r="D176" s="10"/>
      <c r="E176" s="6" t="s">
        <v>1317</v>
      </c>
    </row>
    <row r="177" customFormat="false" ht="15" hidden="false" customHeight="true" outlineLevel="0" collapsed="false">
      <c r="A177" s="10" t="s">
        <v>505</v>
      </c>
      <c r="B177" s="10" t="s">
        <v>1318</v>
      </c>
      <c r="C177" s="63" t="n">
        <v>145.84</v>
      </c>
      <c r="D177" s="10"/>
      <c r="E177" s="6" t="s">
        <v>1402</v>
      </c>
    </row>
    <row r="178" customFormat="false" ht="15" hidden="false" customHeight="true" outlineLevel="0" collapsed="false">
      <c r="A178" s="10" t="s">
        <v>505</v>
      </c>
      <c r="B178" s="10" t="s">
        <v>1320</v>
      </c>
      <c r="C178" s="63" t="n">
        <v>0</v>
      </c>
      <c r="D178" s="10"/>
      <c r="E178" s="6" t="s">
        <v>1321</v>
      </c>
    </row>
    <row r="179" customFormat="false" ht="15" hidden="false" customHeight="true" outlineLevel="0" collapsed="false">
      <c r="A179" s="10" t="s">
        <v>505</v>
      </c>
      <c r="B179" s="10" t="s">
        <v>1322</v>
      </c>
      <c r="C179" s="63" t="n">
        <v>0</v>
      </c>
      <c r="D179" s="10"/>
      <c r="E179" s="6" t="s">
        <v>1323</v>
      </c>
    </row>
    <row r="180" customFormat="false" ht="15" hidden="false" customHeight="true" outlineLevel="0" collapsed="false">
      <c r="A180" s="10" t="s">
        <v>505</v>
      </c>
      <c r="B180" s="10" t="s">
        <v>1324</v>
      </c>
      <c r="C180" s="63" t="n">
        <v>4.55</v>
      </c>
      <c r="D180" s="10" t="s">
        <v>1301</v>
      </c>
      <c r="E180" s="6" t="s">
        <v>1325</v>
      </c>
    </row>
    <row r="181" customFormat="false" ht="15" hidden="false" customHeight="true" outlineLevel="0" collapsed="false">
      <c r="A181" s="10" t="s">
        <v>505</v>
      </c>
      <c r="B181" s="10" t="s">
        <v>1326</v>
      </c>
      <c r="C181" s="63" t="n">
        <v>40.31</v>
      </c>
      <c r="D181" s="10"/>
      <c r="E181" s="6" t="s">
        <v>1403</v>
      </c>
    </row>
    <row r="182" customFormat="false" ht="15" hidden="false" customHeight="true" outlineLevel="0" collapsed="false">
      <c r="A182" s="10" t="s">
        <v>505</v>
      </c>
      <c r="B182" s="10" t="s">
        <v>1328</v>
      </c>
      <c r="C182" s="63" t="n">
        <v>454.349</v>
      </c>
      <c r="D182" s="10"/>
      <c r="E182" s="6" t="s">
        <v>1404</v>
      </c>
    </row>
    <row r="183" customFormat="false" ht="15" hidden="false" customHeight="true" outlineLevel="0" collapsed="false">
      <c r="A183" s="10" t="s">
        <v>505</v>
      </c>
      <c r="B183" s="10" t="s">
        <v>1330</v>
      </c>
      <c r="C183" s="63" t="n">
        <v>1.26</v>
      </c>
      <c r="D183" s="10"/>
      <c r="E183" s="6" t="s">
        <v>1404</v>
      </c>
    </row>
    <row r="184" customFormat="false" ht="15" hidden="false" customHeight="true" outlineLevel="0" collapsed="false">
      <c r="A184" s="10" t="s">
        <v>505</v>
      </c>
      <c r="B184" s="10" t="s">
        <v>1331</v>
      </c>
      <c r="C184" s="63" t="n">
        <v>214</v>
      </c>
      <c r="D184" s="10"/>
      <c r="E184" s="6" t="s">
        <v>1361</v>
      </c>
    </row>
    <row r="185" customFormat="false" ht="15" hidden="false" customHeight="true" outlineLevel="0" collapsed="false">
      <c r="A185" s="10" t="s">
        <v>505</v>
      </c>
      <c r="B185" s="10" t="s">
        <v>1333</v>
      </c>
      <c r="C185" s="63" t="n">
        <v>557.955</v>
      </c>
      <c r="D185" s="10"/>
      <c r="E185" s="6" t="s">
        <v>1405</v>
      </c>
    </row>
    <row r="186" customFormat="false" ht="15" hidden="false" customHeight="true" outlineLevel="0" collapsed="false">
      <c r="A186" s="10" t="s">
        <v>505</v>
      </c>
      <c r="B186" s="10" t="s">
        <v>1334</v>
      </c>
      <c r="C186" s="63" t="n">
        <v>55.681</v>
      </c>
      <c r="D186" s="10"/>
      <c r="E186" s="6" t="s">
        <v>1405</v>
      </c>
    </row>
    <row r="187" customFormat="false" ht="15" hidden="false" customHeight="true" outlineLevel="0" collapsed="false">
      <c r="A187" s="10" t="s">
        <v>505</v>
      </c>
      <c r="B187" s="10" t="s">
        <v>1335</v>
      </c>
      <c r="C187" s="63" t="n">
        <v>357.574</v>
      </c>
      <c r="D187" s="10"/>
      <c r="E187" s="6" t="s">
        <v>1405</v>
      </c>
    </row>
    <row r="188" customFormat="false" ht="15" hidden="false" customHeight="true" outlineLevel="0" collapsed="false">
      <c r="A188" s="10" t="s">
        <v>505</v>
      </c>
      <c r="B188" s="10" t="s">
        <v>1336</v>
      </c>
      <c r="C188" s="63" t="n">
        <v>0.371731885452648</v>
      </c>
      <c r="D188" s="10" t="s">
        <v>1301</v>
      </c>
      <c r="E188" s="6" t="s">
        <v>1337</v>
      </c>
    </row>
    <row r="189" customFormat="false" ht="15" hidden="false" customHeight="true" outlineLevel="0" collapsed="false">
      <c r="A189" s="10" t="s">
        <v>505</v>
      </c>
      <c r="B189" s="10" t="s">
        <v>1338</v>
      </c>
      <c r="C189" s="63" t="n">
        <v>1.51</v>
      </c>
      <c r="D189" s="10"/>
      <c r="E189" s="6" t="s">
        <v>1339</v>
      </c>
    </row>
    <row r="190" customFormat="false" ht="15" hidden="false" customHeight="true" outlineLevel="0" collapsed="false">
      <c r="A190" s="10" t="s">
        <v>505</v>
      </c>
      <c r="B190" s="10" t="s">
        <v>1340</v>
      </c>
      <c r="C190" s="63" t="n">
        <v>2.37</v>
      </c>
      <c r="D190" s="10"/>
      <c r="E190" s="6" t="s">
        <v>1341</v>
      </c>
    </row>
    <row r="191" customFormat="false" ht="15" hidden="false" customHeight="true" outlineLevel="0" collapsed="false">
      <c r="A191" s="10" t="s">
        <v>505</v>
      </c>
      <c r="B191" s="10" t="s">
        <v>1342</v>
      </c>
      <c r="C191" s="63" t="n">
        <v>379.39</v>
      </c>
      <c r="D191" s="10"/>
      <c r="E191" s="6" t="s">
        <v>1404</v>
      </c>
    </row>
    <row r="192" customFormat="false" ht="15" hidden="false" customHeight="true" outlineLevel="0" collapsed="false">
      <c r="A192" s="10" t="s">
        <v>505</v>
      </c>
      <c r="B192" s="10" t="s">
        <v>1343</v>
      </c>
      <c r="C192" s="10" t="s">
        <v>1406</v>
      </c>
      <c r="D192" s="10" t="s">
        <v>1301</v>
      </c>
      <c r="E192" s="6" t="s">
        <v>1345</v>
      </c>
    </row>
    <row r="193" customFormat="false" ht="15" hidden="false" customHeight="true" outlineLevel="0" collapsed="false">
      <c r="A193" s="10" t="s">
        <v>505</v>
      </c>
      <c r="B193" s="10" t="s">
        <v>1346</v>
      </c>
      <c r="C193" s="63" t="n">
        <v>400.09</v>
      </c>
      <c r="D193" s="10"/>
      <c r="E193" s="6" t="s">
        <v>1347</v>
      </c>
    </row>
    <row r="194" customFormat="false" ht="15" hidden="false" customHeight="true" outlineLevel="0" collapsed="false">
      <c r="A194" s="10" t="s">
        <v>505</v>
      </c>
      <c r="B194" s="10" t="s">
        <v>1348</v>
      </c>
      <c r="C194" s="63" t="n">
        <v>165.461</v>
      </c>
      <c r="D194" s="10"/>
      <c r="E194" s="6" t="s">
        <v>1349</v>
      </c>
    </row>
    <row r="195" customFormat="false" ht="15" hidden="false" customHeight="true" outlineLevel="0" collapsed="false">
      <c r="A195" s="10" t="s">
        <v>507</v>
      </c>
      <c r="B195" s="10" t="s">
        <v>1281</v>
      </c>
      <c r="C195" s="10" t="n">
        <v>1</v>
      </c>
      <c r="D195" s="10"/>
      <c r="E195" s="6"/>
    </row>
    <row r="196" customFormat="false" ht="15" hidden="false" customHeight="true" outlineLevel="0" collapsed="false">
      <c r="A196" s="10" t="s">
        <v>507</v>
      </c>
      <c r="B196" s="10" t="s">
        <v>1282</v>
      </c>
      <c r="C196" s="10" t="n">
        <v>1</v>
      </c>
      <c r="D196" s="10"/>
      <c r="E196" s="6"/>
    </row>
    <row r="197" customFormat="false" ht="15" hidden="false" customHeight="true" outlineLevel="0" collapsed="false">
      <c r="A197" s="10" t="s">
        <v>507</v>
      </c>
      <c r="B197" s="10" t="s">
        <v>1283</v>
      </c>
      <c r="C197" s="10" t="n">
        <v>4</v>
      </c>
      <c r="D197" s="10"/>
      <c r="E197" s="6" t="s">
        <v>1284</v>
      </c>
    </row>
    <row r="198" customFormat="false" ht="15" hidden="false" customHeight="true" outlineLevel="0" collapsed="false">
      <c r="A198" s="10" t="s">
        <v>507</v>
      </c>
      <c r="B198" s="10" t="s">
        <v>1285</v>
      </c>
      <c r="C198" s="63" t="n">
        <v>88.8</v>
      </c>
      <c r="D198" s="10"/>
      <c r="E198" s="6" t="s">
        <v>1407</v>
      </c>
    </row>
    <row r="199" customFormat="false" ht="15" hidden="false" customHeight="true" outlineLevel="0" collapsed="false">
      <c r="A199" s="10" t="s">
        <v>507</v>
      </c>
      <c r="B199" s="10" t="s">
        <v>1287</v>
      </c>
      <c r="C199" s="63" t="n">
        <v>595.8</v>
      </c>
      <c r="D199" s="10"/>
      <c r="E199" s="6" t="s">
        <v>1408</v>
      </c>
    </row>
    <row r="200" customFormat="false" ht="15" hidden="false" customHeight="true" outlineLevel="0" collapsed="false">
      <c r="A200" s="10" t="s">
        <v>507</v>
      </c>
      <c r="B200" s="10" t="s">
        <v>1289</v>
      </c>
      <c r="C200" s="63" t="n">
        <v>0.118</v>
      </c>
      <c r="D200" s="10"/>
      <c r="E200" s="6" t="s">
        <v>1409</v>
      </c>
    </row>
    <row r="201" customFormat="false" ht="15" hidden="false" customHeight="true" outlineLevel="0" collapsed="false">
      <c r="A201" s="10" t="s">
        <v>507</v>
      </c>
      <c r="B201" s="10" t="s">
        <v>216</v>
      </c>
      <c r="C201" s="63" t="n">
        <v>7.446</v>
      </c>
      <c r="D201" s="10"/>
      <c r="E201" s="6" t="s">
        <v>1410</v>
      </c>
    </row>
    <row r="202" customFormat="false" ht="15" hidden="false" customHeight="true" outlineLevel="0" collapsed="false">
      <c r="A202" s="10" t="s">
        <v>507</v>
      </c>
      <c r="B202" s="10" t="s">
        <v>1292</v>
      </c>
      <c r="C202" s="63" t="n">
        <v>105.532</v>
      </c>
      <c r="D202" s="10"/>
      <c r="E202" s="6" t="s">
        <v>1411</v>
      </c>
    </row>
    <row r="203" customFormat="false" ht="15" hidden="false" customHeight="true" outlineLevel="0" collapsed="false">
      <c r="A203" s="10" t="s">
        <v>507</v>
      </c>
      <c r="B203" s="10" t="s">
        <v>1294</v>
      </c>
      <c r="C203" s="63" t="n">
        <v>-2.229</v>
      </c>
      <c r="D203" s="10"/>
      <c r="E203" s="6" t="s">
        <v>1412</v>
      </c>
    </row>
    <row r="204" customFormat="false" ht="15" hidden="false" customHeight="true" outlineLevel="0" collapsed="false">
      <c r="A204" s="10" t="s">
        <v>507</v>
      </c>
      <c r="B204" s="10" t="s">
        <v>1296</v>
      </c>
      <c r="C204" s="63" t="n">
        <v>47.747</v>
      </c>
      <c r="D204" s="10"/>
      <c r="E204" s="6" t="s">
        <v>1413</v>
      </c>
    </row>
    <row r="205" customFormat="false" ht="15" hidden="false" customHeight="true" outlineLevel="0" collapsed="false">
      <c r="A205" s="10" t="s">
        <v>507</v>
      </c>
      <c r="B205" s="10" t="s">
        <v>1298</v>
      </c>
      <c r="C205" s="63" t="n">
        <v>-7.509</v>
      </c>
      <c r="D205" s="10"/>
      <c r="E205" s="6" t="s">
        <v>1414</v>
      </c>
    </row>
    <row r="206" customFormat="false" ht="15" hidden="false" customHeight="true" outlineLevel="0" collapsed="false">
      <c r="A206" s="10" t="s">
        <v>507</v>
      </c>
      <c r="B206" s="10" t="s">
        <v>1300</v>
      </c>
      <c r="C206" s="63" t="n">
        <v>2.5</v>
      </c>
      <c r="D206" s="10" t="s">
        <v>1301</v>
      </c>
      <c r="E206" s="6" t="s">
        <v>1302</v>
      </c>
    </row>
    <row r="207" customFormat="false" ht="15" hidden="false" customHeight="true" outlineLevel="0" collapsed="false">
      <c r="A207" s="10" t="s">
        <v>507</v>
      </c>
      <c r="B207" s="10" t="s">
        <v>1303</v>
      </c>
      <c r="C207" s="63" t="n">
        <v>0</v>
      </c>
      <c r="D207" s="10"/>
      <c r="E207" s="6" t="s">
        <v>1304</v>
      </c>
    </row>
    <row r="208" customFormat="false" ht="15" hidden="false" customHeight="true" outlineLevel="0" collapsed="false">
      <c r="A208" s="10" t="s">
        <v>507</v>
      </c>
      <c r="B208" s="10" t="s">
        <v>1305</v>
      </c>
      <c r="C208" s="63" t="n">
        <v>20.9</v>
      </c>
      <c r="D208" s="10"/>
      <c r="E208" s="6" t="s">
        <v>1306</v>
      </c>
    </row>
    <row r="209" customFormat="false" ht="15" hidden="false" customHeight="true" outlineLevel="0" collapsed="false">
      <c r="A209" s="10" t="s">
        <v>507</v>
      </c>
      <c r="B209" s="10" t="s">
        <v>1307</v>
      </c>
      <c r="C209" s="63" t="n">
        <v>12.6</v>
      </c>
      <c r="D209" s="10"/>
      <c r="E209" s="6" t="s">
        <v>1308</v>
      </c>
    </row>
    <row r="210" customFormat="false" ht="15" hidden="false" customHeight="true" outlineLevel="0" collapsed="false">
      <c r="A210" s="10" t="s">
        <v>507</v>
      </c>
      <c r="B210" s="10" t="s">
        <v>1309</v>
      </c>
      <c r="C210" s="63" t="n">
        <v>12</v>
      </c>
      <c r="D210" s="10"/>
      <c r="E210" s="6" t="s">
        <v>1310</v>
      </c>
    </row>
    <row r="211" customFormat="false" ht="15" hidden="false" customHeight="true" outlineLevel="0" collapsed="false">
      <c r="A211" s="10" t="s">
        <v>507</v>
      </c>
      <c r="B211" s="10" t="s">
        <v>1311</v>
      </c>
      <c r="C211" s="63" t="n">
        <v>8.5</v>
      </c>
      <c r="D211" s="10"/>
      <c r="E211" s="6" t="s">
        <v>1312</v>
      </c>
    </row>
    <row r="212" customFormat="false" ht="15" hidden="false" customHeight="true" outlineLevel="0" collapsed="false">
      <c r="A212" s="10" t="s">
        <v>507</v>
      </c>
      <c r="B212" s="10" t="s">
        <v>1313</v>
      </c>
      <c r="C212" s="63" t="n">
        <v>0</v>
      </c>
      <c r="D212" s="10"/>
      <c r="E212" s="6" t="s">
        <v>1314</v>
      </c>
    </row>
    <row r="213" customFormat="false" ht="15" hidden="false" customHeight="true" outlineLevel="0" collapsed="false">
      <c r="A213" s="10" t="s">
        <v>507</v>
      </c>
      <c r="B213" s="10" t="s">
        <v>1315</v>
      </c>
      <c r="C213" s="63" t="n">
        <v>0</v>
      </c>
      <c r="D213" s="10"/>
      <c r="E213" s="6" t="s">
        <v>1304</v>
      </c>
    </row>
    <row r="214" customFormat="false" ht="15" hidden="false" customHeight="true" outlineLevel="0" collapsed="false">
      <c r="A214" s="10" t="s">
        <v>507</v>
      </c>
      <c r="B214" s="10" t="s">
        <v>1316</v>
      </c>
      <c r="C214" s="63" t="n">
        <v>0</v>
      </c>
      <c r="D214" s="10"/>
      <c r="E214" s="6" t="s">
        <v>1317</v>
      </c>
    </row>
    <row r="215" customFormat="false" ht="15" hidden="false" customHeight="true" outlineLevel="0" collapsed="false">
      <c r="A215" s="10" t="s">
        <v>507</v>
      </c>
      <c r="B215" s="10" t="s">
        <v>1318</v>
      </c>
      <c r="C215" s="63" t="n">
        <v>100.328</v>
      </c>
      <c r="D215" s="10"/>
      <c r="E215" s="6" t="s">
        <v>1415</v>
      </c>
    </row>
    <row r="216" customFormat="false" ht="15" hidden="false" customHeight="true" outlineLevel="0" collapsed="false">
      <c r="A216" s="10" t="s">
        <v>507</v>
      </c>
      <c r="B216" s="10" t="s">
        <v>1320</v>
      </c>
      <c r="C216" s="63" t="n">
        <v>0</v>
      </c>
      <c r="D216" s="10"/>
      <c r="E216" s="6" t="s">
        <v>1321</v>
      </c>
    </row>
    <row r="217" customFormat="false" ht="15" hidden="false" customHeight="true" outlineLevel="0" collapsed="false">
      <c r="A217" s="10" t="s">
        <v>507</v>
      </c>
      <c r="B217" s="10" t="s">
        <v>1322</v>
      </c>
      <c r="C217" s="63" t="n">
        <v>0</v>
      </c>
      <c r="D217" s="10"/>
      <c r="E217" s="6" t="s">
        <v>1323</v>
      </c>
    </row>
    <row r="218" customFormat="false" ht="15" hidden="false" customHeight="true" outlineLevel="0" collapsed="false">
      <c r="A218" s="10" t="s">
        <v>507</v>
      </c>
      <c r="B218" s="10" t="s">
        <v>1324</v>
      </c>
      <c r="C218" s="63" t="n">
        <v>4.55</v>
      </c>
      <c r="D218" s="10" t="s">
        <v>1301</v>
      </c>
      <c r="E218" s="6" t="s">
        <v>1325</v>
      </c>
    </row>
    <row r="219" customFormat="false" ht="15" hidden="false" customHeight="true" outlineLevel="0" collapsed="false">
      <c r="A219" s="10" t="s">
        <v>507</v>
      </c>
      <c r="B219" s="10" t="s">
        <v>1326</v>
      </c>
      <c r="C219" s="63" t="n">
        <v>16.4</v>
      </c>
      <c r="D219" s="10"/>
      <c r="E219" s="6" t="s">
        <v>1327</v>
      </c>
    </row>
    <row r="220" customFormat="false" ht="15" hidden="false" customHeight="true" outlineLevel="0" collapsed="false">
      <c r="A220" s="10" t="s">
        <v>507</v>
      </c>
      <c r="B220" s="10" t="s">
        <v>1328</v>
      </c>
      <c r="C220" s="63" t="n">
        <v>319.165</v>
      </c>
      <c r="D220" s="10"/>
      <c r="E220" s="6" t="s">
        <v>1416</v>
      </c>
    </row>
    <row r="221" customFormat="false" ht="15" hidden="false" customHeight="true" outlineLevel="0" collapsed="false">
      <c r="A221" s="10" t="s">
        <v>507</v>
      </c>
      <c r="B221" s="10" t="s">
        <v>1330</v>
      </c>
      <c r="C221" s="63" t="n">
        <v>1.29</v>
      </c>
      <c r="D221" s="10"/>
      <c r="E221" s="6" t="s">
        <v>1416</v>
      </c>
    </row>
    <row r="222" customFormat="false" ht="15" hidden="false" customHeight="true" outlineLevel="0" collapsed="false">
      <c r="A222" s="10" t="s">
        <v>507</v>
      </c>
      <c r="B222" s="10" t="s">
        <v>1331</v>
      </c>
      <c r="C222" s="63" t="n">
        <v>159.3</v>
      </c>
      <c r="D222" s="10"/>
      <c r="E222" s="6" t="s">
        <v>1361</v>
      </c>
    </row>
    <row r="223" customFormat="false" ht="15" hidden="false" customHeight="true" outlineLevel="0" collapsed="false">
      <c r="A223" s="10" t="s">
        <v>507</v>
      </c>
      <c r="B223" s="10" t="s">
        <v>1333</v>
      </c>
      <c r="C223" s="63" t="n">
        <v>446.068</v>
      </c>
      <c r="D223" s="10"/>
      <c r="E223" s="6" t="s">
        <v>1417</v>
      </c>
    </row>
    <row r="224" customFormat="false" ht="15" hidden="false" customHeight="true" outlineLevel="0" collapsed="false">
      <c r="A224" s="10" t="s">
        <v>507</v>
      </c>
      <c r="B224" s="10" t="s">
        <v>1334</v>
      </c>
      <c r="C224" s="63" t="n">
        <v>9.4</v>
      </c>
      <c r="D224" s="10"/>
      <c r="E224" s="6" t="s">
        <v>1417</v>
      </c>
    </row>
    <row r="225" customFormat="false" ht="15" hidden="false" customHeight="true" outlineLevel="0" collapsed="false">
      <c r="A225" s="10" t="s">
        <v>507</v>
      </c>
      <c r="B225" s="10" t="s">
        <v>1335</v>
      </c>
      <c r="C225" s="63" t="n">
        <v>152.757</v>
      </c>
      <c r="D225" s="10"/>
      <c r="E225" s="6" t="s">
        <v>1417</v>
      </c>
    </row>
    <row r="226" customFormat="false" ht="15" hidden="false" customHeight="true" outlineLevel="0" collapsed="false">
      <c r="A226" s="10" t="s">
        <v>507</v>
      </c>
      <c r="B226" s="10" t="s">
        <v>1336</v>
      </c>
      <c r="C226" s="63" t="n">
        <v>0.4508700257225</v>
      </c>
      <c r="D226" s="10" t="s">
        <v>1301</v>
      </c>
      <c r="E226" s="6" t="s">
        <v>1337</v>
      </c>
    </row>
    <row r="227" customFormat="false" ht="15" hidden="false" customHeight="true" outlineLevel="0" collapsed="false">
      <c r="A227" s="10" t="s">
        <v>507</v>
      </c>
      <c r="B227" s="10" t="s">
        <v>1338</v>
      </c>
      <c r="C227" s="63" t="n">
        <v>0</v>
      </c>
      <c r="D227" s="10"/>
      <c r="E227" s="6" t="s">
        <v>1418</v>
      </c>
    </row>
    <row r="228" customFormat="false" ht="15" hidden="false" customHeight="true" outlineLevel="0" collapsed="false">
      <c r="A228" s="10" t="s">
        <v>507</v>
      </c>
      <c r="B228" s="10" t="s">
        <v>1340</v>
      </c>
      <c r="C228" s="63" t="n">
        <v>0</v>
      </c>
      <c r="D228" s="10"/>
      <c r="E228" s="6" t="s">
        <v>1418</v>
      </c>
    </row>
    <row r="229" customFormat="false" ht="15" hidden="false" customHeight="true" outlineLevel="0" collapsed="false">
      <c r="A229" s="10" t="s">
        <v>507</v>
      </c>
      <c r="B229" s="10" t="s">
        <v>1342</v>
      </c>
      <c r="C229" s="63" t="n">
        <v>159.5825</v>
      </c>
      <c r="D229" s="10" t="s">
        <v>1301</v>
      </c>
      <c r="E229" s="6" t="s">
        <v>1419</v>
      </c>
    </row>
    <row r="230" customFormat="false" ht="15" hidden="false" customHeight="true" outlineLevel="0" collapsed="false">
      <c r="A230" s="10" t="s">
        <v>507</v>
      </c>
      <c r="B230" s="10" t="s">
        <v>1343</v>
      </c>
      <c r="C230" s="10" t="s">
        <v>1420</v>
      </c>
      <c r="D230" s="10" t="s">
        <v>1301</v>
      </c>
      <c r="E230" s="6" t="s">
        <v>1345</v>
      </c>
    </row>
    <row r="231" customFormat="false" ht="15" hidden="false" customHeight="true" outlineLevel="0" collapsed="false">
      <c r="A231" s="10" t="s">
        <v>507</v>
      </c>
      <c r="B231" s="10" t="s">
        <v>1346</v>
      </c>
      <c r="C231" s="63" t="n">
        <v>297.64</v>
      </c>
      <c r="D231" s="10"/>
      <c r="E231" s="6" t="s">
        <v>1347</v>
      </c>
    </row>
    <row r="232" customFormat="false" ht="15" hidden="false" customHeight="true" outlineLevel="0" collapsed="false">
      <c r="A232" s="10" t="s">
        <v>507</v>
      </c>
      <c r="B232" s="10" t="s">
        <v>1348</v>
      </c>
      <c r="C232" s="63" t="n">
        <v>120.379</v>
      </c>
      <c r="D232" s="10"/>
      <c r="E232" s="6" t="s">
        <v>1349</v>
      </c>
    </row>
    <row r="233" customFormat="false" ht="15" hidden="false" customHeight="true" outlineLevel="0" collapsed="false">
      <c r="A233" s="10" t="s">
        <v>509</v>
      </c>
      <c r="B233" s="10" t="s">
        <v>1281</v>
      </c>
      <c r="C233" s="10" t="n">
        <v>0</v>
      </c>
      <c r="D233" s="10"/>
      <c r="E233" s="6"/>
    </row>
    <row r="234" customFormat="false" ht="15" hidden="false" customHeight="true" outlineLevel="0" collapsed="false">
      <c r="A234" s="10" t="s">
        <v>509</v>
      </c>
      <c r="B234" s="10" t="s">
        <v>1282</v>
      </c>
      <c r="C234" s="10" t="n">
        <v>0</v>
      </c>
      <c r="D234" s="10"/>
      <c r="E234" s="6"/>
    </row>
    <row r="235" customFormat="false" ht="15" hidden="false" customHeight="true" outlineLevel="0" collapsed="false">
      <c r="A235" s="10" t="s">
        <v>509</v>
      </c>
      <c r="B235" s="10" t="s">
        <v>1283</v>
      </c>
      <c r="C235" s="10" t="n">
        <v>4</v>
      </c>
      <c r="D235" s="10"/>
      <c r="E235" s="6" t="s">
        <v>1284</v>
      </c>
    </row>
    <row r="236" customFormat="false" ht="15" hidden="false" customHeight="true" outlineLevel="0" collapsed="false">
      <c r="A236" s="10" t="s">
        <v>509</v>
      </c>
      <c r="B236" s="10" t="s">
        <v>1285</v>
      </c>
      <c r="C236" s="63" t="n">
        <v>49.1</v>
      </c>
      <c r="D236" s="10"/>
      <c r="E236" s="6" t="s">
        <v>1421</v>
      </c>
    </row>
    <row r="237" customFormat="false" ht="15" hidden="false" customHeight="true" outlineLevel="0" collapsed="false">
      <c r="A237" s="10" t="s">
        <v>509</v>
      </c>
      <c r="B237" s="10" t="s">
        <v>1287</v>
      </c>
      <c r="C237" s="63" t="n">
        <v>500.8</v>
      </c>
      <c r="D237" s="10"/>
      <c r="E237" s="6" t="s">
        <v>1422</v>
      </c>
    </row>
    <row r="238" customFormat="false" ht="15" hidden="false" customHeight="true" outlineLevel="0" collapsed="false">
      <c r="A238" s="10" t="s">
        <v>509</v>
      </c>
      <c r="B238" s="10" t="s">
        <v>1289</v>
      </c>
      <c r="C238" s="63" t="n">
        <v>0.07</v>
      </c>
      <c r="D238" s="10"/>
      <c r="E238" s="6" t="s">
        <v>1423</v>
      </c>
    </row>
    <row r="239" customFormat="false" ht="15" hidden="false" customHeight="true" outlineLevel="0" collapsed="false">
      <c r="A239" s="10" t="s">
        <v>509</v>
      </c>
      <c r="B239" s="10" t="s">
        <v>216</v>
      </c>
      <c r="C239" s="63" t="n">
        <v>2.777</v>
      </c>
      <c r="D239" s="10"/>
      <c r="E239" s="6" t="s">
        <v>1424</v>
      </c>
    </row>
    <row r="240" customFormat="false" ht="15" hidden="false" customHeight="true" outlineLevel="0" collapsed="false">
      <c r="A240" s="10" t="s">
        <v>509</v>
      </c>
      <c r="B240" s="10" t="s">
        <v>1292</v>
      </c>
      <c r="C240" s="63" t="n">
        <v>71.1</v>
      </c>
      <c r="D240" s="10"/>
      <c r="E240" s="6" t="s">
        <v>1425</v>
      </c>
    </row>
    <row r="241" customFormat="false" ht="15" hidden="false" customHeight="true" outlineLevel="0" collapsed="false">
      <c r="A241" s="10" t="s">
        <v>509</v>
      </c>
      <c r="B241" s="10" t="s">
        <v>1294</v>
      </c>
      <c r="C241" s="63" t="n">
        <v>-2.107</v>
      </c>
      <c r="D241" s="10"/>
      <c r="E241" s="6" t="s">
        <v>1426</v>
      </c>
    </row>
    <row r="242" customFormat="false" ht="15" hidden="false" customHeight="true" outlineLevel="0" collapsed="false">
      <c r="A242" s="10" t="s">
        <v>509</v>
      </c>
      <c r="B242" s="10" t="s">
        <v>1296</v>
      </c>
      <c r="C242" s="63" t="n">
        <v>78.406</v>
      </c>
      <c r="D242" s="10"/>
      <c r="E242" s="6" t="s">
        <v>1427</v>
      </c>
    </row>
    <row r="243" customFormat="false" ht="15" hidden="false" customHeight="true" outlineLevel="0" collapsed="false">
      <c r="A243" s="10" t="s">
        <v>509</v>
      </c>
      <c r="B243" s="10" t="s">
        <v>1298</v>
      </c>
      <c r="C243" s="63" t="n">
        <v>-2.884</v>
      </c>
      <c r="D243" s="10"/>
      <c r="E243" s="6" t="s">
        <v>1428</v>
      </c>
    </row>
    <row r="244" customFormat="false" ht="15" hidden="false" customHeight="true" outlineLevel="0" collapsed="false">
      <c r="A244" s="10" t="s">
        <v>509</v>
      </c>
      <c r="B244" s="10" t="s">
        <v>1300</v>
      </c>
      <c r="C244" s="63" t="n">
        <v>2.5</v>
      </c>
      <c r="D244" s="10" t="s">
        <v>1301</v>
      </c>
      <c r="E244" s="6" t="s">
        <v>1302</v>
      </c>
    </row>
    <row r="245" customFormat="false" ht="15" hidden="false" customHeight="true" outlineLevel="0" collapsed="false">
      <c r="A245" s="10" t="s">
        <v>509</v>
      </c>
      <c r="B245" s="10" t="s">
        <v>1303</v>
      </c>
      <c r="C245" s="63" t="n">
        <v>0</v>
      </c>
      <c r="D245" s="10"/>
      <c r="E245" s="6" t="s">
        <v>1304</v>
      </c>
    </row>
    <row r="246" customFormat="false" ht="15" hidden="false" customHeight="true" outlineLevel="0" collapsed="false">
      <c r="A246" s="10" t="s">
        <v>509</v>
      </c>
      <c r="B246" s="10" t="s">
        <v>1305</v>
      </c>
      <c r="C246" s="63" t="n">
        <v>34.8</v>
      </c>
      <c r="D246" s="10"/>
      <c r="E246" s="6" t="s">
        <v>1306</v>
      </c>
    </row>
    <row r="247" customFormat="false" ht="15" hidden="false" customHeight="true" outlineLevel="0" collapsed="false">
      <c r="A247" s="10" t="s">
        <v>509</v>
      </c>
      <c r="B247" s="10" t="s">
        <v>1307</v>
      </c>
      <c r="C247" s="63" t="n">
        <v>15.6</v>
      </c>
      <c r="D247" s="10"/>
      <c r="E247" s="6" t="s">
        <v>1308</v>
      </c>
    </row>
    <row r="248" customFormat="false" ht="15" hidden="false" customHeight="true" outlineLevel="0" collapsed="false">
      <c r="A248" s="10" t="s">
        <v>509</v>
      </c>
      <c r="B248" s="10" t="s">
        <v>1309</v>
      </c>
      <c r="C248" s="63" t="n">
        <v>27.1</v>
      </c>
      <c r="D248" s="10"/>
      <c r="E248" s="6" t="s">
        <v>1310</v>
      </c>
    </row>
    <row r="249" customFormat="false" ht="15" hidden="false" customHeight="true" outlineLevel="0" collapsed="false">
      <c r="A249" s="10" t="s">
        <v>509</v>
      </c>
      <c r="B249" s="10" t="s">
        <v>1311</v>
      </c>
      <c r="C249" s="63" t="n">
        <v>18.9</v>
      </c>
      <c r="D249" s="10"/>
      <c r="E249" s="6" t="s">
        <v>1312</v>
      </c>
    </row>
    <row r="250" customFormat="false" ht="15" hidden="false" customHeight="true" outlineLevel="0" collapsed="false">
      <c r="A250" s="10" t="s">
        <v>509</v>
      </c>
      <c r="B250" s="10" t="s">
        <v>1313</v>
      </c>
      <c r="C250" s="63" t="n">
        <v>0</v>
      </c>
      <c r="D250" s="10"/>
      <c r="E250" s="6" t="s">
        <v>1314</v>
      </c>
    </row>
    <row r="251" customFormat="false" ht="15" hidden="false" customHeight="true" outlineLevel="0" collapsed="false">
      <c r="A251" s="10" t="s">
        <v>509</v>
      </c>
      <c r="B251" s="10" t="s">
        <v>1315</v>
      </c>
      <c r="C251" s="63" t="n">
        <v>0</v>
      </c>
      <c r="D251" s="10"/>
      <c r="E251" s="6" t="s">
        <v>1304</v>
      </c>
    </row>
    <row r="252" customFormat="false" ht="15" hidden="false" customHeight="true" outlineLevel="0" collapsed="false">
      <c r="A252" s="10" t="s">
        <v>509</v>
      </c>
      <c r="B252" s="10" t="s">
        <v>1316</v>
      </c>
      <c r="C252" s="63" t="n">
        <v>0</v>
      </c>
      <c r="D252" s="10"/>
      <c r="E252" s="6" t="s">
        <v>1317</v>
      </c>
    </row>
    <row r="253" customFormat="false" ht="15" hidden="false" customHeight="true" outlineLevel="0" collapsed="false">
      <c r="A253" s="10" t="s">
        <v>509</v>
      </c>
      <c r="B253" s="10" t="s">
        <v>1318</v>
      </c>
      <c r="C253" s="63" t="n">
        <v>0</v>
      </c>
      <c r="D253" s="10"/>
      <c r="E253" s="6" t="s">
        <v>1358</v>
      </c>
    </row>
    <row r="254" customFormat="false" ht="15" hidden="false" customHeight="true" outlineLevel="0" collapsed="false">
      <c r="A254" s="10" t="s">
        <v>509</v>
      </c>
      <c r="B254" s="10" t="s">
        <v>1320</v>
      </c>
      <c r="C254" s="63" t="n">
        <v>0</v>
      </c>
      <c r="D254" s="10"/>
      <c r="E254" s="6" t="s">
        <v>1321</v>
      </c>
    </row>
    <row r="255" customFormat="false" ht="15" hidden="false" customHeight="true" outlineLevel="0" collapsed="false">
      <c r="A255" s="10" t="s">
        <v>509</v>
      </c>
      <c r="B255" s="10" t="s">
        <v>1322</v>
      </c>
      <c r="C255" s="63" t="n">
        <v>0</v>
      </c>
      <c r="D255" s="10"/>
      <c r="E255" s="6" t="s">
        <v>1323</v>
      </c>
    </row>
    <row r="256" customFormat="false" ht="15" hidden="false" customHeight="true" outlineLevel="0" collapsed="false">
      <c r="A256" s="10" t="s">
        <v>509</v>
      </c>
      <c r="B256" s="10" t="s">
        <v>1324</v>
      </c>
      <c r="C256" s="63" t="n">
        <v>0</v>
      </c>
      <c r="D256" s="10" t="s">
        <v>1301</v>
      </c>
      <c r="E256" s="6" t="s">
        <v>1429</v>
      </c>
    </row>
    <row r="257" customFormat="false" ht="15" hidden="false" customHeight="true" outlineLevel="0" collapsed="false">
      <c r="A257" s="10" t="s">
        <v>509</v>
      </c>
      <c r="B257" s="10" t="s">
        <v>1326</v>
      </c>
      <c r="C257" s="63" t="n">
        <v>47.15</v>
      </c>
      <c r="D257" s="10"/>
      <c r="E257" s="6" t="s">
        <v>1327</v>
      </c>
    </row>
    <row r="258" customFormat="false" ht="15" hidden="false" customHeight="true" outlineLevel="0" collapsed="false">
      <c r="A258" s="10" t="s">
        <v>509</v>
      </c>
      <c r="B258" s="10" t="s">
        <v>1328</v>
      </c>
      <c r="C258" s="63" t="n">
        <v>104.7</v>
      </c>
      <c r="D258" s="10" t="s">
        <v>1301</v>
      </c>
      <c r="E258" s="6" t="s">
        <v>1430</v>
      </c>
    </row>
    <row r="259" customFormat="false" ht="15" hidden="false" customHeight="true" outlineLevel="0" collapsed="false">
      <c r="A259" s="10" t="s">
        <v>509</v>
      </c>
      <c r="B259" s="10" t="s">
        <v>1330</v>
      </c>
      <c r="C259" s="63" t="n">
        <v>1.1</v>
      </c>
      <c r="D259" s="10" t="s">
        <v>1301</v>
      </c>
      <c r="E259" s="6" t="s">
        <v>1431</v>
      </c>
    </row>
    <row r="260" customFormat="false" ht="15" hidden="false" customHeight="true" outlineLevel="0" collapsed="false">
      <c r="A260" s="10" t="s">
        <v>509</v>
      </c>
      <c r="B260" s="10" t="s">
        <v>1331</v>
      </c>
      <c r="C260" s="63" t="n">
        <v>204.9</v>
      </c>
      <c r="D260" s="10"/>
      <c r="E260" s="6" t="s">
        <v>1361</v>
      </c>
    </row>
    <row r="261" customFormat="false" ht="15" hidden="false" customHeight="true" outlineLevel="0" collapsed="false">
      <c r="A261" s="10" t="s">
        <v>509</v>
      </c>
      <c r="B261" s="10" t="s">
        <v>1333</v>
      </c>
      <c r="C261" s="63" t="n">
        <v>449.792</v>
      </c>
      <c r="D261" s="10"/>
      <c r="E261" s="6" t="s">
        <v>1432</v>
      </c>
    </row>
    <row r="262" customFormat="false" ht="15" hidden="false" customHeight="true" outlineLevel="0" collapsed="false">
      <c r="A262" s="10" t="s">
        <v>509</v>
      </c>
      <c r="B262" s="10" t="s">
        <v>1334</v>
      </c>
      <c r="C262" s="63" t="n">
        <v>2.767</v>
      </c>
      <c r="D262" s="10"/>
      <c r="E262" s="6" t="s">
        <v>1432</v>
      </c>
    </row>
    <row r="263" customFormat="false" ht="15" hidden="false" customHeight="true" outlineLevel="0" collapsed="false">
      <c r="A263" s="10" t="s">
        <v>509</v>
      </c>
      <c r="B263" s="10" t="s">
        <v>1335</v>
      </c>
      <c r="C263" s="63" t="n">
        <v>0</v>
      </c>
      <c r="D263" s="10"/>
      <c r="E263" s="6" t="s">
        <v>1432</v>
      </c>
    </row>
    <row r="264" customFormat="false" ht="15" hidden="false" customHeight="true" outlineLevel="0" collapsed="false">
      <c r="A264" s="10" t="s">
        <v>509</v>
      </c>
      <c r="B264" s="10" t="s">
        <v>1336</v>
      </c>
      <c r="C264" s="63" t="n">
        <v>0.105</v>
      </c>
      <c r="D264" s="10" t="s">
        <v>1301</v>
      </c>
      <c r="E264" s="6" t="s">
        <v>1337</v>
      </c>
    </row>
    <row r="265" customFormat="false" ht="15" hidden="false" customHeight="true" outlineLevel="0" collapsed="false">
      <c r="A265" s="10" t="s">
        <v>509</v>
      </c>
      <c r="B265" s="10" t="s">
        <v>1338</v>
      </c>
      <c r="C265" s="63" t="n">
        <v>0</v>
      </c>
      <c r="D265" s="10"/>
      <c r="E265" s="6" t="s">
        <v>1418</v>
      </c>
    </row>
    <row r="266" customFormat="false" ht="15" hidden="false" customHeight="true" outlineLevel="0" collapsed="false">
      <c r="A266" s="10" t="s">
        <v>509</v>
      </c>
      <c r="B266" s="10" t="s">
        <v>1340</v>
      </c>
      <c r="C266" s="63" t="n">
        <v>0</v>
      </c>
      <c r="D266" s="10"/>
      <c r="E266" s="6" t="s">
        <v>1418</v>
      </c>
    </row>
    <row r="267" customFormat="false" ht="15" hidden="false" customHeight="true" outlineLevel="0" collapsed="false">
      <c r="A267" s="10" t="s">
        <v>509</v>
      </c>
      <c r="B267" s="10" t="s">
        <v>1342</v>
      </c>
      <c r="C267" s="63" t="n">
        <v>124.4</v>
      </c>
      <c r="D267" s="10"/>
      <c r="E267" s="6" t="s">
        <v>1432</v>
      </c>
    </row>
    <row r="268" customFormat="false" ht="15" hidden="false" customHeight="true" outlineLevel="0" collapsed="false">
      <c r="A268" s="10" t="s">
        <v>509</v>
      </c>
      <c r="B268" s="10" t="s">
        <v>1343</v>
      </c>
      <c r="C268" s="10" t="s">
        <v>1433</v>
      </c>
      <c r="D268" s="10" t="s">
        <v>1301</v>
      </c>
      <c r="E268" s="6" t="s">
        <v>1393</v>
      </c>
    </row>
    <row r="269" customFormat="false" ht="15" hidden="false" customHeight="true" outlineLevel="0" collapsed="false">
      <c r="A269" s="10" t="s">
        <v>509</v>
      </c>
      <c r="B269" s="10" t="s">
        <v>1346</v>
      </c>
      <c r="C269" s="63" t="n">
        <v>18.29316</v>
      </c>
      <c r="D269" s="10" t="s">
        <v>1301</v>
      </c>
      <c r="E269" s="6" t="s">
        <v>1434</v>
      </c>
    </row>
    <row r="270" customFormat="false" ht="15" hidden="false" customHeight="true" outlineLevel="0" collapsed="false">
      <c r="A270" s="10" t="s">
        <v>509</v>
      </c>
      <c r="B270" s="10" t="s">
        <v>1348</v>
      </c>
      <c r="C270" s="63" t="n">
        <v>18.29316</v>
      </c>
      <c r="D270" s="10" t="s">
        <v>1301</v>
      </c>
      <c r="E270" s="6" t="s">
        <v>1435</v>
      </c>
    </row>
    <row r="271" customFormat="false" ht="15" hidden="false" customHeight="true" outlineLevel="0" collapsed="false">
      <c r="A271" s="10" t="s">
        <v>510</v>
      </c>
      <c r="B271" s="10" t="s">
        <v>1281</v>
      </c>
      <c r="C271" s="10" t="n">
        <v>0</v>
      </c>
      <c r="D271" s="10"/>
      <c r="E271" s="6"/>
    </row>
    <row r="272" customFormat="false" ht="15" hidden="false" customHeight="true" outlineLevel="0" collapsed="false">
      <c r="A272" s="10" t="s">
        <v>510</v>
      </c>
      <c r="B272" s="10" t="s">
        <v>1282</v>
      </c>
      <c r="C272" s="10" t="n">
        <v>0</v>
      </c>
      <c r="D272" s="10"/>
      <c r="E272" s="6"/>
    </row>
    <row r="273" customFormat="false" ht="15" hidden="false" customHeight="true" outlineLevel="0" collapsed="false">
      <c r="A273" s="10" t="s">
        <v>510</v>
      </c>
      <c r="B273" s="10" t="s">
        <v>1283</v>
      </c>
      <c r="C273" s="10" t="n">
        <v>4</v>
      </c>
      <c r="D273" s="10"/>
      <c r="E273" s="6" t="s">
        <v>1284</v>
      </c>
    </row>
    <row r="274" customFormat="false" ht="15" hidden="false" customHeight="true" outlineLevel="0" collapsed="false">
      <c r="A274" s="10" t="s">
        <v>510</v>
      </c>
      <c r="B274" s="10" t="s">
        <v>1285</v>
      </c>
      <c r="C274" s="63" t="n">
        <v>55</v>
      </c>
      <c r="D274" s="10"/>
      <c r="E274" s="6" t="s">
        <v>1436</v>
      </c>
    </row>
    <row r="275" customFormat="false" ht="15" hidden="false" customHeight="true" outlineLevel="0" collapsed="false">
      <c r="A275" s="10" t="s">
        <v>510</v>
      </c>
      <c r="B275" s="10" t="s">
        <v>1287</v>
      </c>
      <c r="C275" s="63" t="n">
        <v>508.2</v>
      </c>
      <c r="D275" s="10"/>
      <c r="E275" s="6" t="s">
        <v>1437</v>
      </c>
    </row>
    <row r="276" customFormat="false" ht="15" hidden="false" customHeight="true" outlineLevel="0" collapsed="false">
      <c r="A276" s="10" t="s">
        <v>510</v>
      </c>
      <c r="B276" s="10" t="s">
        <v>1289</v>
      </c>
      <c r="C276" s="63" t="n">
        <v>0.071</v>
      </c>
      <c r="D276" s="10"/>
      <c r="E276" s="6" t="s">
        <v>1438</v>
      </c>
    </row>
    <row r="277" customFormat="false" ht="15" hidden="false" customHeight="true" outlineLevel="0" collapsed="false">
      <c r="A277" s="10" t="s">
        <v>510</v>
      </c>
      <c r="B277" s="10" t="s">
        <v>216</v>
      </c>
      <c r="C277" s="63" t="n">
        <v>3.258</v>
      </c>
      <c r="D277" s="10"/>
      <c r="E277" s="6" t="s">
        <v>1439</v>
      </c>
    </row>
    <row r="278" customFormat="false" ht="15" hidden="false" customHeight="true" outlineLevel="0" collapsed="false">
      <c r="A278" s="10" t="s">
        <v>510</v>
      </c>
      <c r="B278" s="10" t="s">
        <v>1292</v>
      </c>
      <c r="C278" s="63" t="n">
        <v>89.085</v>
      </c>
      <c r="D278" s="10"/>
      <c r="E278" s="6" t="s">
        <v>1440</v>
      </c>
    </row>
    <row r="279" customFormat="false" ht="15" hidden="false" customHeight="true" outlineLevel="0" collapsed="false">
      <c r="A279" s="10" t="s">
        <v>510</v>
      </c>
      <c r="B279" s="10" t="s">
        <v>1294</v>
      </c>
      <c r="C279" s="63" t="n">
        <v>-4.444</v>
      </c>
      <c r="D279" s="10"/>
      <c r="E279" s="6" t="s">
        <v>1441</v>
      </c>
    </row>
    <row r="280" customFormat="false" ht="15" hidden="false" customHeight="true" outlineLevel="0" collapsed="false">
      <c r="A280" s="10" t="s">
        <v>510</v>
      </c>
      <c r="B280" s="10" t="s">
        <v>1296</v>
      </c>
      <c r="C280" s="63" t="n">
        <v>74.085</v>
      </c>
      <c r="D280" s="10"/>
      <c r="E280" s="6" t="s">
        <v>1442</v>
      </c>
    </row>
    <row r="281" customFormat="false" ht="15" hidden="false" customHeight="true" outlineLevel="0" collapsed="false">
      <c r="A281" s="10" t="s">
        <v>510</v>
      </c>
      <c r="B281" s="10" t="s">
        <v>1298</v>
      </c>
      <c r="C281" s="63" t="n">
        <v>-9.463</v>
      </c>
      <c r="D281" s="10"/>
      <c r="E281" s="6" t="s">
        <v>1443</v>
      </c>
    </row>
    <row r="282" customFormat="false" ht="15" hidden="false" customHeight="true" outlineLevel="0" collapsed="false">
      <c r="A282" s="10" t="s">
        <v>510</v>
      </c>
      <c r="B282" s="10" t="s">
        <v>1300</v>
      </c>
      <c r="C282" s="63" t="n">
        <v>2.5</v>
      </c>
      <c r="D282" s="10" t="s">
        <v>1301</v>
      </c>
      <c r="E282" s="6" t="s">
        <v>1302</v>
      </c>
    </row>
    <row r="283" customFormat="false" ht="15" hidden="false" customHeight="true" outlineLevel="0" collapsed="false">
      <c r="A283" s="10" t="s">
        <v>510</v>
      </c>
      <c r="B283" s="10" t="s">
        <v>1303</v>
      </c>
      <c r="C283" s="63" t="n">
        <v>0</v>
      </c>
      <c r="D283" s="10"/>
      <c r="E283" s="6" t="s">
        <v>1304</v>
      </c>
    </row>
    <row r="284" customFormat="false" ht="15" hidden="false" customHeight="true" outlineLevel="0" collapsed="false">
      <c r="A284" s="10" t="s">
        <v>510</v>
      </c>
      <c r="B284" s="10" t="s">
        <v>1305</v>
      </c>
      <c r="C284" s="63" t="n">
        <v>14.2</v>
      </c>
      <c r="D284" s="10"/>
      <c r="E284" s="6" t="s">
        <v>1306</v>
      </c>
    </row>
    <row r="285" customFormat="false" ht="15" hidden="false" customHeight="true" outlineLevel="0" collapsed="false">
      <c r="A285" s="10" t="s">
        <v>510</v>
      </c>
      <c r="B285" s="10" t="s">
        <v>1307</v>
      </c>
      <c r="C285" s="63" t="n">
        <v>5.9</v>
      </c>
      <c r="D285" s="10"/>
      <c r="E285" s="6" t="s">
        <v>1308</v>
      </c>
    </row>
    <row r="286" customFormat="false" ht="15" hidden="false" customHeight="true" outlineLevel="0" collapsed="false">
      <c r="A286" s="10" t="s">
        <v>510</v>
      </c>
      <c r="B286" s="10" t="s">
        <v>1309</v>
      </c>
      <c r="C286" s="63" t="n">
        <v>14.4</v>
      </c>
      <c r="D286" s="10"/>
      <c r="E286" s="6" t="s">
        <v>1310</v>
      </c>
    </row>
    <row r="287" customFormat="false" ht="15" hidden="false" customHeight="true" outlineLevel="0" collapsed="false">
      <c r="A287" s="10" t="s">
        <v>510</v>
      </c>
      <c r="B287" s="10" t="s">
        <v>1311</v>
      </c>
      <c r="C287" s="63" t="n">
        <v>12.2</v>
      </c>
      <c r="D287" s="10"/>
      <c r="E287" s="6" t="s">
        <v>1312</v>
      </c>
    </row>
    <row r="288" customFormat="false" ht="15" hidden="false" customHeight="true" outlineLevel="0" collapsed="false">
      <c r="A288" s="10" t="s">
        <v>510</v>
      </c>
      <c r="B288" s="10" t="s">
        <v>1313</v>
      </c>
      <c r="C288" s="63" t="n">
        <v>0</v>
      </c>
      <c r="D288" s="10"/>
      <c r="E288" s="6" t="s">
        <v>1314</v>
      </c>
    </row>
    <row r="289" customFormat="false" ht="15" hidden="false" customHeight="true" outlineLevel="0" collapsed="false">
      <c r="A289" s="10" t="s">
        <v>510</v>
      </c>
      <c r="B289" s="10" t="s">
        <v>1315</v>
      </c>
      <c r="C289" s="63" t="n">
        <v>0</v>
      </c>
      <c r="D289" s="10"/>
      <c r="E289" s="6" t="s">
        <v>1304</v>
      </c>
    </row>
    <row r="290" customFormat="false" ht="15" hidden="false" customHeight="true" outlineLevel="0" collapsed="false">
      <c r="A290" s="10" t="s">
        <v>510</v>
      </c>
      <c r="B290" s="10" t="s">
        <v>1316</v>
      </c>
      <c r="C290" s="63" t="n">
        <v>0</v>
      </c>
      <c r="D290" s="10"/>
      <c r="E290" s="6" t="s">
        <v>1317</v>
      </c>
    </row>
    <row r="291" customFormat="false" ht="15" hidden="false" customHeight="true" outlineLevel="0" collapsed="false">
      <c r="A291" s="10" t="s">
        <v>510</v>
      </c>
      <c r="B291" s="10" t="s">
        <v>1318</v>
      </c>
      <c r="C291" s="63" t="n">
        <v>0</v>
      </c>
      <c r="D291" s="10"/>
      <c r="E291" s="6" t="s">
        <v>1358</v>
      </c>
    </row>
    <row r="292" customFormat="false" ht="15" hidden="false" customHeight="true" outlineLevel="0" collapsed="false">
      <c r="A292" s="10" t="s">
        <v>510</v>
      </c>
      <c r="B292" s="10" t="s">
        <v>1320</v>
      </c>
      <c r="C292" s="63" t="n">
        <v>0</v>
      </c>
      <c r="D292" s="10"/>
      <c r="E292" s="6" t="s">
        <v>1321</v>
      </c>
    </row>
    <row r="293" customFormat="false" ht="15" hidden="false" customHeight="true" outlineLevel="0" collapsed="false">
      <c r="A293" s="10" t="s">
        <v>510</v>
      </c>
      <c r="B293" s="10" t="s">
        <v>1322</v>
      </c>
      <c r="C293" s="63" t="n">
        <v>0</v>
      </c>
      <c r="D293" s="10"/>
      <c r="E293" s="6" t="s">
        <v>1323</v>
      </c>
    </row>
    <row r="294" customFormat="false" ht="15" hidden="false" customHeight="true" outlineLevel="0" collapsed="false">
      <c r="A294" s="10" t="s">
        <v>510</v>
      </c>
      <c r="B294" s="10" t="s">
        <v>1324</v>
      </c>
      <c r="C294" s="63" t="n">
        <v>0</v>
      </c>
      <c r="D294" s="10" t="s">
        <v>1301</v>
      </c>
      <c r="E294" s="6" t="s">
        <v>1429</v>
      </c>
    </row>
    <row r="295" customFormat="false" ht="15" hidden="false" customHeight="true" outlineLevel="0" collapsed="false">
      <c r="A295" s="10" t="s">
        <v>510</v>
      </c>
      <c r="B295" s="10" t="s">
        <v>1326</v>
      </c>
      <c r="C295" s="63" t="n">
        <v>50.72</v>
      </c>
      <c r="D295" s="10"/>
      <c r="E295" s="6" t="s">
        <v>1327</v>
      </c>
    </row>
    <row r="296" customFormat="false" ht="15" hidden="false" customHeight="true" outlineLevel="0" collapsed="false">
      <c r="A296" s="10" t="s">
        <v>510</v>
      </c>
      <c r="B296" s="10" t="s">
        <v>1328</v>
      </c>
      <c r="C296" s="63" t="n">
        <v>108.834</v>
      </c>
      <c r="D296" s="10" t="s">
        <v>1301</v>
      </c>
      <c r="E296" s="6" t="s">
        <v>1444</v>
      </c>
    </row>
    <row r="297" customFormat="false" ht="15" hidden="false" customHeight="true" outlineLevel="0" collapsed="false">
      <c r="A297" s="10" t="s">
        <v>510</v>
      </c>
      <c r="B297" s="10" t="s">
        <v>1330</v>
      </c>
      <c r="C297" s="63" t="n">
        <v>1.076</v>
      </c>
      <c r="D297" s="10"/>
      <c r="E297" s="6" t="s">
        <v>1445</v>
      </c>
    </row>
    <row r="298" customFormat="false" ht="15" hidden="false" customHeight="true" outlineLevel="0" collapsed="false">
      <c r="A298" s="10" t="s">
        <v>510</v>
      </c>
      <c r="B298" s="10" t="s">
        <v>1331</v>
      </c>
      <c r="C298" s="63" t="n">
        <v>282.9</v>
      </c>
      <c r="D298" s="10"/>
      <c r="E298" s="6" t="s">
        <v>1361</v>
      </c>
    </row>
    <row r="299" customFormat="false" ht="15" hidden="false" customHeight="true" outlineLevel="0" collapsed="false">
      <c r="A299" s="10" t="s">
        <v>510</v>
      </c>
      <c r="B299" s="10" t="s">
        <v>1333</v>
      </c>
      <c r="C299" s="63" t="n">
        <v>532.066</v>
      </c>
      <c r="D299" s="10"/>
      <c r="E299" s="6" t="s">
        <v>1446</v>
      </c>
    </row>
    <row r="300" customFormat="false" ht="15" hidden="false" customHeight="true" outlineLevel="0" collapsed="false">
      <c r="A300" s="10" t="s">
        <v>510</v>
      </c>
      <c r="B300" s="10" t="s">
        <v>1334</v>
      </c>
      <c r="C300" s="63" t="n">
        <v>37.337</v>
      </c>
      <c r="D300" s="10"/>
      <c r="E300" s="6" t="s">
        <v>1447</v>
      </c>
    </row>
    <row r="301" customFormat="false" ht="15" hidden="false" customHeight="true" outlineLevel="0" collapsed="false">
      <c r="A301" s="10" t="s">
        <v>510</v>
      </c>
      <c r="B301" s="10" t="s">
        <v>1335</v>
      </c>
      <c r="C301" s="63" t="n">
        <v>8.77</v>
      </c>
      <c r="D301" s="10"/>
      <c r="E301" s="6" t="s">
        <v>1446</v>
      </c>
    </row>
    <row r="302" customFormat="false" ht="15" hidden="false" customHeight="true" outlineLevel="0" collapsed="false">
      <c r="A302" s="10" t="s">
        <v>510</v>
      </c>
      <c r="B302" s="10" t="s">
        <v>1336</v>
      </c>
      <c r="C302" s="63" t="n">
        <v>0.105</v>
      </c>
      <c r="D302" s="10" t="s">
        <v>1301</v>
      </c>
      <c r="E302" s="6" t="s">
        <v>1337</v>
      </c>
    </row>
    <row r="303" customFormat="false" ht="15" hidden="false" customHeight="true" outlineLevel="0" collapsed="false">
      <c r="A303" s="10" t="s">
        <v>510</v>
      </c>
      <c r="B303" s="10" t="s">
        <v>1338</v>
      </c>
      <c r="C303" s="63" t="n">
        <v>0</v>
      </c>
      <c r="D303" s="10"/>
      <c r="E303" s="6" t="s">
        <v>1418</v>
      </c>
    </row>
    <row r="304" customFormat="false" ht="15" hidden="false" customHeight="true" outlineLevel="0" collapsed="false">
      <c r="A304" s="10" t="s">
        <v>510</v>
      </c>
      <c r="B304" s="10" t="s">
        <v>1340</v>
      </c>
      <c r="C304" s="63" t="n">
        <v>1.06</v>
      </c>
      <c r="D304" s="10"/>
      <c r="E304" s="6" t="s">
        <v>1341</v>
      </c>
    </row>
    <row r="305" customFormat="false" ht="15" hidden="false" customHeight="true" outlineLevel="0" collapsed="false">
      <c r="A305" s="10" t="s">
        <v>510</v>
      </c>
      <c r="B305" s="10" t="s">
        <v>1342</v>
      </c>
      <c r="C305" s="63" t="n">
        <v>192.854</v>
      </c>
      <c r="D305" s="10"/>
      <c r="E305" s="6" t="s">
        <v>1446</v>
      </c>
    </row>
    <row r="306" customFormat="false" ht="15" hidden="false" customHeight="true" outlineLevel="0" collapsed="false">
      <c r="A306" s="10" t="s">
        <v>510</v>
      </c>
      <c r="B306" s="10" t="s">
        <v>1343</v>
      </c>
      <c r="C306" s="10" t="s">
        <v>1448</v>
      </c>
      <c r="D306" s="10" t="s">
        <v>1301</v>
      </c>
      <c r="E306" s="6" t="s">
        <v>1393</v>
      </c>
    </row>
    <row r="307" customFormat="false" ht="15" hidden="false" customHeight="true" outlineLevel="0" collapsed="false">
      <c r="A307" s="10" t="s">
        <v>510</v>
      </c>
      <c r="B307" s="10" t="s">
        <v>1346</v>
      </c>
      <c r="C307" s="63" t="n">
        <v>21.16665</v>
      </c>
      <c r="D307" s="10" t="s">
        <v>1301</v>
      </c>
      <c r="E307" s="6" t="s">
        <v>1434</v>
      </c>
    </row>
    <row r="308" customFormat="false" ht="15" hidden="false" customHeight="true" outlineLevel="0" collapsed="false">
      <c r="A308" s="10" t="s">
        <v>510</v>
      </c>
      <c r="B308" s="10" t="s">
        <v>1348</v>
      </c>
      <c r="C308" s="63" t="n">
        <v>21.16665</v>
      </c>
      <c r="D308" s="10" t="s">
        <v>1301</v>
      </c>
      <c r="E308" s="6" t="s">
        <v>1435</v>
      </c>
    </row>
    <row r="309" customFormat="false" ht="15" hidden="false" customHeight="true" outlineLevel="0" collapsed="false">
      <c r="A309" s="10" t="s">
        <v>512</v>
      </c>
      <c r="B309" s="10" t="s">
        <v>1281</v>
      </c>
      <c r="C309" s="10" t="n">
        <v>0</v>
      </c>
      <c r="D309" s="10"/>
      <c r="E309" s="6"/>
    </row>
    <row r="310" customFormat="false" ht="15" hidden="false" customHeight="true" outlineLevel="0" collapsed="false">
      <c r="A310" s="10" t="s">
        <v>512</v>
      </c>
      <c r="B310" s="10" t="s">
        <v>1282</v>
      </c>
      <c r="C310" s="10" t="n">
        <v>0</v>
      </c>
      <c r="D310" s="10"/>
      <c r="E310" s="6"/>
    </row>
    <row r="311" customFormat="false" ht="15" hidden="false" customHeight="true" outlineLevel="0" collapsed="false">
      <c r="A311" s="10" t="s">
        <v>512</v>
      </c>
      <c r="B311" s="10" t="s">
        <v>1283</v>
      </c>
      <c r="C311" s="10" t="n">
        <v>3</v>
      </c>
      <c r="D311" s="10"/>
      <c r="E311" s="6" t="s">
        <v>1284</v>
      </c>
    </row>
    <row r="312" customFormat="false" ht="15" hidden="false" customHeight="true" outlineLevel="0" collapsed="false">
      <c r="A312" s="10" t="s">
        <v>512</v>
      </c>
      <c r="B312" s="10" t="s">
        <v>1285</v>
      </c>
      <c r="C312" s="63" t="n">
        <v>46.3</v>
      </c>
      <c r="D312" s="10"/>
      <c r="E312" s="6" t="s">
        <v>1449</v>
      </c>
    </row>
    <row r="313" customFormat="false" ht="15" hidden="false" customHeight="true" outlineLevel="0" collapsed="false">
      <c r="A313" s="10" t="s">
        <v>512</v>
      </c>
      <c r="B313" s="10" t="s">
        <v>1287</v>
      </c>
      <c r="C313" s="63" t="n">
        <v>431.8</v>
      </c>
      <c r="D313" s="10"/>
      <c r="E313" s="6" t="s">
        <v>1450</v>
      </c>
    </row>
    <row r="314" customFormat="false" ht="15" hidden="false" customHeight="true" outlineLevel="0" collapsed="false">
      <c r="A314" s="10" t="s">
        <v>512</v>
      </c>
      <c r="B314" s="10" t="s">
        <v>1289</v>
      </c>
      <c r="C314" s="63" t="n">
        <v>0.07</v>
      </c>
      <c r="D314" s="10"/>
      <c r="E314" s="6" t="s">
        <v>1451</v>
      </c>
    </row>
    <row r="315" customFormat="false" ht="15" hidden="false" customHeight="true" outlineLevel="0" collapsed="false">
      <c r="A315" s="10" t="s">
        <v>512</v>
      </c>
      <c r="B315" s="10" t="s">
        <v>216</v>
      </c>
      <c r="C315" s="63" t="n">
        <v>2.21</v>
      </c>
      <c r="D315" s="10"/>
      <c r="E315" s="6" t="s">
        <v>1452</v>
      </c>
    </row>
    <row r="316" customFormat="false" ht="15" hidden="false" customHeight="true" outlineLevel="0" collapsed="false">
      <c r="A316" s="10" t="s">
        <v>512</v>
      </c>
      <c r="B316" s="10" t="s">
        <v>1292</v>
      </c>
      <c r="C316" s="63" t="n">
        <v>67.651</v>
      </c>
      <c r="D316" s="10"/>
      <c r="E316" s="6" t="s">
        <v>1453</v>
      </c>
    </row>
    <row r="317" customFormat="false" ht="15" hidden="false" customHeight="true" outlineLevel="0" collapsed="false">
      <c r="A317" s="10" t="s">
        <v>512</v>
      </c>
      <c r="B317" s="10" t="s">
        <v>1294</v>
      </c>
      <c r="C317" s="63" t="n">
        <v>-4.674</v>
      </c>
      <c r="D317" s="10"/>
      <c r="E317" s="6" t="s">
        <v>1454</v>
      </c>
    </row>
    <row r="318" customFormat="false" ht="15" hidden="false" customHeight="true" outlineLevel="0" collapsed="false">
      <c r="A318" s="10" t="s">
        <v>512</v>
      </c>
      <c r="B318" s="10" t="s">
        <v>1296</v>
      </c>
      <c r="C318" s="63" t="n">
        <v>46.351</v>
      </c>
      <c r="D318" s="10"/>
      <c r="E318" s="6" t="s">
        <v>1455</v>
      </c>
    </row>
    <row r="319" customFormat="false" ht="15" hidden="false" customHeight="true" outlineLevel="0" collapsed="false">
      <c r="A319" s="10" t="s">
        <v>512</v>
      </c>
      <c r="B319" s="10" t="s">
        <v>1298</v>
      </c>
      <c r="C319" s="63" t="n">
        <v>-8.206</v>
      </c>
      <c r="D319" s="10"/>
      <c r="E319" s="6" t="s">
        <v>1456</v>
      </c>
    </row>
    <row r="320" customFormat="false" ht="15" hidden="false" customHeight="true" outlineLevel="0" collapsed="false">
      <c r="A320" s="10" t="s">
        <v>512</v>
      </c>
      <c r="B320" s="10" t="s">
        <v>1300</v>
      </c>
      <c r="C320" s="63" t="n">
        <v>2.5</v>
      </c>
      <c r="D320" s="10" t="s">
        <v>1301</v>
      </c>
      <c r="E320" s="6" t="s">
        <v>1302</v>
      </c>
    </row>
    <row r="321" customFormat="false" ht="15" hidden="false" customHeight="true" outlineLevel="0" collapsed="false">
      <c r="A321" s="10" t="s">
        <v>512</v>
      </c>
      <c r="B321" s="10" t="s">
        <v>1303</v>
      </c>
      <c r="C321" s="63" t="n">
        <v>0</v>
      </c>
      <c r="D321" s="10"/>
      <c r="E321" s="6" t="s">
        <v>1304</v>
      </c>
    </row>
    <row r="322" customFormat="false" ht="15" hidden="false" customHeight="true" outlineLevel="0" collapsed="false">
      <c r="A322" s="10" t="s">
        <v>512</v>
      </c>
      <c r="B322" s="10" t="s">
        <v>1305</v>
      </c>
      <c r="C322" s="63" t="n">
        <v>22.7</v>
      </c>
      <c r="D322" s="10"/>
      <c r="E322" s="6" t="s">
        <v>1306</v>
      </c>
    </row>
    <row r="323" customFormat="false" ht="15" hidden="false" customHeight="true" outlineLevel="0" collapsed="false">
      <c r="A323" s="10" t="s">
        <v>512</v>
      </c>
      <c r="B323" s="10" t="s">
        <v>1307</v>
      </c>
      <c r="C323" s="63" t="n">
        <v>19.1</v>
      </c>
      <c r="D323" s="10"/>
      <c r="E323" s="6" t="s">
        <v>1308</v>
      </c>
    </row>
    <row r="324" customFormat="false" ht="15" hidden="false" customHeight="true" outlineLevel="0" collapsed="false">
      <c r="A324" s="10" t="s">
        <v>512</v>
      </c>
      <c r="B324" s="10" t="s">
        <v>1309</v>
      </c>
      <c r="C324" s="63" t="n">
        <v>5.4</v>
      </c>
      <c r="D324" s="10"/>
      <c r="E324" s="6" t="s">
        <v>1310</v>
      </c>
    </row>
    <row r="325" customFormat="false" ht="15" hidden="false" customHeight="true" outlineLevel="0" collapsed="false">
      <c r="A325" s="10" t="s">
        <v>512</v>
      </c>
      <c r="B325" s="10" t="s">
        <v>1311</v>
      </c>
      <c r="C325" s="63" t="n">
        <v>4.3</v>
      </c>
      <c r="D325" s="10"/>
      <c r="E325" s="6" t="s">
        <v>1312</v>
      </c>
    </row>
    <row r="326" customFormat="false" ht="15" hidden="false" customHeight="true" outlineLevel="0" collapsed="false">
      <c r="A326" s="10" t="s">
        <v>512</v>
      </c>
      <c r="B326" s="10" t="s">
        <v>1313</v>
      </c>
      <c r="C326" s="63" t="n">
        <v>0</v>
      </c>
      <c r="D326" s="10"/>
      <c r="E326" s="6" t="s">
        <v>1314</v>
      </c>
    </row>
    <row r="327" customFormat="false" ht="15" hidden="false" customHeight="true" outlineLevel="0" collapsed="false">
      <c r="A327" s="10" t="s">
        <v>512</v>
      </c>
      <c r="B327" s="10" t="s">
        <v>1315</v>
      </c>
      <c r="C327" s="63" t="n">
        <v>0</v>
      </c>
      <c r="D327" s="10"/>
      <c r="E327" s="6" t="s">
        <v>1304</v>
      </c>
    </row>
    <row r="328" customFormat="false" ht="15" hidden="false" customHeight="true" outlineLevel="0" collapsed="false">
      <c r="A328" s="10" t="s">
        <v>512</v>
      </c>
      <c r="B328" s="10" t="s">
        <v>1316</v>
      </c>
      <c r="C328" s="63" t="n">
        <v>0</v>
      </c>
      <c r="D328" s="10"/>
      <c r="E328" s="6" t="s">
        <v>1317</v>
      </c>
    </row>
    <row r="329" customFormat="false" ht="15" hidden="false" customHeight="true" outlineLevel="0" collapsed="false">
      <c r="A329" s="10" t="s">
        <v>512</v>
      </c>
      <c r="B329" s="10" t="s">
        <v>1318</v>
      </c>
      <c r="C329" s="63" t="n">
        <v>0</v>
      </c>
      <c r="D329" s="10"/>
      <c r="E329" s="6" t="s">
        <v>1358</v>
      </c>
    </row>
    <row r="330" customFormat="false" ht="15" hidden="false" customHeight="true" outlineLevel="0" collapsed="false">
      <c r="A330" s="10" t="s">
        <v>512</v>
      </c>
      <c r="B330" s="10" t="s">
        <v>1320</v>
      </c>
      <c r="C330" s="63" t="n">
        <v>0</v>
      </c>
      <c r="D330" s="10"/>
      <c r="E330" s="6" t="s">
        <v>1321</v>
      </c>
    </row>
    <row r="331" customFormat="false" ht="15" hidden="false" customHeight="true" outlineLevel="0" collapsed="false">
      <c r="A331" s="10" t="s">
        <v>512</v>
      </c>
      <c r="B331" s="10" t="s">
        <v>1322</v>
      </c>
      <c r="C331" s="63" t="n">
        <v>0</v>
      </c>
      <c r="D331" s="10"/>
      <c r="E331" s="6" t="s">
        <v>1323</v>
      </c>
    </row>
    <row r="332" customFormat="false" ht="15" hidden="false" customHeight="true" outlineLevel="0" collapsed="false">
      <c r="A332" s="10" t="s">
        <v>512</v>
      </c>
      <c r="B332" s="10" t="s">
        <v>1324</v>
      </c>
      <c r="C332" s="63" t="n">
        <v>0</v>
      </c>
      <c r="D332" s="10" t="s">
        <v>1301</v>
      </c>
      <c r="E332" s="6" t="s">
        <v>1429</v>
      </c>
    </row>
    <row r="333" customFormat="false" ht="15" hidden="false" customHeight="true" outlineLevel="0" collapsed="false">
      <c r="A333" s="10" t="s">
        <v>512</v>
      </c>
      <c r="B333" s="10" t="s">
        <v>1326</v>
      </c>
      <c r="C333" s="63" t="n">
        <v>51.02</v>
      </c>
      <c r="D333" s="10"/>
      <c r="E333" s="6" t="s">
        <v>1327</v>
      </c>
    </row>
    <row r="334" customFormat="false" ht="15" hidden="false" customHeight="true" outlineLevel="0" collapsed="false">
      <c r="A334" s="10" t="s">
        <v>512</v>
      </c>
      <c r="B334" s="10" t="s">
        <v>1328</v>
      </c>
      <c r="C334" s="63" t="n">
        <v>92.8</v>
      </c>
      <c r="D334" s="10"/>
      <c r="E334" s="6" t="s">
        <v>1457</v>
      </c>
    </row>
    <row r="335" customFormat="false" ht="15" hidden="false" customHeight="true" outlineLevel="0" collapsed="false">
      <c r="A335" s="10" t="s">
        <v>512</v>
      </c>
      <c r="B335" s="10" t="s">
        <v>1330</v>
      </c>
      <c r="C335" s="63" t="n">
        <v>1.13</v>
      </c>
      <c r="D335" s="10"/>
      <c r="E335" s="6" t="s">
        <v>1457</v>
      </c>
    </row>
    <row r="336" customFormat="false" ht="15" hidden="false" customHeight="true" outlineLevel="0" collapsed="false">
      <c r="A336" s="10" t="s">
        <v>512</v>
      </c>
      <c r="B336" s="10" t="s">
        <v>1331</v>
      </c>
      <c r="C336" s="63" t="n">
        <v>188.3</v>
      </c>
      <c r="D336" s="10"/>
      <c r="E336" s="6" t="s">
        <v>1361</v>
      </c>
    </row>
    <row r="337" customFormat="false" ht="15" hidden="false" customHeight="true" outlineLevel="0" collapsed="false">
      <c r="A337" s="10" t="s">
        <v>512</v>
      </c>
      <c r="B337" s="10" t="s">
        <v>1333</v>
      </c>
      <c r="C337" s="63" t="n">
        <v>409.379</v>
      </c>
      <c r="D337" s="10"/>
      <c r="E337" s="6" t="s">
        <v>1458</v>
      </c>
    </row>
    <row r="338" customFormat="false" ht="15" hidden="false" customHeight="true" outlineLevel="0" collapsed="false">
      <c r="A338" s="10" t="s">
        <v>512</v>
      </c>
      <c r="B338" s="10" t="s">
        <v>1334</v>
      </c>
      <c r="C338" s="63" t="n">
        <v>3.414</v>
      </c>
      <c r="D338" s="10"/>
      <c r="E338" s="6" t="s">
        <v>1458</v>
      </c>
    </row>
    <row r="339" customFormat="false" ht="15" hidden="false" customHeight="true" outlineLevel="0" collapsed="false">
      <c r="A339" s="10" t="s">
        <v>512</v>
      </c>
      <c r="B339" s="10" t="s">
        <v>1335</v>
      </c>
      <c r="C339" s="63" t="n">
        <v>5.871</v>
      </c>
      <c r="D339" s="10"/>
      <c r="E339" s="6" t="s">
        <v>1458</v>
      </c>
    </row>
    <row r="340" customFormat="false" ht="15" hidden="false" customHeight="true" outlineLevel="0" collapsed="false">
      <c r="A340" s="10" t="s">
        <v>512</v>
      </c>
      <c r="B340" s="10" t="s">
        <v>1336</v>
      </c>
      <c r="C340" s="63" t="n">
        <v>0.105</v>
      </c>
      <c r="D340" s="10" t="s">
        <v>1301</v>
      </c>
      <c r="E340" s="6" t="s">
        <v>1337</v>
      </c>
    </row>
    <row r="341" customFormat="false" ht="15" hidden="false" customHeight="true" outlineLevel="0" collapsed="false">
      <c r="A341" s="10" t="s">
        <v>512</v>
      </c>
      <c r="B341" s="10" t="s">
        <v>1338</v>
      </c>
      <c r="C341" s="63" t="n">
        <v>5.98</v>
      </c>
      <c r="D341" s="10"/>
      <c r="E341" s="6" t="s">
        <v>1339</v>
      </c>
    </row>
    <row r="342" customFormat="false" ht="15" hidden="false" customHeight="true" outlineLevel="0" collapsed="false">
      <c r="A342" s="10" t="s">
        <v>512</v>
      </c>
      <c r="B342" s="10" t="s">
        <v>1340</v>
      </c>
      <c r="C342" s="63" t="n">
        <v>0.05</v>
      </c>
      <c r="D342" s="10"/>
      <c r="E342" s="6" t="s">
        <v>1341</v>
      </c>
    </row>
    <row r="343" customFormat="false" ht="15" hidden="false" customHeight="true" outlineLevel="0" collapsed="false">
      <c r="A343" s="10" t="s">
        <v>512</v>
      </c>
      <c r="B343" s="10" t="s">
        <v>1342</v>
      </c>
      <c r="C343" s="63" t="n">
        <v>108.495</v>
      </c>
      <c r="D343" s="10"/>
      <c r="E343" s="6" t="s">
        <v>1458</v>
      </c>
    </row>
    <row r="344" customFormat="false" ht="15" hidden="false" customHeight="true" outlineLevel="0" collapsed="false">
      <c r="A344" s="10" t="s">
        <v>512</v>
      </c>
      <c r="B344" s="10" t="s">
        <v>1343</v>
      </c>
      <c r="C344" s="10" t="s">
        <v>1459</v>
      </c>
      <c r="D344" s="10" t="s">
        <v>1301</v>
      </c>
      <c r="E344" s="6" t="s">
        <v>1460</v>
      </c>
    </row>
    <row r="345" customFormat="false" ht="15" hidden="false" customHeight="true" outlineLevel="0" collapsed="false">
      <c r="A345" s="10" t="s">
        <v>512</v>
      </c>
      <c r="B345" s="10" t="s">
        <v>1346</v>
      </c>
      <c r="C345" s="63" t="n">
        <v>16.45038</v>
      </c>
      <c r="D345" s="10" t="s">
        <v>1301</v>
      </c>
      <c r="E345" s="6" t="s">
        <v>1434</v>
      </c>
    </row>
    <row r="346" customFormat="false" ht="15" hidden="false" customHeight="true" outlineLevel="0" collapsed="false">
      <c r="A346" s="10" t="s">
        <v>512</v>
      </c>
      <c r="B346" s="10" t="s">
        <v>1348</v>
      </c>
      <c r="C346" s="63" t="n">
        <v>16.45038</v>
      </c>
      <c r="D346" s="10" t="s">
        <v>1301</v>
      </c>
      <c r="E346" s="6" t="s">
        <v>1435</v>
      </c>
    </row>
    <row r="347" customFormat="false" ht="15" hidden="false" customHeight="true" outlineLevel="0" collapsed="false">
      <c r="A347" s="10" t="s">
        <v>514</v>
      </c>
      <c r="B347" s="10" t="s">
        <v>1281</v>
      </c>
      <c r="C347" s="10" t="n">
        <v>1</v>
      </c>
      <c r="D347" s="10"/>
      <c r="E347" s="6"/>
    </row>
    <row r="348" customFormat="false" ht="15" hidden="false" customHeight="true" outlineLevel="0" collapsed="false">
      <c r="A348" s="10" t="s">
        <v>514</v>
      </c>
      <c r="B348" s="10" t="s">
        <v>1282</v>
      </c>
      <c r="C348" s="10" t="n">
        <v>1</v>
      </c>
      <c r="D348" s="10"/>
      <c r="E348" s="6"/>
    </row>
    <row r="349" customFormat="false" ht="15" hidden="false" customHeight="true" outlineLevel="0" collapsed="false">
      <c r="A349" s="10" t="s">
        <v>514</v>
      </c>
      <c r="B349" s="10" t="s">
        <v>1283</v>
      </c>
      <c r="C349" s="10" t="n">
        <v>5</v>
      </c>
      <c r="D349" s="10"/>
      <c r="E349" s="6" t="s">
        <v>1284</v>
      </c>
    </row>
    <row r="350" customFormat="false" ht="15" hidden="false" customHeight="true" outlineLevel="0" collapsed="false">
      <c r="A350" s="10" t="s">
        <v>514</v>
      </c>
      <c r="B350" s="10" t="s">
        <v>1285</v>
      </c>
      <c r="C350" s="63" t="n">
        <v>15.4</v>
      </c>
      <c r="D350" s="10"/>
      <c r="E350" s="6" t="s">
        <v>1461</v>
      </c>
    </row>
    <row r="351" customFormat="false" ht="15" hidden="false" customHeight="true" outlineLevel="0" collapsed="false">
      <c r="A351" s="10" t="s">
        <v>514</v>
      </c>
      <c r="B351" s="10" t="s">
        <v>1287</v>
      </c>
      <c r="C351" s="63" t="n">
        <v>140.6</v>
      </c>
      <c r="D351" s="10"/>
      <c r="E351" s="6" t="s">
        <v>1462</v>
      </c>
    </row>
    <row r="352" customFormat="false" ht="15" hidden="false" customHeight="true" outlineLevel="0" collapsed="false">
      <c r="A352" s="10" t="s">
        <v>514</v>
      </c>
      <c r="B352" s="10" t="s">
        <v>1289</v>
      </c>
      <c r="C352" s="63" t="n">
        <v>0.08</v>
      </c>
      <c r="D352" s="10"/>
      <c r="E352" s="6" t="s">
        <v>1463</v>
      </c>
    </row>
    <row r="353" customFormat="false" ht="15" hidden="false" customHeight="true" outlineLevel="0" collapsed="false">
      <c r="A353" s="10" t="s">
        <v>514</v>
      </c>
      <c r="B353" s="10" t="s">
        <v>216</v>
      </c>
      <c r="C353" s="63" t="n">
        <v>1.389</v>
      </c>
      <c r="D353" s="10"/>
      <c r="E353" s="6" t="s">
        <v>1464</v>
      </c>
    </row>
    <row r="354" customFormat="false" ht="15" hidden="false" customHeight="true" outlineLevel="0" collapsed="false">
      <c r="A354" s="10" t="s">
        <v>514</v>
      </c>
      <c r="B354" s="10" t="s">
        <v>1292</v>
      </c>
      <c r="C354" s="63" t="n">
        <v>72.297</v>
      </c>
      <c r="D354" s="10"/>
      <c r="E354" s="6" t="s">
        <v>1465</v>
      </c>
    </row>
    <row r="355" customFormat="false" ht="15" hidden="false" customHeight="true" outlineLevel="0" collapsed="false">
      <c r="A355" s="10" t="s">
        <v>514</v>
      </c>
      <c r="B355" s="10" t="s">
        <v>1294</v>
      </c>
      <c r="C355" s="63" t="n">
        <v>0</v>
      </c>
      <c r="D355" s="10"/>
      <c r="E355" s="6" t="s">
        <v>1466</v>
      </c>
    </row>
    <row r="356" customFormat="false" ht="15" hidden="false" customHeight="true" outlineLevel="0" collapsed="false">
      <c r="A356" s="10" t="s">
        <v>514</v>
      </c>
      <c r="B356" s="10" t="s">
        <v>1296</v>
      </c>
      <c r="C356" s="63" t="n">
        <v>35.29</v>
      </c>
      <c r="D356" s="10"/>
      <c r="E356" s="6" t="s">
        <v>1467</v>
      </c>
    </row>
    <row r="357" customFormat="false" ht="15" hidden="false" customHeight="true" outlineLevel="0" collapsed="false">
      <c r="A357" s="10" t="s">
        <v>514</v>
      </c>
      <c r="B357" s="10" t="s">
        <v>1298</v>
      </c>
      <c r="C357" s="63" t="n">
        <v>-4.186</v>
      </c>
      <c r="D357" s="10"/>
      <c r="E357" s="6" t="s">
        <v>1468</v>
      </c>
    </row>
    <row r="358" customFormat="false" ht="15" hidden="false" customHeight="true" outlineLevel="0" collapsed="false">
      <c r="A358" s="10" t="s">
        <v>514</v>
      </c>
      <c r="B358" s="10" t="s">
        <v>1300</v>
      </c>
      <c r="C358" s="63" t="n">
        <v>2.5</v>
      </c>
      <c r="D358" s="10" t="s">
        <v>1301</v>
      </c>
      <c r="E358" s="6" t="s">
        <v>1302</v>
      </c>
    </row>
    <row r="359" customFormat="false" ht="15" hidden="false" customHeight="true" outlineLevel="0" collapsed="false">
      <c r="A359" s="10" t="s">
        <v>514</v>
      </c>
      <c r="B359" s="10" t="s">
        <v>1303</v>
      </c>
      <c r="C359" s="63" t="n">
        <v>0</v>
      </c>
      <c r="D359" s="10"/>
      <c r="E359" s="6" t="s">
        <v>1304</v>
      </c>
    </row>
    <row r="360" customFormat="false" ht="15" hidden="false" customHeight="true" outlineLevel="0" collapsed="false">
      <c r="A360" s="10" t="s">
        <v>514</v>
      </c>
      <c r="B360" s="10" t="s">
        <v>1305</v>
      </c>
      <c r="C360" s="63" t="n">
        <v>22.3</v>
      </c>
      <c r="D360" s="10"/>
      <c r="E360" s="6" t="s">
        <v>1306</v>
      </c>
    </row>
    <row r="361" customFormat="false" ht="15" hidden="false" customHeight="true" outlineLevel="0" collapsed="false">
      <c r="A361" s="10" t="s">
        <v>514</v>
      </c>
      <c r="B361" s="10" t="s">
        <v>1307</v>
      </c>
      <c r="C361" s="63" t="n">
        <v>6.7</v>
      </c>
      <c r="D361" s="10"/>
      <c r="E361" s="6" t="s">
        <v>1308</v>
      </c>
    </row>
    <row r="362" customFormat="false" ht="15" hidden="false" customHeight="true" outlineLevel="0" collapsed="false">
      <c r="A362" s="10" t="s">
        <v>514</v>
      </c>
      <c r="B362" s="10" t="s">
        <v>1309</v>
      </c>
      <c r="C362" s="63" t="n">
        <v>10.7</v>
      </c>
      <c r="D362" s="10"/>
      <c r="E362" s="6" t="s">
        <v>1310</v>
      </c>
    </row>
    <row r="363" customFormat="false" ht="15" hidden="false" customHeight="true" outlineLevel="0" collapsed="false">
      <c r="A363" s="10" t="s">
        <v>514</v>
      </c>
      <c r="B363" s="10" t="s">
        <v>1311</v>
      </c>
      <c r="C363" s="63" t="n">
        <v>5.3</v>
      </c>
      <c r="D363" s="10"/>
      <c r="E363" s="6" t="s">
        <v>1312</v>
      </c>
    </row>
    <row r="364" customFormat="false" ht="15" hidden="false" customHeight="true" outlineLevel="0" collapsed="false">
      <c r="A364" s="10" t="s">
        <v>514</v>
      </c>
      <c r="B364" s="10" t="s">
        <v>1313</v>
      </c>
      <c r="C364" s="63" t="n">
        <v>0</v>
      </c>
      <c r="D364" s="10"/>
      <c r="E364" s="6" t="s">
        <v>1314</v>
      </c>
    </row>
    <row r="365" customFormat="false" ht="15" hidden="false" customHeight="true" outlineLevel="0" collapsed="false">
      <c r="A365" s="10" t="s">
        <v>514</v>
      </c>
      <c r="B365" s="10" t="s">
        <v>1315</v>
      </c>
      <c r="C365" s="63" t="n">
        <v>0</v>
      </c>
      <c r="D365" s="10"/>
      <c r="E365" s="6" t="s">
        <v>1304</v>
      </c>
    </row>
    <row r="366" customFormat="false" ht="15" hidden="false" customHeight="true" outlineLevel="0" collapsed="false">
      <c r="A366" s="10" t="s">
        <v>514</v>
      </c>
      <c r="B366" s="10" t="s">
        <v>1316</v>
      </c>
      <c r="C366" s="63" t="n">
        <v>0</v>
      </c>
      <c r="D366" s="10"/>
      <c r="E366" s="6" t="s">
        <v>1317</v>
      </c>
    </row>
    <row r="367" customFormat="false" ht="15" hidden="false" customHeight="true" outlineLevel="0" collapsed="false">
      <c r="A367" s="10" t="s">
        <v>514</v>
      </c>
      <c r="B367" s="10" t="s">
        <v>1318</v>
      </c>
      <c r="C367" s="63" t="n">
        <v>0</v>
      </c>
      <c r="D367" s="10"/>
      <c r="E367" s="6" t="s">
        <v>1358</v>
      </c>
    </row>
    <row r="368" customFormat="false" ht="15" hidden="false" customHeight="true" outlineLevel="0" collapsed="false">
      <c r="A368" s="10" t="s">
        <v>514</v>
      </c>
      <c r="B368" s="10" t="s">
        <v>1320</v>
      </c>
      <c r="C368" s="63" t="n">
        <v>0</v>
      </c>
      <c r="D368" s="10"/>
      <c r="E368" s="6" t="s">
        <v>1321</v>
      </c>
    </row>
    <row r="369" customFormat="false" ht="15" hidden="false" customHeight="true" outlineLevel="0" collapsed="false">
      <c r="A369" s="10" t="s">
        <v>514</v>
      </c>
      <c r="B369" s="10" t="s">
        <v>1322</v>
      </c>
      <c r="C369" s="63" t="n">
        <v>0</v>
      </c>
      <c r="D369" s="10"/>
      <c r="E369" s="6" t="s">
        <v>1323</v>
      </c>
    </row>
    <row r="370" customFormat="false" ht="15" hidden="false" customHeight="true" outlineLevel="0" collapsed="false">
      <c r="A370" s="10" t="s">
        <v>514</v>
      </c>
      <c r="B370" s="10" t="s">
        <v>1324</v>
      </c>
      <c r="C370" s="63" t="n">
        <v>0</v>
      </c>
      <c r="D370" s="10" t="s">
        <v>1301</v>
      </c>
      <c r="E370" s="6" t="s">
        <v>1429</v>
      </c>
    </row>
    <row r="371" customFormat="false" ht="15" hidden="false" customHeight="true" outlineLevel="0" collapsed="false">
      <c r="A371" s="10" t="s">
        <v>514</v>
      </c>
      <c r="B371" s="10" t="s">
        <v>1326</v>
      </c>
      <c r="C371" s="63" t="n">
        <v>2.29</v>
      </c>
      <c r="D371" s="10"/>
      <c r="E371" s="6" t="s">
        <v>1327</v>
      </c>
    </row>
    <row r="372" customFormat="false" ht="15" hidden="false" customHeight="true" outlineLevel="0" collapsed="false">
      <c r="A372" s="10" t="s">
        <v>514</v>
      </c>
      <c r="B372" s="10" t="s">
        <v>1328</v>
      </c>
      <c r="C372" s="63" t="n">
        <v>105.683</v>
      </c>
      <c r="D372" s="10"/>
      <c r="E372" s="6" t="s">
        <v>1469</v>
      </c>
    </row>
    <row r="373" customFormat="false" ht="15" hidden="false" customHeight="true" outlineLevel="0" collapsed="false">
      <c r="A373" s="10" t="s">
        <v>514</v>
      </c>
      <c r="B373" s="10" t="s">
        <v>1330</v>
      </c>
      <c r="C373" s="63" t="n">
        <v>1.07</v>
      </c>
      <c r="D373" s="10"/>
      <c r="E373" s="6" t="s">
        <v>1470</v>
      </c>
    </row>
    <row r="374" customFormat="false" ht="15" hidden="false" customHeight="true" outlineLevel="0" collapsed="false">
      <c r="A374" s="10" t="s">
        <v>514</v>
      </c>
      <c r="B374" s="10" t="s">
        <v>1331</v>
      </c>
      <c r="C374" s="63" t="n">
        <v>247.603</v>
      </c>
      <c r="D374" s="10"/>
      <c r="E374" s="6" t="s">
        <v>1361</v>
      </c>
    </row>
    <row r="375" customFormat="false" ht="15" hidden="false" customHeight="true" outlineLevel="0" collapsed="false">
      <c r="A375" s="10" t="s">
        <v>514</v>
      </c>
      <c r="B375" s="10" t="s">
        <v>1333</v>
      </c>
      <c r="C375" s="63" t="n">
        <v>319.547</v>
      </c>
      <c r="D375" s="10"/>
      <c r="E375" s="6" t="s">
        <v>1471</v>
      </c>
    </row>
    <row r="376" customFormat="false" ht="15" hidden="false" customHeight="true" outlineLevel="0" collapsed="false">
      <c r="A376" s="10" t="s">
        <v>514</v>
      </c>
      <c r="B376" s="10" t="s">
        <v>1334</v>
      </c>
      <c r="C376" s="63" t="n">
        <v>4.372</v>
      </c>
      <c r="D376" s="10"/>
      <c r="E376" s="6" t="s">
        <v>1471</v>
      </c>
    </row>
    <row r="377" customFormat="false" ht="15" hidden="false" customHeight="true" outlineLevel="0" collapsed="false">
      <c r="A377" s="10" t="s">
        <v>514</v>
      </c>
      <c r="B377" s="10" t="s">
        <v>1335</v>
      </c>
      <c r="C377" s="63" t="n">
        <v>0.395</v>
      </c>
      <c r="D377" s="10"/>
      <c r="E377" s="6" t="s">
        <v>1471</v>
      </c>
    </row>
    <row r="378" customFormat="false" ht="15" hidden="false" customHeight="true" outlineLevel="0" collapsed="false">
      <c r="A378" s="10" t="s">
        <v>514</v>
      </c>
      <c r="B378" s="10" t="s">
        <v>1336</v>
      </c>
      <c r="C378" s="63" t="n">
        <v>0.149655429316446</v>
      </c>
      <c r="D378" s="10" t="s">
        <v>1301</v>
      </c>
      <c r="E378" s="6" t="s">
        <v>1337</v>
      </c>
    </row>
    <row r="379" customFormat="false" ht="15" hidden="false" customHeight="true" outlineLevel="0" collapsed="false">
      <c r="A379" s="10" t="s">
        <v>514</v>
      </c>
      <c r="B379" s="10" t="s">
        <v>1338</v>
      </c>
      <c r="C379" s="63" t="n">
        <v>0</v>
      </c>
      <c r="D379" s="10"/>
      <c r="E379" s="6" t="s">
        <v>1418</v>
      </c>
    </row>
    <row r="380" customFormat="false" ht="15" hidden="false" customHeight="true" outlineLevel="0" collapsed="false">
      <c r="A380" s="10" t="s">
        <v>514</v>
      </c>
      <c r="B380" s="10" t="s">
        <v>1340</v>
      </c>
      <c r="C380" s="63" t="n">
        <v>0</v>
      </c>
      <c r="D380" s="10"/>
      <c r="E380" s="6" t="s">
        <v>1418</v>
      </c>
    </row>
    <row r="381" customFormat="false" ht="15" hidden="false" customHeight="true" outlineLevel="0" collapsed="false">
      <c r="A381" s="10" t="s">
        <v>514</v>
      </c>
      <c r="B381" s="10" t="s">
        <v>1342</v>
      </c>
      <c r="C381" s="63" t="n">
        <v>82.79</v>
      </c>
      <c r="D381" s="10"/>
      <c r="E381" s="6" t="s">
        <v>1472</v>
      </c>
    </row>
    <row r="382" customFormat="false" ht="15" hidden="false" customHeight="true" outlineLevel="0" collapsed="false">
      <c r="A382" s="10" t="s">
        <v>514</v>
      </c>
      <c r="B382" s="10" t="s">
        <v>1343</v>
      </c>
      <c r="C382" s="10" t="s">
        <v>1473</v>
      </c>
      <c r="D382" s="10" t="s">
        <v>1301</v>
      </c>
      <c r="E382" s="6" t="s">
        <v>1393</v>
      </c>
    </row>
    <row r="383" customFormat="false" ht="15" hidden="false" customHeight="true" outlineLevel="0" collapsed="false">
      <c r="A383" s="10" t="s">
        <v>514</v>
      </c>
      <c r="B383" s="10" t="s">
        <v>1346</v>
      </c>
      <c r="C383" s="63" t="n">
        <v>103.682</v>
      </c>
      <c r="D383" s="10"/>
      <c r="E383" s="6" t="s">
        <v>1347</v>
      </c>
    </row>
    <row r="384" customFormat="false" ht="15" hidden="false" customHeight="true" outlineLevel="0" collapsed="false">
      <c r="A384" s="10" t="s">
        <v>514</v>
      </c>
      <c r="B384" s="10" t="s">
        <v>1348</v>
      </c>
      <c r="C384" s="63" t="n">
        <v>302.325</v>
      </c>
      <c r="D384" s="10"/>
      <c r="E384" s="6" t="s">
        <v>1349</v>
      </c>
    </row>
    <row r="385" customFormat="false" ht="15" hidden="false" customHeight="true" outlineLevel="0" collapsed="false">
      <c r="A385" s="10" t="s">
        <v>516</v>
      </c>
      <c r="B385" s="10" t="s">
        <v>1281</v>
      </c>
      <c r="C385" s="10" t="n">
        <v>1</v>
      </c>
      <c r="D385" s="10"/>
      <c r="E385" s="6"/>
    </row>
    <row r="386" customFormat="false" ht="15" hidden="false" customHeight="true" outlineLevel="0" collapsed="false">
      <c r="A386" s="10" t="s">
        <v>516</v>
      </c>
      <c r="B386" s="10" t="s">
        <v>1282</v>
      </c>
      <c r="C386" s="10" t="n">
        <v>1</v>
      </c>
      <c r="D386" s="10"/>
      <c r="E386" s="6"/>
    </row>
    <row r="387" customFormat="false" ht="15" hidden="false" customHeight="true" outlineLevel="0" collapsed="false">
      <c r="A387" s="10" t="s">
        <v>516</v>
      </c>
      <c r="B387" s="10" t="s">
        <v>1283</v>
      </c>
      <c r="C387" s="10" t="n">
        <v>5</v>
      </c>
      <c r="D387" s="10"/>
      <c r="E387" s="6" t="s">
        <v>1284</v>
      </c>
    </row>
    <row r="388" customFormat="false" ht="15" hidden="false" customHeight="true" outlineLevel="0" collapsed="false">
      <c r="A388" s="10" t="s">
        <v>516</v>
      </c>
      <c r="B388" s="10" t="s">
        <v>1285</v>
      </c>
      <c r="C388" s="63" t="n">
        <v>21</v>
      </c>
      <c r="D388" s="10"/>
      <c r="E388" s="6" t="s">
        <v>1474</v>
      </c>
    </row>
    <row r="389" customFormat="false" ht="15" hidden="false" customHeight="true" outlineLevel="0" collapsed="false">
      <c r="A389" s="10" t="s">
        <v>516</v>
      </c>
      <c r="B389" s="10" t="s">
        <v>1287</v>
      </c>
      <c r="C389" s="63" t="n">
        <v>191.8</v>
      </c>
      <c r="D389" s="10"/>
      <c r="E389" s="6" t="s">
        <v>1475</v>
      </c>
    </row>
    <row r="390" customFormat="false" ht="15" hidden="false" customHeight="true" outlineLevel="0" collapsed="false">
      <c r="A390" s="10" t="s">
        <v>516</v>
      </c>
      <c r="B390" s="10" t="s">
        <v>1289</v>
      </c>
      <c r="C390" s="63" t="n">
        <v>0.085</v>
      </c>
      <c r="D390" s="10"/>
      <c r="E390" s="6" t="s">
        <v>1476</v>
      </c>
    </row>
    <row r="391" customFormat="false" ht="15" hidden="false" customHeight="true" outlineLevel="0" collapsed="false">
      <c r="A391" s="10" t="s">
        <v>516</v>
      </c>
      <c r="B391" s="10" t="s">
        <v>216</v>
      </c>
      <c r="C391" s="63" t="n">
        <v>2.259</v>
      </c>
      <c r="D391" s="10"/>
      <c r="E391" s="6" t="s">
        <v>1477</v>
      </c>
    </row>
    <row r="392" customFormat="false" ht="15" hidden="false" customHeight="true" outlineLevel="0" collapsed="false">
      <c r="A392" s="10" t="s">
        <v>516</v>
      </c>
      <c r="B392" s="10" t="s">
        <v>1292</v>
      </c>
      <c r="C392" s="63" t="n">
        <v>107.4</v>
      </c>
      <c r="D392" s="10"/>
      <c r="E392" s="6" t="s">
        <v>1478</v>
      </c>
    </row>
    <row r="393" customFormat="false" ht="15" hidden="false" customHeight="true" outlineLevel="0" collapsed="false">
      <c r="A393" s="10" t="s">
        <v>516</v>
      </c>
      <c r="B393" s="10" t="s">
        <v>1294</v>
      </c>
      <c r="C393" s="63" t="n">
        <v>-0.703</v>
      </c>
      <c r="D393" s="10"/>
      <c r="E393" s="6" t="s">
        <v>1479</v>
      </c>
    </row>
    <row r="394" customFormat="false" ht="15" hidden="false" customHeight="true" outlineLevel="0" collapsed="false">
      <c r="A394" s="10" t="s">
        <v>516</v>
      </c>
      <c r="B394" s="10" t="s">
        <v>1296</v>
      </c>
      <c r="C394" s="63" t="n">
        <v>48.239</v>
      </c>
      <c r="D394" s="10"/>
      <c r="E394" s="6" t="s">
        <v>1480</v>
      </c>
    </row>
    <row r="395" customFormat="false" ht="15" hidden="false" customHeight="true" outlineLevel="0" collapsed="false">
      <c r="A395" s="10" t="s">
        <v>516</v>
      </c>
      <c r="B395" s="10" t="s">
        <v>1298</v>
      </c>
      <c r="C395" s="63" t="n">
        <v>-2.939</v>
      </c>
      <c r="D395" s="10"/>
      <c r="E395" s="6" t="s">
        <v>1481</v>
      </c>
    </row>
    <row r="396" customFormat="false" ht="15" hidden="false" customHeight="true" outlineLevel="0" collapsed="false">
      <c r="A396" s="10" t="s">
        <v>516</v>
      </c>
      <c r="B396" s="10" t="s">
        <v>1300</v>
      </c>
      <c r="C396" s="63" t="n">
        <v>2.5</v>
      </c>
      <c r="D396" s="10" t="s">
        <v>1301</v>
      </c>
      <c r="E396" s="6" t="s">
        <v>1302</v>
      </c>
    </row>
    <row r="397" customFormat="false" ht="15" hidden="false" customHeight="true" outlineLevel="0" collapsed="false">
      <c r="A397" s="10" t="s">
        <v>516</v>
      </c>
      <c r="B397" s="10" t="s">
        <v>1303</v>
      </c>
      <c r="C397" s="63" t="n">
        <v>0</v>
      </c>
      <c r="D397" s="10"/>
      <c r="E397" s="6" t="s">
        <v>1304</v>
      </c>
    </row>
    <row r="398" customFormat="false" ht="15" hidden="false" customHeight="true" outlineLevel="0" collapsed="false">
      <c r="A398" s="10" t="s">
        <v>516</v>
      </c>
      <c r="B398" s="10" t="s">
        <v>1305</v>
      </c>
      <c r="C398" s="63" t="n">
        <v>0.364</v>
      </c>
      <c r="D398" s="10"/>
      <c r="E398" s="6" t="s">
        <v>1482</v>
      </c>
    </row>
    <row r="399" customFormat="false" ht="15" hidden="false" customHeight="true" outlineLevel="0" collapsed="false">
      <c r="A399" s="10" t="s">
        <v>516</v>
      </c>
      <c r="B399" s="10" t="s">
        <v>1307</v>
      </c>
      <c r="C399" s="63" t="n">
        <v>0.385</v>
      </c>
      <c r="D399" s="10"/>
      <c r="E399" s="6" t="s">
        <v>1483</v>
      </c>
    </row>
    <row r="400" customFormat="false" ht="15" hidden="false" customHeight="true" outlineLevel="0" collapsed="false">
      <c r="A400" s="10" t="s">
        <v>516</v>
      </c>
      <c r="B400" s="10" t="s">
        <v>1309</v>
      </c>
      <c r="C400" s="63" t="n">
        <v>5.185</v>
      </c>
      <c r="D400" s="10"/>
      <c r="E400" s="6" t="s">
        <v>1484</v>
      </c>
    </row>
    <row r="401" customFormat="false" ht="15" hidden="false" customHeight="true" outlineLevel="0" collapsed="false">
      <c r="A401" s="10" t="s">
        <v>516</v>
      </c>
      <c r="B401" s="10" t="s">
        <v>1311</v>
      </c>
      <c r="C401" s="63" t="n">
        <v>3.227</v>
      </c>
      <c r="D401" s="10"/>
      <c r="E401" s="6" t="s">
        <v>1485</v>
      </c>
    </row>
    <row r="402" customFormat="false" ht="15" hidden="false" customHeight="true" outlineLevel="0" collapsed="false">
      <c r="A402" s="10" t="s">
        <v>516</v>
      </c>
      <c r="B402" s="10" t="s">
        <v>1313</v>
      </c>
      <c r="C402" s="63" t="n">
        <v>0</v>
      </c>
      <c r="D402" s="10"/>
      <c r="E402" s="6" t="s">
        <v>1314</v>
      </c>
    </row>
    <row r="403" customFormat="false" ht="15" hidden="false" customHeight="true" outlineLevel="0" collapsed="false">
      <c r="A403" s="10" t="s">
        <v>516</v>
      </c>
      <c r="B403" s="10" t="s">
        <v>1315</v>
      </c>
      <c r="C403" s="63" t="n">
        <v>0</v>
      </c>
      <c r="D403" s="10"/>
      <c r="E403" s="6" t="s">
        <v>1304</v>
      </c>
    </row>
    <row r="404" customFormat="false" ht="15" hidden="false" customHeight="true" outlineLevel="0" collapsed="false">
      <c r="A404" s="10" t="s">
        <v>516</v>
      </c>
      <c r="B404" s="10" t="s">
        <v>1316</v>
      </c>
      <c r="C404" s="63" t="n">
        <v>0</v>
      </c>
      <c r="D404" s="10"/>
      <c r="E404" s="6" t="s">
        <v>1486</v>
      </c>
    </row>
    <row r="405" customFormat="false" ht="15" hidden="false" customHeight="true" outlineLevel="0" collapsed="false">
      <c r="A405" s="10" t="s">
        <v>516</v>
      </c>
      <c r="B405" s="10" t="s">
        <v>1318</v>
      </c>
      <c r="C405" s="63" t="n">
        <v>30.2</v>
      </c>
      <c r="D405" s="10"/>
      <c r="E405" s="6" t="s">
        <v>1487</v>
      </c>
    </row>
    <row r="406" customFormat="false" ht="15" hidden="false" customHeight="true" outlineLevel="0" collapsed="false">
      <c r="A406" s="10" t="s">
        <v>516</v>
      </c>
      <c r="B406" s="10" t="s">
        <v>1320</v>
      </c>
      <c r="C406" s="63" t="n">
        <v>0</v>
      </c>
      <c r="D406" s="10"/>
      <c r="E406" s="6" t="s">
        <v>1321</v>
      </c>
    </row>
    <row r="407" customFormat="false" ht="15" hidden="false" customHeight="true" outlineLevel="0" collapsed="false">
      <c r="A407" s="10" t="s">
        <v>516</v>
      </c>
      <c r="B407" s="10" t="s">
        <v>1322</v>
      </c>
      <c r="C407" s="63" t="n">
        <v>0</v>
      </c>
      <c r="D407" s="10"/>
      <c r="E407" s="6" t="s">
        <v>1323</v>
      </c>
    </row>
    <row r="408" customFormat="false" ht="15" hidden="false" customHeight="true" outlineLevel="0" collapsed="false">
      <c r="A408" s="10" t="s">
        <v>516</v>
      </c>
      <c r="B408" s="10" t="s">
        <v>1324</v>
      </c>
      <c r="C408" s="63" t="n">
        <v>0</v>
      </c>
      <c r="D408" s="10" t="s">
        <v>1301</v>
      </c>
      <c r="E408" s="6" t="s">
        <v>1429</v>
      </c>
    </row>
    <row r="409" customFormat="false" ht="15" hidden="false" customHeight="true" outlineLevel="0" collapsed="false">
      <c r="A409" s="10" t="s">
        <v>516</v>
      </c>
      <c r="B409" s="10" t="s">
        <v>1326</v>
      </c>
      <c r="C409" s="63" t="n">
        <v>5.63</v>
      </c>
      <c r="D409" s="10"/>
      <c r="E409" s="6" t="s">
        <v>1327</v>
      </c>
    </row>
    <row r="410" customFormat="false" ht="15" hidden="false" customHeight="true" outlineLevel="0" collapsed="false">
      <c r="A410" s="10" t="s">
        <v>516</v>
      </c>
      <c r="B410" s="10" t="s">
        <v>1328</v>
      </c>
      <c r="C410" s="63" t="n">
        <v>142</v>
      </c>
      <c r="D410" s="10"/>
      <c r="E410" s="6" t="s">
        <v>1488</v>
      </c>
    </row>
    <row r="411" customFormat="false" ht="15" hidden="false" customHeight="true" outlineLevel="0" collapsed="false">
      <c r="A411" s="10" t="s">
        <v>516</v>
      </c>
      <c r="B411" s="10" t="s">
        <v>1330</v>
      </c>
      <c r="C411" s="63" t="n">
        <v>1.11</v>
      </c>
      <c r="D411" s="10"/>
      <c r="E411" s="6" t="s">
        <v>1488</v>
      </c>
    </row>
    <row r="412" customFormat="false" ht="15" hidden="false" customHeight="true" outlineLevel="0" collapsed="false">
      <c r="A412" s="10" t="s">
        <v>516</v>
      </c>
      <c r="B412" s="10" t="s">
        <v>1331</v>
      </c>
      <c r="C412" s="63" t="n">
        <v>254.043</v>
      </c>
      <c r="D412" s="10"/>
      <c r="E412" s="6" t="s">
        <v>1361</v>
      </c>
    </row>
    <row r="413" customFormat="false" ht="15" hidden="false" customHeight="true" outlineLevel="0" collapsed="false">
      <c r="A413" s="10" t="s">
        <v>516</v>
      </c>
      <c r="B413" s="10" t="s">
        <v>1333</v>
      </c>
      <c r="C413" s="63" t="n">
        <v>370.541</v>
      </c>
      <c r="D413" s="10"/>
      <c r="E413" s="6" t="s">
        <v>1489</v>
      </c>
    </row>
    <row r="414" customFormat="false" ht="15" hidden="false" customHeight="true" outlineLevel="0" collapsed="false">
      <c r="A414" s="10" t="s">
        <v>516</v>
      </c>
      <c r="B414" s="10" t="s">
        <v>1334</v>
      </c>
      <c r="C414" s="63" t="n">
        <v>5.217</v>
      </c>
      <c r="D414" s="10"/>
      <c r="E414" s="6" t="s">
        <v>1489</v>
      </c>
    </row>
    <row r="415" customFormat="false" ht="15" hidden="false" customHeight="true" outlineLevel="0" collapsed="false">
      <c r="A415" s="10" t="s">
        <v>516</v>
      </c>
      <c r="B415" s="10" t="s">
        <v>1335</v>
      </c>
      <c r="C415" s="63" t="n">
        <v>26.114</v>
      </c>
      <c r="D415" s="10"/>
      <c r="E415" s="6" t="s">
        <v>1489</v>
      </c>
    </row>
    <row r="416" customFormat="false" ht="15" hidden="false" customHeight="true" outlineLevel="0" collapsed="false">
      <c r="A416" s="10" t="s">
        <v>516</v>
      </c>
      <c r="B416" s="10" t="s">
        <v>1336</v>
      </c>
      <c r="C416" s="63" t="n">
        <v>0.166842268360707</v>
      </c>
      <c r="D416" s="10" t="s">
        <v>1301</v>
      </c>
      <c r="E416" s="6" t="s">
        <v>1337</v>
      </c>
    </row>
    <row r="417" customFormat="false" ht="15" hidden="false" customHeight="true" outlineLevel="0" collapsed="false">
      <c r="A417" s="10" t="s">
        <v>516</v>
      </c>
      <c r="B417" s="10" t="s">
        <v>1338</v>
      </c>
      <c r="C417" s="63" t="n">
        <v>0</v>
      </c>
      <c r="D417" s="10"/>
      <c r="E417" s="6" t="s">
        <v>1418</v>
      </c>
    </row>
    <row r="418" customFormat="false" ht="15" hidden="false" customHeight="true" outlineLevel="0" collapsed="false">
      <c r="A418" s="10" t="s">
        <v>516</v>
      </c>
      <c r="B418" s="10" t="s">
        <v>1340</v>
      </c>
      <c r="C418" s="63" t="n">
        <v>0.7</v>
      </c>
      <c r="D418" s="10"/>
      <c r="E418" s="6" t="s">
        <v>1341</v>
      </c>
    </row>
    <row r="419" customFormat="false" ht="15" hidden="false" customHeight="true" outlineLevel="0" collapsed="false">
      <c r="A419" s="10" t="s">
        <v>516</v>
      </c>
      <c r="B419" s="10" t="s">
        <v>1342</v>
      </c>
      <c r="C419" s="63" t="n">
        <v>92</v>
      </c>
      <c r="D419" s="10"/>
      <c r="E419" s="6" t="s">
        <v>1490</v>
      </c>
    </row>
    <row r="420" customFormat="false" ht="15" hidden="false" customHeight="true" outlineLevel="0" collapsed="false">
      <c r="A420" s="10" t="s">
        <v>516</v>
      </c>
      <c r="B420" s="10" t="s">
        <v>1343</v>
      </c>
      <c r="C420" s="10" t="s">
        <v>1491</v>
      </c>
      <c r="D420" s="10" t="s">
        <v>1301</v>
      </c>
      <c r="E420" s="6" t="s">
        <v>1393</v>
      </c>
    </row>
    <row r="421" customFormat="false" ht="15" hidden="false" customHeight="true" outlineLevel="0" collapsed="false">
      <c r="A421" s="10" t="s">
        <v>516</v>
      </c>
      <c r="B421" s="10" t="s">
        <v>1346</v>
      </c>
      <c r="C421" s="63" t="n">
        <v>95.998</v>
      </c>
      <c r="D421" s="10"/>
      <c r="E421" s="6" t="s">
        <v>1347</v>
      </c>
    </row>
    <row r="422" customFormat="false" ht="15" hidden="false" customHeight="true" outlineLevel="0" collapsed="false">
      <c r="A422" s="10" t="s">
        <v>516</v>
      </c>
      <c r="B422" s="10" t="s">
        <v>1348</v>
      </c>
      <c r="C422" s="63" t="n">
        <v>379.653</v>
      </c>
      <c r="D422" s="10"/>
      <c r="E422" s="6" t="s">
        <v>1349</v>
      </c>
    </row>
    <row r="423" customFormat="false" ht="15" hidden="false" customHeight="true" outlineLevel="0" collapsed="false">
      <c r="A423" s="10" t="s">
        <v>518</v>
      </c>
      <c r="B423" s="10" t="s">
        <v>1281</v>
      </c>
      <c r="C423" s="10" t="n">
        <v>0</v>
      </c>
      <c r="D423" s="10"/>
      <c r="E423" s="6"/>
    </row>
    <row r="424" customFormat="false" ht="15" hidden="false" customHeight="true" outlineLevel="0" collapsed="false">
      <c r="A424" s="10" t="s">
        <v>518</v>
      </c>
      <c r="B424" s="10" t="s">
        <v>1282</v>
      </c>
      <c r="C424" s="10" t="n">
        <v>0</v>
      </c>
      <c r="D424" s="10"/>
      <c r="E424" s="6"/>
    </row>
    <row r="425" customFormat="false" ht="15" hidden="false" customHeight="true" outlineLevel="0" collapsed="false">
      <c r="A425" s="10" t="s">
        <v>518</v>
      </c>
      <c r="B425" s="10" t="s">
        <v>1283</v>
      </c>
      <c r="C425" s="10" t="n">
        <v>2</v>
      </c>
      <c r="D425" s="10"/>
      <c r="E425" s="6" t="s">
        <v>1284</v>
      </c>
    </row>
    <row r="426" customFormat="false" ht="15" hidden="false" customHeight="true" outlineLevel="0" collapsed="false">
      <c r="A426" s="10" t="s">
        <v>518</v>
      </c>
      <c r="B426" s="10" t="s">
        <v>1285</v>
      </c>
      <c r="C426" s="63" t="n">
        <v>19.885</v>
      </c>
      <c r="D426" s="10"/>
      <c r="E426" s="6" t="s">
        <v>1492</v>
      </c>
    </row>
    <row r="427" customFormat="false" ht="15" hidden="false" customHeight="true" outlineLevel="0" collapsed="false">
      <c r="A427" s="10" t="s">
        <v>518</v>
      </c>
      <c r="B427" s="10" t="s">
        <v>1287</v>
      </c>
      <c r="C427" s="63" t="n">
        <v>184.6</v>
      </c>
      <c r="D427" s="10"/>
      <c r="E427" s="6" t="s">
        <v>1492</v>
      </c>
    </row>
    <row r="428" customFormat="false" ht="15" hidden="false" customHeight="true" outlineLevel="0" collapsed="false">
      <c r="A428" s="10" t="s">
        <v>518</v>
      </c>
      <c r="B428" s="10" t="s">
        <v>1289</v>
      </c>
      <c r="C428" s="63" t="n">
        <v>0.07</v>
      </c>
      <c r="D428" s="10"/>
      <c r="E428" s="6" t="s">
        <v>1493</v>
      </c>
    </row>
    <row r="429" customFormat="false" ht="15" hidden="false" customHeight="true" outlineLevel="0" collapsed="false">
      <c r="A429" s="10" t="s">
        <v>518</v>
      </c>
      <c r="B429" s="10" t="s">
        <v>216</v>
      </c>
      <c r="C429" s="63" t="n">
        <v>0.881</v>
      </c>
      <c r="D429" s="10"/>
      <c r="E429" s="6" t="s">
        <v>1494</v>
      </c>
    </row>
    <row r="430" customFormat="false" ht="15" hidden="false" customHeight="true" outlineLevel="0" collapsed="false">
      <c r="A430" s="10" t="s">
        <v>518</v>
      </c>
      <c r="B430" s="10" t="s">
        <v>1292</v>
      </c>
      <c r="C430" s="63" t="n">
        <v>33.983</v>
      </c>
      <c r="D430" s="10"/>
      <c r="E430" s="6" t="s">
        <v>1495</v>
      </c>
    </row>
    <row r="431" customFormat="false" ht="15" hidden="false" customHeight="true" outlineLevel="0" collapsed="false">
      <c r="A431" s="10" t="s">
        <v>518</v>
      </c>
      <c r="B431" s="10" t="s">
        <v>1294</v>
      </c>
      <c r="C431" s="63" t="n">
        <v>-0.527</v>
      </c>
      <c r="D431" s="10"/>
      <c r="E431" s="6" t="s">
        <v>1496</v>
      </c>
    </row>
    <row r="432" customFormat="false" ht="15" hidden="false" customHeight="true" outlineLevel="0" collapsed="false">
      <c r="A432" s="10" t="s">
        <v>518</v>
      </c>
      <c r="B432" s="10" t="s">
        <v>1296</v>
      </c>
      <c r="C432" s="63" t="n">
        <v>9.418</v>
      </c>
      <c r="D432" s="10"/>
      <c r="E432" s="6" t="s">
        <v>1497</v>
      </c>
    </row>
    <row r="433" customFormat="false" ht="15" hidden="false" customHeight="true" outlineLevel="0" collapsed="false">
      <c r="A433" s="10" t="s">
        <v>518</v>
      </c>
      <c r="B433" s="10" t="s">
        <v>1298</v>
      </c>
      <c r="C433" s="63" t="n">
        <v>-1.204</v>
      </c>
      <c r="D433" s="10"/>
      <c r="E433" s="6" t="s">
        <v>1498</v>
      </c>
    </row>
    <row r="434" customFormat="false" ht="15" hidden="false" customHeight="true" outlineLevel="0" collapsed="false">
      <c r="A434" s="10" t="s">
        <v>518</v>
      </c>
      <c r="B434" s="10" t="s">
        <v>1300</v>
      </c>
      <c r="C434" s="63" t="n">
        <v>2.5</v>
      </c>
      <c r="D434" s="10" t="s">
        <v>1301</v>
      </c>
      <c r="E434" s="6" t="s">
        <v>1302</v>
      </c>
    </row>
    <row r="435" customFormat="false" ht="15" hidden="false" customHeight="true" outlineLevel="0" collapsed="false">
      <c r="A435" s="10" t="s">
        <v>518</v>
      </c>
      <c r="B435" s="10" t="s">
        <v>1303</v>
      </c>
      <c r="C435" s="63" t="n">
        <v>0</v>
      </c>
      <c r="D435" s="10"/>
      <c r="E435" s="6" t="s">
        <v>1304</v>
      </c>
    </row>
    <row r="436" customFormat="false" ht="15" hidden="false" customHeight="true" outlineLevel="0" collapsed="false">
      <c r="A436" s="10" t="s">
        <v>518</v>
      </c>
      <c r="B436" s="10" t="s">
        <v>1305</v>
      </c>
      <c r="C436" s="63" t="n">
        <v>2.3</v>
      </c>
      <c r="D436" s="10"/>
      <c r="E436" s="6" t="s">
        <v>1306</v>
      </c>
    </row>
    <row r="437" customFormat="false" ht="15" hidden="false" customHeight="true" outlineLevel="0" collapsed="false">
      <c r="A437" s="10" t="s">
        <v>518</v>
      </c>
      <c r="B437" s="10" t="s">
        <v>1307</v>
      </c>
      <c r="C437" s="63" t="n">
        <v>1.4</v>
      </c>
      <c r="D437" s="10"/>
      <c r="E437" s="6" t="s">
        <v>1308</v>
      </c>
    </row>
    <row r="438" customFormat="false" ht="15" hidden="false" customHeight="true" outlineLevel="0" collapsed="false">
      <c r="A438" s="10" t="s">
        <v>518</v>
      </c>
      <c r="B438" s="10" t="s">
        <v>1309</v>
      </c>
      <c r="C438" s="63" t="n">
        <v>35</v>
      </c>
      <c r="D438" s="10"/>
      <c r="E438" s="6" t="s">
        <v>1310</v>
      </c>
    </row>
    <row r="439" customFormat="false" ht="15" hidden="false" customHeight="true" outlineLevel="0" collapsed="false">
      <c r="A439" s="10" t="s">
        <v>518</v>
      </c>
      <c r="B439" s="10" t="s">
        <v>1311</v>
      </c>
      <c r="C439" s="63" t="n">
        <v>13.6</v>
      </c>
      <c r="D439" s="10"/>
      <c r="E439" s="6" t="s">
        <v>1312</v>
      </c>
    </row>
    <row r="440" customFormat="false" ht="15" hidden="false" customHeight="true" outlineLevel="0" collapsed="false">
      <c r="A440" s="10" t="s">
        <v>518</v>
      </c>
      <c r="B440" s="10" t="s">
        <v>1313</v>
      </c>
      <c r="C440" s="63" t="n">
        <v>0</v>
      </c>
      <c r="D440" s="10"/>
      <c r="E440" s="6" t="s">
        <v>1314</v>
      </c>
    </row>
    <row r="441" customFormat="false" ht="15" hidden="false" customHeight="true" outlineLevel="0" collapsed="false">
      <c r="A441" s="10" t="s">
        <v>518</v>
      </c>
      <c r="B441" s="10" t="s">
        <v>1315</v>
      </c>
      <c r="C441" s="63" t="n">
        <v>0</v>
      </c>
      <c r="D441" s="10"/>
      <c r="E441" s="6" t="s">
        <v>1304</v>
      </c>
    </row>
    <row r="442" customFormat="false" ht="15" hidden="false" customHeight="true" outlineLevel="0" collapsed="false">
      <c r="A442" s="10" t="s">
        <v>518</v>
      </c>
      <c r="B442" s="10" t="s">
        <v>1316</v>
      </c>
      <c r="C442" s="63" t="n">
        <v>0</v>
      </c>
      <c r="D442" s="10"/>
      <c r="E442" s="6" t="s">
        <v>1317</v>
      </c>
    </row>
    <row r="443" customFormat="false" ht="15" hidden="false" customHeight="true" outlineLevel="0" collapsed="false">
      <c r="A443" s="10" t="s">
        <v>518</v>
      </c>
      <c r="B443" s="10" t="s">
        <v>1318</v>
      </c>
      <c r="C443" s="63" t="n">
        <v>0</v>
      </c>
      <c r="D443" s="10"/>
      <c r="E443" s="6" t="s">
        <v>1358</v>
      </c>
    </row>
    <row r="444" customFormat="false" ht="15" hidden="false" customHeight="true" outlineLevel="0" collapsed="false">
      <c r="A444" s="10" t="s">
        <v>518</v>
      </c>
      <c r="B444" s="10" t="s">
        <v>1320</v>
      </c>
      <c r="C444" s="63" t="n">
        <v>0</v>
      </c>
      <c r="D444" s="10"/>
      <c r="E444" s="6" t="s">
        <v>1321</v>
      </c>
    </row>
    <row r="445" customFormat="false" ht="15" hidden="false" customHeight="true" outlineLevel="0" collapsed="false">
      <c r="A445" s="10" t="s">
        <v>518</v>
      </c>
      <c r="B445" s="10" t="s">
        <v>1322</v>
      </c>
      <c r="C445" s="63" t="n">
        <v>0</v>
      </c>
      <c r="D445" s="10"/>
      <c r="E445" s="6" t="s">
        <v>1323</v>
      </c>
    </row>
    <row r="446" customFormat="false" ht="15" hidden="false" customHeight="true" outlineLevel="0" collapsed="false">
      <c r="A446" s="10" t="s">
        <v>518</v>
      </c>
      <c r="B446" s="10" t="s">
        <v>1324</v>
      </c>
      <c r="C446" s="63" t="n">
        <v>0</v>
      </c>
      <c r="D446" s="10" t="s">
        <v>1301</v>
      </c>
      <c r="E446" s="6" t="s">
        <v>1429</v>
      </c>
    </row>
    <row r="447" customFormat="false" ht="15" hidden="false" customHeight="true" outlineLevel="0" collapsed="false">
      <c r="A447" s="10" t="s">
        <v>518</v>
      </c>
      <c r="B447" s="10" t="s">
        <v>1326</v>
      </c>
      <c r="C447" s="63" t="n">
        <v>38.81</v>
      </c>
      <c r="D447" s="10"/>
      <c r="E447" s="6" t="s">
        <v>1327</v>
      </c>
    </row>
    <row r="448" customFormat="false" ht="15" hidden="false" customHeight="true" outlineLevel="0" collapsed="false">
      <c r="A448" s="10" t="s">
        <v>518</v>
      </c>
      <c r="B448" s="10" t="s">
        <v>1328</v>
      </c>
      <c r="C448" s="63" t="n">
        <v>59.14</v>
      </c>
      <c r="D448" s="10"/>
      <c r="E448" s="6" t="s">
        <v>1499</v>
      </c>
    </row>
    <row r="449" customFormat="false" ht="15" hidden="false" customHeight="true" outlineLevel="0" collapsed="false">
      <c r="A449" s="10" t="s">
        <v>518</v>
      </c>
      <c r="B449" s="10" t="s">
        <v>1330</v>
      </c>
      <c r="C449" s="63" t="n">
        <v>1.1</v>
      </c>
      <c r="D449" s="10" t="s">
        <v>1301</v>
      </c>
      <c r="E449" s="6" t="s">
        <v>1431</v>
      </c>
    </row>
    <row r="450" customFormat="false" ht="15" hidden="false" customHeight="true" outlineLevel="0" collapsed="false">
      <c r="A450" s="10" t="s">
        <v>518</v>
      </c>
      <c r="B450" s="10" t="s">
        <v>1331</v>
      </c>
      <c r="C450" s="63" t="n">
        <v>65.06</v>
      </c>
      <c r="D450" s="10"/>
      <c r="E450" s="6" t="s">
        <v>1499</v>
      </c>
    </row>
    <row r="451" customFormat="false" ht="15" hidden="false" customHeight="true" outlineLevel="0" collapsed="false">
      <c r="A451" s="10" t="s">
        <v>518</v>
      </c>
      <c r="B451" s="10" t="s">
        <v>1333</v>
      </c>
      <c r="C451" s="63" t="n">
        <v>173.427</v>
      </c>
      <c r="D451" s="10"/>
      <c r="E451" s="6" t="s">
        <v>1499</v>
      </c>
    </row>
    <row r="452" customFormat="false" ht="15" hidden="false" customHeight="true" outlineLevel="0" collapsed="false">
      <c r="A452" s="10" t="s">
        <v>518</v>
      </c>
      <c r="B452" s="10" t="s">
        <v>1334</v>
      </c>
      <c r="C452" s="63" t="n">
        <v>0</v>
      </c>
      <c r="D452" s="10"/>
      <c r="E452" s="6" t="s">
        <v>1499</v>
      </c>
    </row>
    <row r="453" customFormat="false" ht="15" hidden="false" customHeight="true" outlineLevel="0" collapsed="false">
      <c r="A453" s="10" t="s">
        <v>518</v>
      </c>
      <c r="B453" s="10" t="s">
        <v>1335</v>
      </c>
      <c r="C453" s="63" t="n">
        <v>0.152</v>
      </c>
      <c r="D453" s="10"/>
      <c r="E453" s="6" t="s">
        <v>1499</v>
      </c>
    </row>
    <row r="454" customFormat="false" ht="15" hidden="false" customHeight="true" outlineLevel="0" collapsed="false">
      <c r="A454" s="10" t="s">
        <v>518</v>
      </c>
      <c r="B454" s="10" t="s">
        <v>1336</v>
      </c>
      <c r="C454" s="63" t="n">
        <v>0.105</v>
      </c>
      <c r="D454" s="10" t="s">
        <v>1301</v>
      </c>
      <c r="E454" s="6" t="s">
        <v>1337</v>
      </c>
    </row>
    <row r="455" customFormat="false" ht="15" hidden="false" customHeight="true" outlineLevel="0" collapsed="false">
      <c r="A455" s="10" t="s">
        <v>518</v>
      </c>
      <c r="B455" s="10" t="s">
        <v>1338</v>
      </c>
      <c r="C455" s="63" t="n">
        <v>0</v>
      </c>
      <c r="D455" s="10"/>
      <c r="E455" s="6" t="s">
        <v>1418</v>
      </c>
    </row>
    <row r="456" customFormat="false" ht="15" hidden="false" customHeight="true" outlineLevel="0" collapsed="false">
      <c r="A456" s="10" t="s">
        <v>518</v>
      </c>
      <c r="B456" s="10" t="s">
        <v>1340</v>
      </c>
      <c r="C456" s="63" t="n">
        <v>0</v>
      </c>
      <c r="D456" s="10"/>
      <c r="E456" s="6" t="s">
        <v>1418</v>
      </c>
    </row>
    <row r="457" customFormat="false" ht="15" hidden="false" customHeight="true" outlineLevel="0" collapsed="false">
      <c r="A457" s="10" t="s">
        <v>518</v>
      </c>
      <c r="B457" s="10" t="s">
        <v>1342</v>
      </c>
      <c r="C457" s="63" t="n">
        <v>30.52</v>
      </c>
      <c r="D457" s="10"/>
      <c r="E457" s="6" t="s">
        <v>1499</v>
      </c>
    </row>
    <row r="458" customFormat="false" ht="15" hidden="false" customHeight="true" outlineLevel="0" collapsed="false">
      <c r="A458" s="10" t="s">
        <v>518</v>
      </c>
      <c r="B458" s="10" t="s">
        <v>1343</v>
      </c>
      <c r="C458" s="10" t="s">
        <v>1500</v>
      </c>
      <c r="D458" s="10" t="s">
        <v>1301</v>
      </c>
      <c r="E458" s="6" t="s">
        <v>1460</v>
      </c>
    </row>
    <row r="459" customFormat="false" ht="15" hidden="false" customHeight="true" outlineLevel="0" collapsed="false">
      <c r="A459" s="10" t="s">
        <v>518</v>
      </c>
      <c r="B459" s="10" t="s">
        <v>1346</v>
      </c>
      <c r="C459" s="63" t="n">
        <v>7.08951</v>
      </c>
      <c r="D459" s="10" t="s">
        <v>1301</v>
      </c>
      <c r="E459" s="6" t="s">
        <v>1434</v>
      </c>
    </row>
    <row r="460" customFormat="false" ht="15" hidden="false" customHeight="true" outlineLevel="0" collapsed="false">
      <c r="A460" s="10" t="s">
        <v>518</v>
      </c>
      <c r="B460" s="10" t="s">
        <v>1348</v>
      </c>
      <c r="C460" s="63" t="n">
        <v>7.08951</v>
      </c>
      <c r="D460" s="10" t="s">
        <v>1301</v>
      </c>
      <c r="E460" s="6" t="s">
        <v>1435</v>
      </c>
    </row>
    <row r="461" customFormat="false" ht="15" hidden="false" customHeight="true" outlineLevel="0" collapsed="false">
      <c r="A461" s="10" t="s">
        <v>520</v>
      </c>
      <c r="B461" s="10" t="s">
        <v>1281</v>
      </c>
      <c r="C461" s="10" t="n">
        <v>0</v>
      </c>
      <c r="D461" s="10"/>
      <c r="E461" s="6"/>
    </row>
    <row r="462" customFormat="false" ht="15" hidden="false" customHeight="true" outlineLevel="0" collapsed="false">
      <c r="A462" s="10" t="s">
        <v>520</v>
      </c>
      <c r="B462" s="10" t="s">
        <v>1282</v>
      </c>
      <c r="C462" s="10" t="n">
        <v>0</v>
      </c>
      <c r="D462" s="10"/>
      <c r="E462" s="6"/>
    </row>
    <row r="463" customFormat="false" ht="15" hidden="false" customHeight="true" outlineLevel="0" collapsed="false">
      <c r="A463" s="10" t="s">
        <v>520</v>
      </c>
      <c r="B463" s="10" t="s">
        <v>1283</v>
      </c>
      <c r="C463" s="10" t="n">
        <v>3</v>
      </c>
      <c r="D463" s="10"/>
      <c r="E463" s="6" t="s">
        <v>1284</v>
      </c>
    </row>
    <row r="464" customFormat="false" ht="15" hidden="false" customHeight="true" outlineLevel="0" collapsed="false">
      <c r="A464" s="10" t="s">
        <v>520</v>
      </c>
      <c r="B464" s="10" t="s">
        <v>1285</v>
      </c>
      <c r="C464" s="63" t="n">
        <v>18.7</v>
      </c>
      <c r="D464" s="10"/>
      <c r="E464" s="6" t="s">
        <v>1501</v>
      </c>
    </row>
    <row r="465" customFormat="false" ht="15" hidden="false" customHeight="true" outlineLevel="0" collapsed="false">
      <c r="A465" s="10" t="s">
        <v>520</v>
      </c>
      <c r="B465" s="10" t="s">
        <v>1287</v>
      </c>
      <c r="C465" s="63" t="n">
        <v>177.3</v>
      </c>
      <c r="D465" s="10"/>
      <c r="E465" s="6" t="s">
        <v>1502</v>
      </c>
    </row>
    <row r="466" customFormat="false" ht="15" hidden="false" customHeight="true" outlineLevel="0" collapsed="false">
      <c r="A466" s="10" t="s">
        <v>520</v>
      </c>
      <c r="B466" s="10" t="s">
        <v>1289</v>
      </c>
      <c r="C466" s="63" t="n">
        <v>0.09</v>
      </c>
      <c r="D466" s="10"/>
      <c r="E466" s="6" t="s">
        <v>1503</v>
      </c>
    </row>
    <row r="467" customFormat="false" ht="15" hidden="false" customHeight="true" outlineLevel="0" collapsed="false">
      <c r="A467" s="10" t="s">
        <v>520</v>
      </c>
      <c r="B467" s="10" t="s">
        <v>216</v>
      </c>
      <c r="C467" s="63" t="n">
        <v>0.889</v>
      </c>
      <c r="D467" s="10"/>
      <c r="E467" s="6" t="s">
        <v>1504</v>
      </c>
    </row>
    <row r="468" customFormat="false" ht="15" hidden="false" customHeight="true" outlineLevel="0" collapsed="false">
      <c r="A468" s="10" t="s">
        <v>520</v>
      </c>
      <c r="B468" s="10" t="s">
        <v>1292</v>
      </c>
      <c r="C468" s="63" t="n">
        <v>37.448</v>
      </c>
      <c r="D468" s="10"/>
      <c r="E468" s="6" t="s">
        <v>1505</v>
      </c>
    </row>
    <row r="469" customFormat="false" ht="15" hidden="false" customHeight="true" outlineLevel="0" collapsed="false">
      <c r="A469" s="10" t="s">
        <v>520</v>
      </c>
      <c r="B469" s="10" t="s">
        <v>1294</v>
      </c>
      <c r="C469" s="63" t="n">
        <v>-1.501</v>
      </c>
      <c r="D469" s="10"/>
      <c r="E469" s="6" t="s">
        <v>1506</v>
      </c>
    </row>
    <row r="470" customFormat="false" ht="15" hidden="false" customHeight="true" outlineLevel="0" collapsed="false">
      <c r="A470" s="10" t="s">
        <v>520</v>
      </c>
      <c r="B470" s="10" t="s">
        <v>1296</v>
      </c>
      <c r="C470" s="63" t="n">
        <v>7.638</v>
      </c>
      <c r="D470" s="10"/>
      <c r="E470" s="6" t="s">
        <v>1507</v>
      </c>
    </row>
    <row r="471" customFormat="false" ht="15" hidden="false" customHeight="true" outlineLevel="0" collapsed="false">
      <c r="A471" s="10" t="s">
        <v>520</v>
      </c>
      <c r="B471" s="10" t="s">
        <v>1298</v>
      </c>
      <c r="C471" s="63" t="n">
        <v>-0.854</v>
      </c>
      <c r="D471" s="10"/>
      <c r="E471" s="6" t="s">
        <v>1508</v>
      </c>
    </row>
    <row r="472" customFormat="false" ht="15" hidden="false" customHeight="true" outlineLevel="0" collapsed="false">
      <c r="A472" s="10" t="s">
        <v>520</v>
      </c>
      <c r="B472" s="10" t="s">
        <v>1300</v>
      </c>
      <c r="C472" s="63" t="n">
        <v>2.5</v>
      </c>
      <c r="D472" s="10" t="s">
        <v>1301</v>
      </c>
      <c r="E472" s="6" t="s">
        <v>1302</v>
      </c>
    </row>
    <row r="473" customFormat="false" ht="15" hidden="false" customHeight="true" outlineLevel="0" collapsed="false">
      <c r="A473" s="10" t="s">
        <v>520</v>
      </c>
      <c r="B473" s="10" t="s">
        <v>1303</v>
      </c>
      <c r="C473" s="63" t="n">
        <v>0</v>
      </c>
      <c r="D473" s="10"/>
      <c r="E473" s="6" t="s">
        <v>1304</v>
      </c>
    </row>
    <row r="474" customFormat="false" ht="15" hidden="false" customHeight="true" outlineLevel="0" collapsed="false">
      <c r="A474" s="10" t="s">
        <v>520</v>
      </c>
      <c r="B474" s="10" t="s">
        <v>1305</v>
      </c>
      <c r="C474" s="63" t="n">
        <v>6.1</v>
      </c>
      <c r="D474" s="10"/>
      <c r="E474" s="6" t="s">
        <v>1306</v>
      </c>
    </row>
    <row r="475" customFormat="false" ht="15" hidden="false" customHeight="true" outlineLevel="0" collapsed="false">
      <c r="A475" s="10" t="s">
        <v>520</v>
      </c>
      <c r="B475" s="10" t="s">
        <v>1307</v>
      </c>
      <c r="C475" s="63" t="n">
        <v>3.6</v>
      </c>
      <c r="D475" s="10"/>
      <c r="E475" s="6" t="s">
        <v>1308</v>
      </c>
    </row>
    <row r="476" customFormat="false" ht="15" hidden="false" customHeight="true" outlineLevel="0" collapsed="false">
      <c r="A476" s="10" t="s">
        <v>520</v>
      </c>
      <c r="B476" s="10" t="s">
        <v>1309</v>
      </c>
      <c r="C476" s="63" t="n">
        <v>9.8</v>
      </c>
      <c r="D476" s="10"/>
      <c r="E476" s="6" t="s">
        <v>1310</v>
      </c>
    </row>
    <row r="477" customFormat="false" ht="15" hidden="false" customHeight="true" outlineLevel="0" collapsed="false">
      <c r="A477" s="10" t="s">
        <v>520</v>
      </c>
      <c r="B477" s="10" t="s">
        <v>1311</v>
      </c>
      <c r="C477" s="63" t="n">
        <v>9.8</v>
      </c>
      <c r="D477" s="10"/>
      <c r="E477" s="6" t="s">
        <v>1312</v>
      </c>
    </row>
    <row r="478" customFormat="false" ht="15" hidden="false" customHeight="true" outlineLevel="0" collapsed="false">
      <c r="A478" s="10" t="s">
        <v>520</v>
      </c>
      <c r="B478" s="10" t="s">
        <v>1313</v>
      </c>
      <c r="C478" s="63" t="n">
        <v>0</v>
      </c>
      <c r="D478" s="10"/>
      <c r="E478" s="6" t="s">
        <v>1314</v>
      </c>
    </row>
    <row r="479" customFormat="false" ht="15" hidden="false" customHeight="true" outlineLevel="0" collapsed="false">
      <c r="A479" s="10" t="s">
        <v>520</v>
      </c>
      <c r="B479" s="10" t="s">
        <v>1315</v>
      </c>
      <c r="C479" s="63" t="n">
        <v>0</v>
      </c>
      <c r="D479" s="10"/>
      <c r="E479" s="6" t="s">
        <v>1304</v>
      </c>
    </row>
    <row r="480" customFormat="false" ht="15" hidden="false" customHeight="true" outlineLevel="0" collapsed="false">
      <c r="A480" s="10" t="s">
        <v>520</v>
      </c>
      <c r="B480" s="10" t="s">
        <v>1316</v>
      </c>
      <c r="C480" s="63" t="n">
        <v>0</v>
      </c>
      <c r="D480" s="10"/>
      <c r="E480" s="6" t="s">
        <v>1317</v>
      </c>
    </row>
    <row r="481" customFormat="false" ht="15" hidden="false" customHeight="true" outlineLevel="0" collapsed="false">
      <c r="A481" s="10" t="s">
        <v>520</v>
      </c>
      <c r="B481" s="10" t="s">
        <v>1318</v>
      </c>
      <c r="C481" s="63" t="n">
        <v>0</v>
      </c>
      <c r="D481" s="10"/>
      <c r="E481" s="6" t="s">
        <v>1358</v>
      </c>
    </row>
    <row r="482" customFormat="false" ht="15" hidden="false" customHeight="true" outlineLevel="0" collapsed="false">
      <c r="A482" s="10" t="s">
        <v>520</v>
      </c>
      <c r="B482" s="10" t="s">
        <v>1320</v>
      </c>
      <c r="C482" s="63" t="n">
        <v>0</v>
      </c>
      <c r="D482" s="10"/>
      <c r="E482" s="6" t="s">
        <v>1321</v>
      </c>
    </row>
    <row r="483" customFormat="false" ht="15" hidden="false" customHeight="true" outlineLevel="0" collapsed="false">
      <c r="A483" s="10" t="s">
        <v>520</v>
      </c>
      <c r="B483" s="10" t="s">
        <v>1322</v>
      </c>
      <c r="C483" s="63" t="n">
        <v>0</v>
      </c>
      <c r="D483" s="10"/>
      <c r="E483" s="6" t="s">
        <v>1323</v>
      </c>
    </row>
    <row r="484" customFormat="false" ht="15" hidden="false" customHeight="true" outlineLevel="0" collapsed="false">
      <c r="A484" s="10" t="s">
        <v>520</v>
      </c>
      <c r="B484" s="10" t="s">
        <v>1324</v>
      </c>
      <c r="C484" s="63" t="n">
        <v>0</v>
      </c>
      <c r="D484" s="10" t="s">
        <v>1301</v>
      </c>
      <c r="E484" s="6" t="s">
        <v>1429</v>
      </c>
    </row>
    <row r="485" customFormat="false" ht="15" hidden="false" customHeight="true" outlineLevel="0" collapsed="false">
      <c r="A485" s="10" t="s">
        <v>520</v>
      </c>
      <c r="B485" s="10" t="s">
        <v>1326</v>
      </c>
      <c r="C485" s="63" t="n">
        <v>26.95</v>
      </c>
      <c r="D485" s="10"/>
      <c r="E485" s="6" t="s">
        <v>1327</v>
      </c>
    </row>
    <row r="486" customFormat="false" ht="15" hidden="false" customHeight="true" outlineLevel="0" collapsed="false">
      <c r="A486" s="10" t="s">
        <v>520</v>
      </c>
      <c r="B486" s="10" t="s">
        <v>1328</v>
      </c>
      <c r="C486" s="63" t="n">
        <v>51.3</v>
      </c>
      <c r="D486" s="10" t="s">
        <v>1301</v>
      </c>
      <c r="E486" s="6" t="s">
        <v>1509</v>
      </c>
    </row>
    <row r="487" customFormat="false" ht="15" hidden="false" customHeight="true" outlineLevel="0" collapsed="false">
      <c r="A487" s="10" t="s">
        <v>520</v>
      </c>
      <c r="B487" s="10" t="s">
        <v>1330</v>
      </c>
      <c r="C487" s="63" t="n">
        <v>1.1</v>
      </c>
      <c r="D487" s="10" t="s">
        <v>1301</v>
      </c>
      <c r="E487" s="6" t="s">
        <v>1431</v>
      </c>
    </row>
    <row r="488" customFormat="false" ht="15" hidden="false" customHeight="true" outlineLevel="0" collapsed="false">
      <c r="A488" s="10" t="s">
        <v>520</v>
      </c>
      <c r="B488" s="10" t="s">
        <v>1331</v>
      </c>
      <c r="C488" s="63" t="n">
        <v>89.617</v>
      </c>
      <c r="D488" s="10"/>
      <c r="E488" s="6" t="s">
        <v>1510</v>
      </c>
    </row>
    <row r="489" customFormat="false" ht="15" hidden="false" customHeight="true" outlineLevel="0" collapsed="false">
      <c r="A489" s="10" t="s">
        <v>520</v>
      </c>
      <c r="B489" s="10" t="s">
        <v>1333</v>
      </c>
      <c r="C489" s="63" t="n">
        <v>185.62</v>
      </c>
      <c r="D489" s="10"/>
      <c r="E489" s="6" t="s">
        <v>1511</v>
      </c>
    </row>
    <row r="490" customFormat="false" ht="15" hidden="false" customHeight="true" outlineLevel="0" collapsed="false">
      <c r="A490" s="10" t="s">
        <v>520</v>
      </c>
      <c r="B490" s="10" t="s">
        <v>1334</v>
      </c>
      <c r="C490" s="63" t="n">
        <v>1.159</v>
      </c>
      <c r="D490" s="10"/>
      <c r="E490" s="6" t="s">
        <v>1510</v>
      </c>
    </row>
    <row r="491" customFormat="false" ht="15" hidden="false" customHeight="true" outlineLevel="0" collapsed="false">
      <c r="A491" s="10" t="s">
        <v>520</v>
      </c>
      <c r="B491" s="10" t="s">
        <v>1335</v>
      </c>
      <c r="C491" s="63" t="n">
        <v>0</v>
      </c>
      <c r="D491" s="10"/>
      <c r="E491" s="6" t="s">
        <v>1510</v>
      </c>
    </row>
    <row r="492" customFormat="false" ht="15" hidden="false" customHeight="true" outlineLevel="0" collapsed="false">
      <c r="A492" s="10" t="s">
        <v>520</v>
      </c>
      <c r="B492" s="10" t="s">
        <v>1336</v>
      </c>
      <c r="C492" s="63" t="n">
        <v>0.105</v>
      </c>
      <c r="D492" s="10" t="s">
        <v>1301</v>
      </c>
      <c r="E492" s="6" t="s">
        <v>1337</v>
      </c>
    </row>
    <row r="493" customFormat="false" ht="15" hidden="false" customHeight="true" outlineLevel="0" collapsed="false">
      <c r="A493" s="10" t="s">
        <v>520</v>
      </c>
      <c r="B493" s="10" t="s">
        <v>1338</v>
      </c>
      <c r="C493" s="63" t="n">
        <v>0</v>
      </c>
      <c r="D493" s="10"/>
      <c r="E493" s="6" t="s">
        <v>1418</v>
      </c>
    </row>
    <row r="494" customFormat="false" ht="15" hidden="false" customHeight="true" outlineLevel="0" collapsed="false">
      <c r="A494" s="10" t="s">
        <v>520</v>
      </c>
      <c r="B494" s="10" t="s">
        <v>1340</v>
      </c>
      <c r="C494" s="63" t="n">
        <v>0</v>
      </c>
      <c r="D494" s="10"/>
      <c r="E494" s="6" t="s">
        <v>1418</v>
      </c>
    </row>
    <row r="495" customFormat="false" ht="15" hidden="false" customHeight="true" outlineLevel="0" collapsed="false">
      <c r="A495" s="10" t="s">
        <v>520</v>
      </c>
      <c r="B495" s="10" t="s">
        <v>1342</v>
      </c>
      <c r="C495" s="63" t="n">
        <v>78.3</v>
      </c>
      <c r="D495" s="10"/>
      <c r="E495" s="6" t="s">
        <v>1510</v>
      </c>
    </row>
    <row r="496" customFormat="false" ht="15" hidden="false" customHeight="true" outlineLevel="0" collapsed="false">
      <c r="A496" s="10" t="s">
        <v>520</v>
      </c>
      <c r="B496" s="10" t="s">
        <v>1343</v>
      </c>
      <c r="C496" s="10" t="s">
        <v>1512</v>
      </c>
      <c r="D496" s="10" t="s">
        <v>1301</v>
      </c>
      <c r="E496" s="6" t="s">
        <v>1460</v>
      </c>
    </row>
    <row r="497" customFormat="false" ht="15" hidden="false" customHeight="true" outlineLevel="0" collapsed="false">
      <c r="A497" s="10" t="s">
        <v>520</v>
      </c>
      <c r="B497" s="10" t="s">
        <v>1346</v>
      </c>
      <c r="C497" s="63" t="n">
        <v>6.97551</v>
      </c>
      <c r="D497" s="10" t="s">
        <v>1301</v>
      </c>
      <c r="E497" s="6" t="s">
        <v>1434</v>
      </c>
    </row>
    <row r="498" customFormat="false" ht="15" hidden="false" customHeight="true" outlineLevel="0" collapsed="false">
      <c r="A498" s="10" t="s">
        <v>520</v>
      </c>
      <c r="B498" s="10" t="s">
        <v>1348</v>
      </c>
      <c r="C498" s="63" t="n">
        <v>6.97551</v>
      </c>
      <c r="D498" s="10" t="s">
        <v>1301</v>
      </c>
      <c r="E498" s="6" t="s">
        <v>1435</v>
      </c>
    </row>
    <row r="499" customFormat="false" ht="15" hidden="false" customHeight="true" outlineLevel="0" collapsed="false">
      <c r="A499" s="10" t="s">
        <v>522</v>
      </c>
      <c r="B499" s="10" t="s">
        <v>1281</v>
      </c>
      <c r="C499" s="10" t="n">
        <v>1</v>
      </c>
      <c r="D499" s="10"/>
      <c r="E499" s="6"/>
    </row>
    <row r="500" customFormat="false" ht="15" hidden="false" customHeight="true" outlineLevel="0" collapsed="false">
      <c r="A500" s="10" t="s">
        <v>522</v>
      </c>
      <c r="B500" s="10" t="s">
        <v>1282</v>
      </c>
      <c r="C500" s="10" t="n">
        <v>1</v>
      </c>
      <c r="D500" s="10"/>
      <c r="E500" s="6"/>
    </row>
    <row r="501" customFormat="false" ht="15" hidden="false" customHeight="true" outlineLevel="0" collapsed="false">
      <c r="A501" s="10" t="s">
        <v>522</v>
      </c>
      <c r="B501" s="10" t="s">
        <v>1283</v>
      </c>
      <c r="C501" s="10" t="n">
        <v>3</v>
      </c>
      <c r="D501" s="10"/>
      <c r="E501" s="6" t="s">
        <v>1284</v>
      </c>
    </row>
    <row r="502" customFormat="false" ht="15" hidden="false" customHeight="true" outlineLevel="0" collapsed="false">
      <c r="A502" s="10" t="s">
        <v>522</v>
      </c>
      <c r="B502" s="10" t="s">
        <v>1285</v>
      </c>
      <c r="C502" s="63" t="n">
        <v>69.21198</v>
      </c>
      <c r="D502" s="10"/>
      <c r="E502" s="6" t="s">
        <v>1513</v>
      </c>
    </row>
    <row r="503" customFormat="false" ht="15" hidden="false" customHeight="true" outlineLevel="0" collapsed="false">
      <c r="A503" s="10" t="s">
        <v>522</v>
      </c>
      <c r="B503" s="10" t="s">
        <v>1287</v>
      </c>
      <c r="C503" s="63" t="n">
        <v>483.68832</v>
      </c>
      <c r="D503" s="10"/>
      <c r="E503" s="6" t="s">
        <v>1513</v>
      </c>
    </row>
    <row r="504" customFormat="false" ht="15" hidden="false" customHeight="true" outlineLevel="0" collapsed="false">
      <c r="A504" s="10" t="s">
        <v>522</v>
      </c>
      <c r="B504" s="10" t="s">
        <v>1289</v>
      </c>
      <c r="C504" s="63" t="n">
        <v>0.122</v>
      </c>
      <c r="D504" s="10"/>
      <c r="E504" s="6" t="s">
        <v>1514</v>
      </c>
    </row>
    <row r="505" customFormat="false" ht="15" hidden="false" customHeight="true" outlineLevel="0" collapsed="false">
      <c r="A505" s="10" t="s">
        <v>522</v>
      </c>
      <c r="B505" s="10" t="s">
        <v>216</v>
      </c>
      <c r="C505" s="63" t="n">
        <v>5.0689157</v>
      </c>
      <c r="D505" s="10"/>
      <c r="E505" s="6" t="s">
        <v>1515</v>
      </c>
    </row>
    <row r="506" customFormat="false" ht="15" hidden="false" customHeight="true" outlineLevel="0" collapsed="false">
      <c r="A506" s="10" t="s">
        <v>522</v>
      </c>
      <c r="B506" s="10" t="s">
        <v>1292</v>
      </c>
      <c r="C506" s="63" t="n">
        <v>109.68</v>
      </c>
      <c r="D506" s="10" t="s">
        <v>1301</v>
      </c>
      <c r="E506" s="6" t="s">
        <v>1516</v>
      </c>
    </row>
    <row r="507" customFormat="false" ht="15" hidden="false" customHeight="true" outlineLevel="0" collapsed="false">
      <c r="A507" s="10" t="s">
        <v>522</v>
      </c>
      <c r="B507" s="10" t="s">
        <v>1294</v>
      </c>
      <c r="C507" s="63" t="n">
        <v>0</v>
      </c>
      <c r="D507" s="10" t="s">
        <v>1301</v>
      </c>
      <c r="E507" s="6" t="s">
        <v>1517</v>
      </c>
    </row>
    <row r="508" customFormat="false" ht="15" hidden="false" customHeight="true" outlineLevel="0" collapsed="false">
      <c r="A508" s="10" t="s">
        <v>522</v>
      </c>
      <c r="B508" s="10" t="s">
        <v>1296</v>
      </c>
      <c r="C508" s="63" t="n">
        <v>109.68</v>
      </c>
      <c r="D508" s="10" t="s">
        <v>1301</v>
      </c>
      <c r="E508" s="6" t="s">
        <v>1518</v>
      </c>
    </row>
    <row r="509" customFormat="false" ht="15" hidden="false" customHeight="true" outlineLevel="0" collapsed="false">
      <c r="A509" s="10" t="s">
        <v>522</v>
      </c>
      <c r="B509" s="10" t="s">
        <v>1298</v>
      </c>
      <c r="C509" s="63" t="n">
        <v>0</v>
      </c>
      <c r="D509" s="10" t="s">
        <v>1301</v>
      </c>
      <c r="E509" s="6" t="s">
        <v>1517</v>
      </c>
    </row>
    <row r="510" customFormat="false" ht="15" hidden="false" customHeight="true" outlineLevel="0" collapsed="false">
      <c r="A510" s="10" t="s">
        <v>522</v>
      </c>
      <c r="B510" s="10" t="s">
        <v>1300</v>
      </c>
      <c r="C510" s="63" t="n">
        <v>1</v>
      </c>
      <c r="D510" s="10" t="s">
        <v>1301</v>
      </c>
      <c r="E510" s="6" t="s">
        <v>1519</v>
      </c>
    </row>
    <row r="511" customFormat="false" ht="15" hidden="false" customHeight="true" outlineLevel="0" collapsed="false">
      <c r="A511" s="10" t="s">
        <v>522</v>
      </c>
      <c r="B511" s="10" t="s">
        <v>1303</v>
      </c>
      <c r="C511" s="63" t="n">
        <v>0</v>
      </c>
      <c r="D511" s="10"/>
      <c r="E511" s="6" t="s">
        <v>1304</v>
      </c>
    </row>
    <row r="512" customFormat="false" ht="15" hidden="false" customHeight="true" outlineLevel="0" collapsed="false">
      <c r="A512" s="10" t="s">
        <v>522</v>
      </c>
      <c r="B512" s="10" t="s">
        <v>1305</v>
      </c>
      <c r="C512" s="63" t="n">
        <v>21.2144</v>
      </c>
      <c r="D512" s="10"/>
      <c r="E512" s="6" t="s">
        <v>1520</v>
      </c>
    </row>
    <row r="513" customFormat="false" ht="15" hidden="false" customHeight="true" outlineLevel="0" collapsed="false">
      <c r="A513" s="10" t="s">
        <v>522</v>
      </c>
      <c r="B513" s="10" t="s">
        <v>1307</v>
      </c>
      <c r="C513" s="63" t="n">
        <v>6.6295</v>
      </c>
      <c r="D513" s="10"/>
      <c r="E513" s="6" t="s">
        <v>1521</v>
      </c>
    </row>
    <row r="514" customFormat="false" ht="15" hidden="false" customHeight="true" outlineLevel="0" collapsed="false">
      <c r="A514" s="10" t="s">
        <v>522</v>
      </c>
      <c r="B514" s="10" t="s">
        <v>1309</v>
      </c>
      <c r="C514" s="63" t="n">
        <v>5.3036</v>
      </c>
      <c r="D514" s="10"/>
      <c r="E514" s="6" t="s">
        <v>1522</v>
      </c>
    </row>
    <row r="515" customFormat="false" ht="15" hidden="false" customHeight="true" outlineLevel="0" collapsed="false">
      <c r="A515" s="10" t="s">
        <v>522</v>
      </c>
      <c r="B515" s="10" t="s">
        <v>1311</v>
      </c>
      <c r="C515" s="63" t="n">
        <v>0</v>
      </c>
      <c r="D515" s="10"/>
      <c r="E515" s="6" t="s">
        <v>1523</v>
      </c>
    </row>
    <row r="516" customFormat="false" ht="15" hidden="false" customHeight="true" outlineLevel="0" collapsed="false">
      <c r="A516" s="10" t="s">
        <v>522</v>
      </c>
      <c r="B516" s="10" t="s">
        <v>1313</v>
      </c>
      <c r="C516" s="63" t="n">
        <v>26.518</v>
      </c>
      <c r="D516" s="10"/>
      <c r="E516" s="6" t="s">
        <v>1524</v>
      </c>
    </row>
    <row r="517" customFormat="false" ht="15" hidden="false" customHeight="true" outlineLevel="0" collapsed="false">
      <c r="A517" s="10" t="s">
        <v>522</v>
      </c>
      <c r="B517" s="10" t="s">
        <v>1315</v>
      </c>
      <c r="C517" s="63" t="n">
        <v>26.38541</v>
      </c>
      <c r="D517" s="10"/>
      <c r="E517" s="6" t="s">
        <v>1525</v>
      </c>
    </row>
    <row r="518" customFormat="false" ht="15" hidden="false" customHeight="true" outlineLevel="0" collapsed="false">
      <c r="A518" s="10" t="s">
        <v>522</v>
      </c>
      <c r="B518" s="10" t="s">
        <v>1316</v>
      </c>
      <c r="C518" s="63" t="n">
        <v>70</v>
      </c>
      <c r="D518" s="10"/>
      <c r="E518" s="6" t="s">
        <v>1526</v>
      </c>
    </row>
    <row r="519" customFormat="false" ht="15" hidden="false" customHeight="true" outlineLevel="0" collapsed="false">
      <c r="A519" s="10" t="s">
        <v>522</v>
      </c>
      <c r="B519" s="10" t="s">
        <v>1318</v>
      </c>
      <c r="C519" s="63" t="n">
        <v>114.15999</v>
      </c>
      <c r="D519" s="10"/>
      <c r="E519" s="6" t="s">
        <v>1527</v>
      </c>
    </row>
    <row r="520" customFormat="false" ht="15" hidden="false" customHeight="true" outlineLevel="0" collapsed="false">
      <c r="A520" s="10" t="s">
        <v>522</v>
      </c>
      <c r="B520" s="10" t="s">
        <v>1320</v>
      </c>
      <c r="C520" s="63" t="n">
        <v>0</v>
      </c>
      <c r="D520" s="10"/>
      <c r="E520" s="6" t="s">
        <v>1321</v>
      </c>
    </row>
    <row r="521" customFormat="false" ht="15" hidden="false" customHeight="true" outlineLevel="0" collapsed="false">
      <c r="A521" s="10" t="s">
        <v>522</v>
      </c>
      <c r="B521" s="10" t="s">
        <v>1322</v>
      </c>
      <c r="C521" s="63" t="n">
        <v>0</v>
      </c>
      <c r="D521" s="10"/>
      <c r="E521" s="6" t="s">
        <v>1323</v>
      </c>
    </row>
    <row r="522" customFormat="false" ht="15" hidden="false" customHeight="true" outlineLevel="0" collapsed="false">
      <c r="A522" s="10" t="s">
        <v>522</v>
      </c>
      <c r="B522" s="10" t="s">
        <v>1324</v>
      </c>
      <c r="C522" s="63" t="n">
        <v>0</v>
      </c>
      <c r="D522" s="10" t="s">
        <v>1301</v>
      </c>
      <c r="E522" s="6" t="s">
        <v>1429</v>
      </c>
    </row>
    <row r="523" customFormat="false" ht="15" hidden="false" customHeight="true" outlineLevel="0" collapsed="false">
      <c r="A523" s="10" t="s">
        <v>522</v>
      </c>
      <c r="B523" s="10" t="s">
        <v>1326</v>
      </c>
      <c r="C523" s="63" t="n">
        <v>29.36</v>
      </c>
      <c r="D523" s="10"/>
      <c r="E523" s="6" t="s">
        <v>1528</v>
      </c>
    </row>
    <row r="524" customFormat="false" ht="15" hidden="false" customHeight="true" outlineLevel="0" collapsed="false">
      <c r="A524" s="10" t="s">
        <v>522</v>
      </c>
      <c r="B524" s="10" t="s">
        <v>1328</v>
      </c>
      <c r="C524" s="63" t="n">
        <v>425.87908</v>
      </c>
      <c r="D524" s="10"/>
      <c r="E524" s="6" t="s">
        <v>1529</v>
      </c>
    </row>
    <row r="525" customFormat="false" ht="15" hidden="false" customHeight="true" outlineLevel="0" collapsed="false">
      <c r="A525" s="10" t="s">
        <v>522</v>
      </c>
      <c r="B525" s="10" t="s">
        <v>1330</v>
      </c>
      <c r="C525" s="63" t="n">
        <v>1.577</v>
      </c>
      <c r="D525" s="10"/>
      <c r="E525" s="6" t="s">
        <v>1529</v>
      </c>
    </row>
    <row r="526" customFormat="false" ht="15" hidden="false" customHeight="true" outlineLevel="0" collapsed="false">
      <c r="A526" s="10" t="s">
        <v>522</v>
      </c>
      <c r="B526" s="10" t="s">
        <v>1331</v>
      </c>
      <c r="C526" s="63" t="n">
        <v>354.626075835</v>
      </c>
      <c r="D526" s="10" t="s">
        <v>1301</v>
      </c>
      <c r="E526" s="6" t="s">
        <v>1530</v>
      </c>
    </row>
    <row r="527" customFormat="false" ht="15" hidden="false" customHeight="true" outlineLevel="0" collapsed="false">
      <c r="A527" s="10" t="s">
        <v>522</v>
      </c>
      <c r="B527" s="10" t="s">
        <v>1333</v>
      </c>
      <c r="C527" s="63" t="n">
        <v>788.0579463</v>
      </c>
      <c r="D527" s="10"/>
      <c r="E527" s="6" t="s">
        <v>1531</v>
      </c>
    </row>
    <row r="528" customFormat="false" ht="15" hidden="false" customHeight="true" outlineLevel="0" collapsed="false">
      <c r="A528" s="10" t="s">
        <v>522</v>
      </c>
      <c r="B528" s="10" t="s">
        <v>1334</v>
      </c>
      <c r="C528" s="63" t="n">
        <v>103.81797</v>
      </c>
      <c r="D528" s="10"/>
      <c r="E528" s="6" t="s">
        <v>1531</v>
      </c>
    </row>
    <row r="529" customFormat="false" ht="15" hidden="false" customHeight="true" outlineLevel="0" collapsed="false">
      <c r="A529" s="10" t="s">
        <v>522</v>
      </c>
      <c r="B529" s="10" t="s">
        <v>1335</v>
      </c>
      <c r="C529" s="63" t="n">
        <v>243.4644098</v>
      </c>
      <c r="D529" s="10"/>
      <c r="E529" s="6" t="s">
        <v>1532</v>
      </c>
    </row>
    <row r="530" customFormat="false" ht="15" hidden="false" customHeight="true" outlineLevel="0" collapsed="false">
      <c r="A530" s="10" t="s">
        <v>522</v>
      </c>
      <c r="B530" s="10" t="s">
        <v>1336</v>
      </c>
      <c r="C530" s="63" t="n">
        <v>0.504315994034438</v>
      </c>
      <c r="D530" s="10" t="s">
        <v>1301</v>
      </c>
      <c r="E530" s="6" t="s">
        <v>1337</v>
      </c>
    </row>
    <row r="531" customFormat="false" ht="15" hidden="false" customHeight="true" outlineLevel="0" collapsed="false">
      <c r="A531" s="10" t="s">
        <v>522</v>
      </c>
      <c r="B531" s="10" t="s">
        <v>1338</v>
      </c>
      <c r="C531" s="63" t="n">
        <v>30.26</v>
      </c>
      <c r="D531" s="10"/>
      <c r="E531" s="6" t="s">
        <v>1339</v>
      </c>
    </row>
    <row r="532" customFormat="false" ht="15" hidden="false" customHeight="true" outlineLevel="0" collapsed="false">
      <c r="A532" s="10" t="s">
        <v>522</v>
      </c>
      <c r="B532" s="10" t="s">
        <v>1340</v>
      </c>
      <c r="C532" s="63" t="n">
        <v>2.82</v>
      </c>
      <c r="D532" s="10"/>
      <c r="E532" s="6" t="s">
        <v>1341</v>
      </c>
    </row>
    <row r="533" customFormat="false" ht="15" hidden="false" customHeight="true" outlineLevel="0" collapsed="false">
      <c r="A533" s="10" t="s">
        <v>522</v>
      </c>
      <c r="B533" s="10" t="s">
        <v>1342</v>
      </c>
      <c r="C533" s="63" t="n">
        <v>459.68953</v>
      </c>
      <c r="D533" s="10"/>
      <c r="E533" s="6" t="s">
        <v>1531</v>
      </c>
    </row>
    <row r="534" customFormat="false" ht="15" hidden="false" customHeight="true" outlineLevel="0" collapsed="false">
      <c r="A534" s="10" t="s">
        <v>522</v>
      </c>
      <c r="B534" s="10" t="s">
        <v>1343</v>
      </c>
      <c r="C534" s="10" t="s">
        <v>1533</v>
      </c>
      <c r="D534" s="10" t="s">
        <v>1301</v>
      </c>
      <c r="E534" s="6" t="s">
        <v>1345</v>
      </c>
    </row>
    <row r="535" customFormat="false" ht="15" hidden="false" customHeight="true" outlineLevel="0" collapsed="false">
      <c r="A535" s="10" t="s">
        <v>522</v>
      </c>
      <c r="B535" s="10" t="s">
        <v>1346</v>
      </c>
      <c r="C535" s="63" t="n">
        <v>249.3889839</v>
      </c>
      <c r="D535" s="10"/>
      <c r="E535" s="6" t="s">
        <v>1534</v>
      </c>
    </row>
    <row r="536" customFormat="false" ht="15" hidden="false" customHeight="true" outlineLevel="0" collapsed="false">
      <c r="A536" s="10" t="s">
        <v>522</v>
      </c>
      <c r="B536" s="10" t="s">
        <v>1348</v>
      </c>
      <c r="C536" s="63" t="n">
        <v>267.2455971</v>
      </c>
      <c r="D536" s="10"/>
      <c r="E536" s="6" t="s">
        <v>1535</v>
      </c>
    </row>
    <row r="537" customFormat="false" ht="15" hidden="false" customHeight="true" outlineLevel="0" collapsed="false">
      <c r="A537" s="10" t="s">
        <v>525</v>
      </c>
      <c r="B537" s="10" t="s">
        <v>1281</v>
      </c>
      <c r="C537" s="10" t="n">
        <v>1</v>
      </c>
      <c r="D537" s="10"/>
      <c r="E537" s="6"/>
    </row>
    <row r="538" customFormat="false" ht="15" hidden="false" customHeight="true" outlineLevel="0" collapsed="false">
      <c r="A538" s="10" t="s">
        <v>525</v>
      </c>
      <c r="B538" s="10" t="s">
        <v>1282</v>
      </c>
      <c r="C538" s="10" t="n">
        <v>1</v>
      </c>
      <c r="D538" s="10"/>
      <c r="E538" s="6"/>
    </row>
    <row r="539" customFormat="false" ht="15" hidden="false" customHeight="true" outlineLevel="0" collapsed="false">
      <c r="A539" s="10" t="s">
        <v>525</v>
      </c>
      <c r="B539" s="10" t="s">
        <v>1283</v>
      </c>
      <c r="C539" s="10" t="n">
        <v>4</v>
      </c>
      <c r="D539" s="10"/>
      <c r="E539" s="6" t="s">
        <v>1284</v>
      </c>
    </row>
    <row r="540" customFormat="false" ht="15" hidden="false" customHeight="true" outlineLevel="0" collapsed="false">
      <c r="A540" s="10" t="s">
        <v>525</v>
      </c>
      <c r="B540" s="10" t="s">
        <v>1285</v>
      </c>
      <c r="C540" s="63" t="n">
        <v>127.7</v>
      </c>
      <c r="D540" s="10"/>
      <c r="E540" s="6" t="s">
        <v>1536</v>
      </c>
    </row>
    <row r="541" customFormat="false" ht="15" hidden="false" customHeight="true" outlineLevel="0" collapsed="false">
      <c r="A541" s="10" t="s">
        <v>525</v>
      </c>
      <c r="B541" s="10" t="s">
        <v>1287</v>
      </c>
      <c r="C541" s="63" t="n">
        <v>906.4</v>
      </c>
      <c r="D541" s="10"/>
      <c r="E541" s="6" t="s">
        <v>1536</v>
      </c>
    </row>
    <row r="542" customFormat="false" ht="15" hidden="false" customHeight="true" outlineLevel="0" collapsed="false">
      <c r="A542" s="10" t="s">
        <v>525</v>
      </c>
      <c r="B542" s="10" t="s">
        <v>1289</v>
      </c>
      <c r="C542" s="63" t="n">
        <v>0.112</v>
      </c>
      <c r="D542" s="10"/>
      <c r="E542" s="6" t="s">
        <v>1537</v>
      </c>
    </row>
    <row r="543" customFormat="false" ht="15" hidden="false" customHeight="true" outlineLevel="0" collapsed="false">
      <c r="A543" s="10" t="s">
        <v>525</v>
      </c>
      <c r="B543" s="10" t="s">
        <v>216</v>
      </c>
      <c r="C543" s="63" t="n">
        <v>10.4</v>
      </c>
      <c r="D543" s="10"/>
      <c r="E543" s="6" t="s">
        <v>1538</v>
      </c>
    </row>
    <row r="544" customFormat="false" ht="15" hidden="false" customHeight="true" outlineLevel="0" collapsed="false">
      <c r="A544" s="10" t="s">
        <v>525</v>
      </c>
      <c r="B544" s="10" t="s">
        <v>1292</v>
      </c>
      <c r="C544" s="63" t="n">
        <v>247.365</v>
      </c>
      <c r="D544" s="10" t="s">
        <v>1301</v>
      </c>
      <c r="E544" s="6" t="s">
        <v>1516</v>
      </c>
    </row>
    <row r="545" customFormat="false" ht="15" hidden="false" customHeight="true" outlineLevel="0" collapsed="false">
      <c r="A545" s="10" t="s">
        <v>525</v>
      </c>
      <c r="B545" s="10" t="s">
        <v>1294</v>
      </c>
      <c r="C545" s="63" t="n">
        <v>-2.4</v>
      </c>
      <c r="D545" s="10"/>
      <c r="E545" s="6" t="s">
        <v>1539</v>
      </c>
    </row>
    <row r="546" customFormat="false" ht="15" hidden="false" customHeight="true" outlineLevel="0" collapsed="false">
      <c r="A546" s="10" t="s">
        <v>525</v>
      </c>
      <c r="B546" s="10" t="s">
        <v>1296</v>
      </c>
      <c r="C546" s="63" t="n">
        <v>247.365</v>
      </c>
      <c r="D546" s="10" t="s">
        <v>1301</v>
      </c>
      <c r="E546" s="6" t="s">
        <v>1518</v>
      </c>
    </row>
    <row r="547" customFormat="false" ht="15" hidden="false" customHeight="true" outlineLevel="0" collapsed="false">
      <c r="A547" s="10" t="s">
        <v>525</v>
      </c>
      <c r="B547" s="10" t="s">
        <v>1298</v>
      </c>
      <c r="C547" s="63" t="n">
        <v>-2.1</v>
      </c>
      <c r="D547" s="10"/>
      <c r="E547" s="6" t="s">
        <v>1540</v>
      </c>
    </row>
    <row r="548" customFormat="false" ht="15" hidden="false" customHeight="true" outlineLevel="0" collapsed="false">
      <c r="A548" s="10" t="s">
        <v>525</v>
      </c>
      <c r="B548" s="10" t="s">
        <v>1300</v>
      </c>
      <c r="C548" s="63" t="n">
        <v>1</v>
      </c>
      <c r="D548" s="10" t="s">
        <v>1301</v>
      </c>
      <c r="E548" s="6" t="s">
        <v>1519</v>
      </c>
    </row>
    <row r="549" customFormat="false" ht="15" hidden="false" customHeight="true" outlineLevel="0" collapsed="false">
      <c r="A549" s="10" t="s">
        <v>525</v>
      </c>
      <c r="B549" s="10" t="s">
        <v>1303</v>
      </c>
      <c r="C549" s="63" t="n">
        <v>0</v>
      </c>
      <c r="D549" s="10"/>
      <c r="E549" s="6" t="s">
        <v>1304</v>
      </c>
    </row>
    <row r="550" customFormat="false" ht="15" hidden="false" customHeight="true" outlineLevel="0" collapsed="false">
      <c r="A550" s="10" t="s">
        <v>525</v>
      </c>
      <c r="B550" s="10" t="s">
        <v>1305</v>
      </c>
      <c r="C550" s="63" t="n">
        <v>16</v>
      </c>
      <c r="D550" s="10"/>
      <c r="E550" s="6" t="s">
        <v>1520</v>
      </c>
    </row>
    <row r="551" customFormat="false" ht="15" hidden="false" customHeight="true" outlineLevel="0" collapsed="false">
      <c r="A551" s="10" t="s">
        <v>525</v>
      </c>
      <c r="B551" s="10" t="s">
        <v>1307</v>
      </c>
      <c r="C551" s="63" t="n">
        <v>6</v>
      </c>
      <c r="D551" s="10"/>
      <c r="E551" s="6" t="s">
        <v>1521</v>
      </c>
    </row>
    <row r="552" customFormat="false" ht="15" hidden="false" customHeight="true" outlineLevel="0" collapsed="false">
      <c r="A552" s="10" t="s">
        <v>525</v>
      </c>
      <c r="B552" s="10" t="s">
        <v>1309</v>
      </c>
      <c r="C552" s="63" t="n">
        <v>25</v>
      </c>
      <c r="D552" s="10"/>
      <c r="E552" s="6" t="s">
        <v>1522</v>
      </c>
    </row>
    <row r="553" customFormat="false" ht="15" hidden="false" customHeight="true" outlineLevel="0" collapsed="false">
      <c r="A553" s="10" t="s">
        <v>525</v>
      </c>
      <c r="B553" s="10" t="s">
        <v>1311</v>
      </c>
      <c r="C553" s="63" t="n">
        <v>0</v>
      </c>
      <c r="D553" s="10"/>
      <c r="E553" s="6" t="s">
        <v>1523</v>
      </c>
    </row>
    <row r="554" customFormat="false" ht="15" hidden="false" customHeight="true" outlineLevel="0" collapsed="false">
      <c r="A554" s="10" t="s">
        <v>525</v>
      </c>
      <c r="B554" s="10" t="s">
        <v>1313</v>
      </c>
      <c r="C554" s="63" t="n">
        <v>21.7</v>
      </c>
      <c r="D554" s="10"/>
      <c r="E554" s="6" t="s">
        <v>1541</v>
      </c>
    </row>
    <row r="555" customFormat="false" ht="15" hidden="false" customHeight="true" outlineLevel="0" collapsed="false">
      <c r="A555" s="10" t="s">
        <v>525</v>
      </c>
      <c r="B555" s="10" t="s">
        <v>1315</v>
      </c>
      <c r="C555" s="63" t="n">
        <v>0</v>
      </c>
      <c r="D555" s="10"/>
      <c r="E555" s="6" t="s">
        <v>1542</v>
      </c>
    </row>
    <row r="556" customFormat="false" ht="15" hidden="false" customHeight="true" outlineLevel="0" collapsed="false">
      <c r="A556" s="10" t="s">
        <v>525</v>
      </c>
      <c r="B556" s="10" t="s">
        <v>1316</v>
      </c>
      <c r="C556" s="63" t="n">
        <v>0</v>
      </c>
      <c r="D556" s="10"/>
      <c r="E556" s="6" t="s">
        <v>1317</v>
      </c>
    </row>
    <row r="557" customFormat="false" ht="15" hidden="false" customHeight="true" outlineLevel="0" collapsed="false">
      <c r="A557" s="10" t="s">
        <v>525</v>
      </c>
      <c r="B557" s="10" t="s">
        <v>1318</v>
      </c>
      <c r="C557" s="63" t="n">
        <v>0</v>
      </c>
      <c r="D557" s="10"/>
      <c r="E557" s="6" t="s">
        <v>1358</v>
      </c>
    </row>
    <row r="558" customFormat="false" ht="15" hidden="false" customHeight="true" outlineLevel="0" collapsed="false">
      <c r="A558" s="10" t="s">
        <v>525</v>
      </c>
      <c r="B558" s="10" t="s">
        <v>1320</v>
      </c>
      <c r="C558" s="63" t="n">
        <v>0</v>
      </c>
      <c r="D558" s="10"/>
      <c r="E558" s="6" t="s">
        <v>1321</v>
      </c>
    </row>
    <row r="559" customFormat="false" ht="15" hidden="false" customHeight="true" outlineLevel="0" collapsed="false">
      <c r="A559" s="10" t="s">
        <v>525</v>
      </c>
      <c r="B559" s="10" t="s">
        <v>1322</v>
      </c>
      <c r="C559" s="63" t="n">
        <v>0</v>
      </c>
      <c r="D559" s="10"/>
      <c r="E559" s="6" t="s">
        <v>1323</v>
      </c>
    </row>
    <row r="560" customFormat="false" ht="15" hidden="false" customHeight="true" outlineLevel="0" collapsed="false">
      <c r="A560" s="10" t="s">
        <v>525</v>
      </c>
      <c r="B560" s="10" t="s">
        <v>1324</v>
      </c>
      <c r="C560" s="63" t="n">
        <v>0</v>
      </c>
      <c r="D560" s="10" t="s">
        <v>1301</v>
      </c>
      <c r="E560" s="6" t="s">
        <v>1429</v>
      </c>
    </row>
    <row r="561" customFormat="false" ht="15" hidden="false" customHeight="true" outlineLevel="0" collapsed="false">
      <c r="A561" s="10" t="s">
        <v>525</v>
      </c>
      <c r="B561" s="10" t="s">
        <v>1326</v>
      </c>
      <c r="C561" s="63" t="n">
        <v>67.74</v>
      </c>
      <c r="D561" s="10"/>
      <c r="E561" s="6" t="s">
        <v>1543</v>
      </c>
    </row>
    <row r="562" customFormat="false" ht="15" hidden="false" customHeight="true" outlineLevel="0" collapsed="false">
      <c r="A562" s="10" t="s">
        <v>525</v>
      </c>
      <c r="B562" s="10" t="s">
        <v>1328</v>
      </c>
      <c r="C562" s="63" t="n">
        <v>713.669</v>
      </c>
      <c r="D562" s="10"/>
      <c r="E562" s="6" t="s">
        <v>1544</v>
      </c>
    </row>
    <row r="563" customFormat="false" ht="15" hidden="false" customHeight="true" outlineLevel="0" collapsed="false">
      <c r="A563" s="10" t="s">
        <v>525</v>
      </c>
      <c r="B563" s="10" t="s">
        <v>1330</v>
      </c>
      <c r="C563" s="63" t="n">
        <v>1.34</v>
      </c>
      <c r="D563" s="10"/>
      <c r="E563" s="6" t="s">
        <v>1544</v>
      </c>
    </row>
    <row r="564" customFormat="false" ht="15" hidden="false" customHeight="true" outlineLevel="0" collapsed="false">
      <c r="A564" s="10" t="s">
        <v>525</v>
      </c>
      <c r="B564" s="10" t="s">
        <v>1331</v>
      </c>
      <c r="C564" s="63" t="n">
        <v>950.01</v>
      </c>
      <c r="D564" s="10" t="s">
        <v>1301</v>
      </c>
      <c r="E564" s="6" t="s">
        <v>1545</v>
      </c>
    </row>
    <row r="565" customFormat="false" ht="15" hidden="false" customHeight="true" outlineLevel="0" collapsed="false">
      <c r="A565" s="10" t="s">
        <v>525</v>
      </c>
      <c r="B565" s="10" t="s">
        <v>1333</v>
      </c>
      <c r="C565" s="63" t="n">
        <v>1919.104</v>
      </c>
      <c r="D565" s="10"/>
      <c r="E565" s="6" t="s">
        <v>1546</v>
      </c>
    </row>
    <row r="566" customFormat="false" ht="15" hidden="false" customHeight="true" outlineLevel="0" collapsed="false">
      <c r="A566" s="10" t="s">
        <v>525</v>
      </c>
      <c r="B566" s="10" t="s">
        <v>1334</v>
      </c>
      <c r="C566" s="63" t="n">
        <v>0</v>
      </c>
      <c r="D566" s="10" t="s">
        <v>1301</v>
      </c>
      <c r="E566" s="6" t="s">
        <v>1547</v>
      </c>
    </row>
    <row r="567" customFormat="false" ht="15" hidden="false" customHeight="true" outlineLevel="0" collapsed="false">
      <c r="A567" s="10" t="s">
        <v>525</v>
      </c>
      <c r="B567" s="10" t="s">
        <v>1335</v>
      </c>
      <c r="C567" s="63" t="n">
        <v>276.266</v>
      </c>
      <c r="D567" s="10"/>
      <c r="E567" s="6" t="s">
        <v>1546</v>
      </c>
    </row>
    <row r="568" customFormat="false" ht="15" hidden="false" customHeight="true" outlineLevel="0" collapsed="false">
      <c r="A568" s="10" t="s">
        <v>525</v>
      </c>
      <c r="B568" s="10" t="s">
        <v>1336</v>
      </c>
      <c r="C568" s="63" t="n">
        <v>0.398577680525164</v>
      </c>
      <c r="D568" s="10" t="s">
        <v>1301</v>
      </c>
      <c r="E568" s="6" t="s">
        <v>1337</v>
      </c>
    </row>
    <row r="569" customFormat="false" ht="15" hidden="false" customHeight="true" outlineLevel="0" collapsed="false">
      <c r="A569" s="10" t="s">
        <v>525</v>
      </c>
      <c r="B569" s="10" t="s">
        <v>1338</v>
      </c>
      <c r="C569" s="63" t="n">
        <v>0</v>
      </c>
      <c r="D569" s="10"/>
      <c r="E569" s="6" t="s">
        <v>1418</v>
      </c>
    </row>
    <row r="570" customFormat="false" ht="15" hidden="false" customHeight="true" outlineLevel="0" collapsed="false">
      <c r="A570" s="10" t="s">
        <v>525</v>
      </c>
      <c r="B570" s="10" t="s">
        <v>1340</v>
      </c>
      <c r="C570" s="63" t="n">
        <v>2.12</v>
      </c>
      <c r="D570" s="10"/>
      <c r="E570" s="6" t="s">
        <v>1341</v>
      </c>
    </row>
    <row r="571" customFormat="false" ht="15" hidden="false" customHeight="true" outlineLevel="0" collapsed="false">
      <c r="A571" s="10" t="s">
        <v>525</v>
      </c>
      <c r="B571" s="10" t="s">
        <v>1342</v>
      </c>
      <c r="C571" s="63" t="n">
        <v>356.8345</v>
      </c>
      <c r="D571" s="10" t="s">
        <v>1301</v>
      </c>
      <c r="E571" s="6" t="s">
        <v>1419</v>
      </c>
    </row>
    <row r="572" customFormat="false" ht="15" hidden="false" customHeight="true" outlineLevel="0" collapsed="false">
      <c r="A572" s="10" t="s">
        <v>525</v>
      </c>
      <c r="B572" s="10" t="s">
        <v>1343</v>
      </c>
      <c r="C572" s="10" t="s">
        <v>1548</v>
      </c>
      <c r="D572" s="10" t="s">
        <v>1301</v>
      </c>
      <c r="E572" s="6" t="s">
        <v>1345</v>
      </c>
    </row>
    <row r="573" customFormat="false" ht="15" hidden="false" customHeight="true" outlineLevel="0" collapsed="false">
      <c r="A573" s="10" t="s">
        <v>525</v>
      </c>
      <c r="B573" s="10" t="s">
        <v>1346</v>
      </c>
      <c r="C573" s="63" t="n">
        <v>335.5459998</v>
      </c>
      <c r="D573" s="10"/>
      <c r="E573" s="6" t="s">
        <v>1534</v>
      </c>
    </row>
    <row r="574" customFormat="false" ht="15" hidden="false" customHeight="true" outlineLevel="0" collapsed="false">
      <c r="A574" s="10" t="s">
        <v>525</v>
      </c>
      <c r="B574" s="10" t="s">
        <v>1348</v>
      </c>
      <c r="C574" s="63" t="n">
        <v>314.5332084</v>
      </c>
      <c r="D574" s="10"/>
      <c r="E574" s="6" t="s">
        <v>1535</v>
      </c>
    </row>
    <row r="575" customFormat="false" ht="15" hidden="false" customHeight="true" outlineLevel="0" collapsed="false">
      <c r="A575" s="10" t="s">
        <v>527</v>
      </c>
      <c r="B575" s="10" t="s">
        <v>1281</v>
      </c>
      <c r="C575" s="10" t="n">
        <v>1</v>
      </c>
      <c r="D575" s="10"/>
      <c r="E575" s="6"/>
    </row>
    <row r="576" customFormat="false" ht="15" hidden="false" customHeight="true" outlineLevel="0" collapsed="false">
      <c r="A576" s="10" t="s">
        <v>527</v>
      </c>
      <c r="B576" s="10" t="s">
        <v>1282</v>
      </c>
      <c r="C576" s="10" t="n">
        <v>1</v>
      </c>
      <c r="D576" s="10"/>
      <c r="E576" s="6"/>
    </row>
    <row r="577" customFormat="false" ht="15" hidden="false" customHeight="true" outlineLevel="0" collapsed="false">
      <c r="A577" s="10" t="s">
        <v>527</v>
      </c>
      <c r="B577" s="10" t="s">
        <v>1283</v>
      </c>
      <c r="C577" s="10" t="n">
        <v>5</v>
      </c>
      <c r="D577" s="10"/>
      <c r="E577" s="6" t="s">
        <v>1284</v>
      </c>
    </row>
    <row r="578" customFormat="false" ht="15" hidden="false" customHeight="true" outlineLevel="0" collapsed="false">
      <c r="A578" s="10" t="s">
        <v>527</v>
      </c>
      <c r="B578" s="10" t="s">
        <v>1285</v>
      </c>
      <c r="C578" s="63" t="n">
        <v>58.3397283</v>
      </c>
      <c r="D578" s="10"/>
      <c r="E578" s="6" t="s">
        <v>1549</v>
      </c>
    </row>
    <row r="579" customFormat="false" ht="15" hidden="false" customHeight="true" outlineLevel="0" collapsed="false">
      <c r="A579" s="10" t="s">
        <v>527</v>
      </c>
      <c r="B579" s="10" t="s">
        <v>1287</v>
      </c>
      <c r="C579" s="63" t="n">
        <v>419.23224</v>
      </c>
      <c r="D579" s="10"/>
      <c r="E579" s="6" t="s">
        <v>1549</v>
      </c>
    </row>
    <row r="580" customFormat="false" ht="15" hidden="false" customHeight="true" outlineLevel="0" collapsed="false">
      <c r="A580" s="10" t="s">
        <v>527</v>
      </c>
      <c r="B580" s="10" t="s">
        <v>1289</v>
      </c>
      <c r="C580" s="63" t="n">
        <v>0.112</v>
      </c>
      <c r="D580" s="10"/>
      <c r="E580" s="6" t="s">
        <v>1550</v>
      </c>
    </row>
    <row r="581" customFormat="false" ht="15" hidden="false" customHeight="true" outlineLevel="0" collapsed="false">
      <c r="A581" s="10" t="s">
        <v>527</v>
      </c>
      <c r="B581" s="10" t="s">
        <v>216</v>
      </c>
      <c r="C581" s="63" t="n">
        <v>3.5837963</v>
      </c>
      <c r="D581" s="10"/>
      <c r="E581" s="6" t="s">
        <v>1551</v>
      </c>
    </row>
    <row r="582" customFormat="false" ht="15" hidden="false" customHeight="true" outlineLevel="0" collapsed="false">
      <c r="A582" s="10" t="s">
        <v>527</v>
      </c>
      <c r="B582" s="10" t="s">
        <v>1292</v>
      </c>
      <c r="C582" s="63" t="n">
        <v>86.84</v>
      </c>
      <c r="D582" s="10" t="s">
        <v>1301</v>
      </c>
      <c r="E582" s="6" t="s">
        <v>1516</v>
      </c>
    </row>
    <row r="583" customFormat="false" ht="15" hidden="false" customHeight="true" outlineLevel="0" collapsed="false">
      <c r="A583" s="10" t="s">
        <v>527</v>
      </c>
      <c r="B583" s="10" t="s">
        <v>1294</v>
      </c>
      <c r="C583" s="63" t="n">
        <v>0</v>
      </c>
      <c r="D583" s="10" t="s">
        <v>1301</v>
      </c>
      <c r="E583" s="6" t="s">
        <v>1517</v>
      </c>
    </row>
    <row r="584" customFormat="false" ht="15" hidden="false" customHeight="true" outlineLevel="0" collapsed="false">
      <c r="A584" s="10" t="s">
        <v>527</v>
      </c>
      <c r="B584" s="10" t="s">
        <v>1296</v>
      </c>
      <c r="C584" s="63" t="n">
        <v>86.84</v>
      </c>
      <c r="D584" s="10" t="s">
        <v>1301</v>
      </c>
      <c r="E584" s="6" t="s">
        <v>1518</v>
      </c>
    </row>
    <row r="585" customFormat="false" ht="15" hidden="false" customHeight="true" outlineLevel="0" collapsed="false">
      <c r="A585" s="10" t="s">
        <v>527</v>
      </c>
      <c r="B585" s="10" t="s">
        <v>1298</v>
      </c>
      <c r="C585" s="63" t="n">
        <v>0</v>
      </c>
      <c r="D585" s="10" t="s">
        <v>1301</v>
      </c>
      <c r="E585" s="6" t="s">
        <v>1517</v>
      </c>
    </row>
    <row r="586" customFormat="false" ht="15" hidden="false" customHeight="true" outlineLevel="0" collapsed="false">
      <c r="A586" s="10" t="s">
        <v>527</v>
      </c>
      <c r="B586" s="10" t="s">
        <v>1300</v>
      </c>
      <c r="C586" s="63" t="n">
        <v>1</v>
      </c>
      <c r="D586" s="10" t="s">
        <v>1301</v>
      </c>
      <c r="E586" s="6" t="s">
        <v>1519</v>
      </c>
    </row>
    <row r="587" customFormat="false" ht="15" hidden="false" customHeight="true" outlineLevel="0" collapsed="false">
      <c r="A587" s="10" t="s">
        <v>527</v>
      </c>
      <c r="B587" s="10" t="s">
        <v>1303</v>
      </c>
      <c r="C587" s="63" t="n">
        <v>0</v>
      </c>
      <c r="D587" s="10"/>
      <c r="E587" s="6" t="s">
        <v>1304</v>
      </c>
    </row>
    <row r="588" customFormat="false" ht="15" hidden="false" customHeight="true" outlineLevel="0" collapsed="false">
      <c r="A588" s="10" t="s">
        <v>527</v>
      </c>
      <c r="B588" s="10" t="s">
        <v>1305</v>
      </c>
      <c r="C588" s="63" t="n">
        <v>29.57003</v>
      </c>
      <c r="D588" s="10"/>
      <c r="E588" s="6" t="s">
        <v>1520</v>
      </c>
    </row>
    <row r="589" customFormat="false" ht="15" hidden="false" customHeight="true" outlineLevel="0" collapsed="false">
      <c r="A589" s="10" t="s">
        <v>527</v>
      </c>
      <c r="B589" s="10" t="s">
        <v>1307</v>
      </c>
      <c r="C589" s="63" t="n">
        <v>8.871009</v>
      </c>
      <c r="D589" s="10"/>
      <c r="E589" s="6" t="s">
        <v>1521</v>
      </c>
    </row>
    <row r="590" customFormat="false" ht="15" hidden="false" customHeight="true" outlineLevel="0" collapsed="false">
      <c r="A590" s="10" t="s">
        <v>527</v>
      </c>
      <c r="B590" s="10" t="s">
        <v>1309</v>
      </c>
      <c r="C590" s="63" t="n">
        <v>0</v>
      </c>
      <c r="D590" s="10"/>
      <c r="E590" s="6" t="s">
        <v>1522</v>
      </c>
    </row>
    <row r="591" customFormat="false" ht="15" hidden="false" customHeight="true" outlineLevel="0" collapsed="false">
      <c r="A591" s="10" t="s">
        <v>527</v>
      </c>
      <c r="B591" s="10" t="s">
        <v>1311</v>
      </c>
      <c r="C591" s="63" t="n">
        <v>0</v>
      </c>
      <c r="D591" s="10"/>
      <c r="E591" s="6" t="s">
        <v>1523</v>
      </c>
    </row>
    <row r="592" customFormat="false" ht="15" hidden="false" customHeight="true" outlineLevel="0" collapsed="false">
      <c r="A592" s="10" t="s">
        <v>527</v>
      </c>
      <c r="B592" s="10" t="s">
        <v>1313</v>
      </c>
      <c r="C592" s="63" t="n">
        <v>34.251</v>
      </c>
      <c r="D592" s="10"/>
      <c r="E592" s="6" t="s">
        <v>1552</v>
      </c>
    </row>
    <row r="593" customFormat="false" ht="15" hidden="false" customHeight="true" outlineLevel="0" collapsed="false">
      <c r="A593" s="10" t="s">
        <v>527</v>
      </c>
      <c r="B593" s="10" t="s">
        <v>1315</v>
      </c>
      <c r="C593" s="63" t="n">
        <v>0</v>
      </c>
      <c r="D593" s="10"/>
      <c r="E593" s="6" t="s">
        <v>1553</v>
      </c>
    </row>
    <row r="594" customFormat="false" ht="15" hidden="false" customHeight="true" outlineLevel="0" collapsed="false">
      <c r="A594" s="10" t="s">
        <v>527</v>
      </c>
      <c r="B594" s="10" t="s">
        <v>1316</v>
      </c>
      <c r="C594" s="63" t="n">
        <v>77.5</v>
      </c>
      <c r="D594" s="10"/>
      <c r="E594" s="6" t="s">
        <v>1526</v>
      </c>
    </row>
    <row r="595" customFormat="false" ht="15" hidden="false" customHeight="true" outlineLevel="0" collapsed="false">
      <c r="A595" s="10" t="s">
        <v>527</v>
      </c>
      <c r="B595" s="10" t="s">
        <v>1318</v>
      </c>
      <c r="C595" s="63" t="n">
        <v>0</v>
      </c>
      <c r="D595" s="10"/>
      <c r="E595" s="6" t="s">
        <v>1358</v>
      </c>
    </row>
    <row r="596" customFormat="false" ht="15" hidden="false" customHeight="true" outlineLevel="0" collapsed="false">
      <c r="A596" s="10" t="s">
        <v>527</v>
      </c>
      <c r="B596" s="10" t="s">
        <v>1320</v>
      </c>
      <c r="C596" s="63" t="n">
        <v>0</v>
      </c>
      <c r="D596" s="10"/>
      <c r="E596" s="6" t="s">
        <v>1321</v>
      </c>
    </row>
    <row r="597" customFormat="false" ht="15" hidden="false" customHeight="true" outlineLevel="0" collapsed="false">
      <c r="A597" s="10" t="s">
        <v>527</v>
      </c>
      <c r="B597" s="10" t="s">
        <v>1322</v>
      </c>
      <c r="C597" s="63" t="n">
        <v>0</v>
      </c>
      <c r="D597" s="10"/>
      <c r="E597" s="6" t="s">
        <v>1323</v>
      </c>
    </row>
    <row r="598" customFormat="false" ht="15" hidden="false" customHeight="true" outlineLevel="0" collapsed="false">
      <c r="A598" s="10" t="s">
        <v>527</v>
      </c>
      <c r="B598" s="10" t="s">
        <v>1324</v>
      </c>
      <c r="C598" s="63" t="n">
        <v>0</v>
      </c>
      <c r="D598" s="10" t="s">
        <v>1301</v>
      </c>
      <c r="E598" s="6" t="s">
        <v>1429</v>
      </c>
    </row>
    <row r="599" customFormat="false" ht="15" hidden="false" customHeight="true" outlineLevel="0" collapsed="false">
      <c r="A599" s="10" t="s">
        <v>527</v>
      </c>
      <c r="B599" s="10" t="s">
        <v>1326</v>
      </c>
      <c r="C599" s="63" t="n">
        <v>47.66</v>
      </c>
      <c r="D599" s="10"/>
      <c r="E599" s="6" t="s">
        <v>1554</v>
      </c>
    </row>
    <row r="600" customFormat="false" ht="15" hidden="false" customHeight="true" outlineLevel="0" collapsed="false">
      <c r="A600" s="10" t="s">
        <v>527</v>
      </c>
      <c r="B600" s="10" t="s">
        <v>1328</v>
      </c>
      <c r="C600" s="63" t="n">
        <v>281.3936573</v>
      </c>
      <c r="D600" s="10"/>
      <c r="E600" s="6" t="s">
        <v>1555</v>
      </c>
    </row>
    <row r="601" customFormat="false" ht="15" hidden="false" customHeight="true" outlineLevel="0" collapsed="false">
      <c r="A601" s="10" t="s">
        <v>527</v>
      </c>
      <c r="B601" s="10" t="s">
        <v>1330</v>
      </c>
      <c r="C601" s="63" t="n">
        <v>1.4</v>
      </c>
      <c r="D601" s="10"/>
      <c r="E601" s="6" t="s">
        <v>1556</v>
      </c>
    </row>
    <row r="602" customFormat="false" ht="15" hidden="false" customHeight="true" outlineLevel="0" collapsed="false">
      <c r="A602" s="10" t="s">
        <v>527</v>
      </c>
      <c r="B602" s="10" t="s">
        <v>1331</v>
      </c>
      <c r="C602" s="63" t="n">
        <v>297.1833683</v>
      </c>
      <c r="D602" s="10" t="s">
        <v>1301</v>
      </c>
      <c r="E602" s="6" t="s">
        <v>1545</v>
      </c>
    </row>
    <row r="603" customFormat="false" ht="15" hidden="false" customHeight="true" outlineLevel="0" collapsed="false">
      <c r="A603" s="10" t="s">
        <v>527</v>
      </c>
      <c r="B603" s="10" t="s">
        <v>1333</v>
      </c>
      <c r="C603" s="63" t="n">
        <v>797.1200979</v>
      </c>
      <c r="D603" s="10"/>
      <c r="E603" s="6" t="s">
        <v>1557</v>
      </c>
    </row>
    <row r="604" customFormat="false" ht="15" hidden="false" customHeight="true" outlineLevel="0" collapsed="false">
      <c r="A604" s="10" t="s">
        <v>527</v>
      </c>
      <c r="B604" s="10" t="s">
        <v>1334</v>
      </c>
      <c r="C604" s="63" t="n">
        <v>28.371245</v>
      </c>
      <c r="D604" s="10"/>
      <c r="E604" s="6" t="s">
        <v>1557</v>
      </c>
    </row>
    <row r="605" customFormat="false" ht="15" hidden="false" customHeight="true" outlineLevel="0" collapsed="false">
      <c r="A605" s="10" t="s">
        <v>527</v>
      </c>
      <c r="B605" s="10" t="s">
        <v>1335</v>
      </c>
      <c r="C605" s="63" t="n">
        <v>103.1594452</v>
      </c>
      <c r="D605" s="10"/>
      <c r="E605" s="6" t="s">
        <v>1558</v>
      </c>
    </row>
    <row r="606" customFormat="false" ht="15" hidden="false" customHeight="true" outlineLevel="0" collapsed="false">
      <c r="A606" s="10" t="s">
        <v>527</v>
      </c>
      <c r="B606" s="10" t="s">
        <v>1336</v>
      </c>
      <c r="C606" s="63" t="n">
        <v>0.334482890753727</v>
      </c>
      <c r="D606" s="10" t="s">
        <v>1301</v>
      </c>
      <c r="E606" s="6" t="s">
        <v>1337</v>
      </c>
    </row>
    <row r="607" customFormat="false" ht="15" hidden="false" customHeight="true" outlineLevel="0" collapsed="false">
      <c r="A607" s="10" t="s">
        <v>527</v>
      </c>
      <c r="B607" s="10" t="s">
        <v>1338</v>
      </c>
      <c r="C607" s="63" t="n">
        <v>5.15</v>
      </c>
      <c r="D607" s="10"/>
      <c r="E607" s="6" t="s">
        <v>1339</v>
      </c>
    </row>
    <row r="608" customFormat="false" ht="15" hidden="false" customHeight="true" outlineLevel="0" collapsed="false">
      <c r="A608" s="10" t="s">
        <v>527</v>
      </c>
      <c r="B608" s="10" t="s">
        <v>1340</v>
      </c>
      <c r="C608" s="63" t="n">
        <v>0</v>
      </c>
      <c r="D608" s="10"/>
      <c r="E608" s="6" t="s">
        <v>1418</v>
      </c>
    </row>
    <row r="609" customFormat="false" ht="15" hidden="false" customHeight="true" outlineLevel="0" collapsed="false">
      <c r="A609" s="10" t="s">
        <v>527</v>
      </c>
      <c r="B609" s="10" t="s">
        <v>1342</v>
      </c>
      <c r="C609" s="63" t="n">
        <v>140.69682865</v>
      </c>
      <c r="D609" s="10" t="s">
        <v>1301</v>
      </c>
      <c r="E609" s="6" t="s">
        <v>1419</v>
      </c>
    </row>
    <row r="610" customFormat="false" ht="15" hidden="false" customHeight="true" outlineLevel="0" collapsed="false">
      <c r="A610" s="10" t="s">
        <v>527</v>
      </c>
      <c r="B610" s="10" t="s">
        <v>1343</v>
      </c>
      <c r="C610" s="10" t="s">
        <v>1559</v>
      </c>
      <c r="D610" s="10" t="s">
        <v>1301</v>
      </c>
      <c r="E610" s="6" t="s">
        <v>1345</v>
      </c>
    </row>
    <row r="611" customFormat="false" ht="15" hidden="false" customHeight="true" outlineLevel="0" collapsed="false">
      <c r="A611" s="10" t="s">
        <v>527</v>
      </c>
      <c r="B611" s="10" t="s">
        <v>1346</v>
      </c>
      <c r="C611" s="63" t="n">
        <v>142.5152631</v>
      </c>
      <c r="D611" s="10"/>
      <c r="E611" s="6" t="s">
        <v>1534</v>
      </c>
    </row>
    <row r="612" customFormat="false" ht="15" hidden="false" customHeight="true" outlineLevel="0" collapsed="false">
      <c r="A612" s="10" t="s">
        <v>527</v>
      </c>
      <c r="B612" s="10" t="s">
        <v>1348</v>
      </c>
      <c r="C612" s="63" t="n">
        <v>153.8392731</v>
      </c>
      <c r="D612" s="10"/>
      <c r="E612" s="6" t="s">
        <v>1535</v>
      </c>
    </row>
    <row r="613" customFormat="false" ht="15" hidden="false" customHeight="true" outlineLevel="0" collapsed="false">
      <c r="A613" s="10" t="s">
        <v>530</v>
      </c>
      <c r="B613" s="10" t="s">
        <v>1281</v>
      </c>
      <c r="C613" s="10" t="n">
        <v>1</v>
      </c>
      <c r="D613" s="10"/>
      <c r="E613" s="6"/>
    </row>
    <row r="614" customFormat="false" ht="15" hidden="false" customHeight="true" outlineLevel="0" collapsed="false">
      <c r="A614" s="10" t="s">
        <v>530</v>
      </c>
      <c r="B614" s="10" t="s">
        <v>1282</v>
      </c>
      <c r="C614" s="10" t="n">
        <v>1</v>
      </c>
      <c r="D614" s="10"/>
      <c r="E614" s="6"/>
    </row>
    <row r="615" customFormat="false" ht="15" hidden="false" customHeight="true" outlineLevel="0" collapsed="false">
      <c r="A615" s="10" t="s">
        <v>530</v>
      </c>
      <c r="B615" s="10" t="s">
        <v>1283</v>
      </c>
      <c r="C615" s="10" t="n">
        <v>6</v>
      </c>
      <c r="D615" s="10"/>
      <c r="E615" s="6" t="s">
        <v>1284</v>
      </c>
    </row>
    <row r="616" customFormat="false" ht="15" hidden="false" customHeight="true" outlineLevel="0" collapsed="false">
      <c r="A616" s="10" t="s">
        <v>530</v>
      </c>
      <c r="B616" s="10" t="s">
        <v>1285</v>
      </c>
      <c r="C616" s="63" t="n">
        <v>117.82344</v>
      </c>
      <c r="D616" s="10"/>
      <c r="E616" s="6" t="s">
        <v>1560</v>
      </c>
    </row>
    <row r="617" customFormat="false" ht="15" hidden="false" customHeight="true" outlineLevel="0" collapsed="false">
      <c r="A617" s="10" t="s">
        <v>530</v>
      </c>
      <c r="B617" s="10" t="s">
        <v>1287</v>
      </c>
      <c r="C617" s="63" t="n">
        <v>907.6515</v>
      </c>
      <c r="D617" s="10"/>
      <c r="E617" s="6" t="s">
        <v>1560</v>
      </c>
    </row>
    <row r="618" customFormat="false" ht="15" hidden="false" customHeight="true" outlineLevel="0" collapsed="false">
      <c r="A618" s="10" t="s">
        <v>530</v>
      </c>
      <c r="B618" s="10" t="s">
        <v>1289</v>
      </c>
      <c r="C618" s="63" t="n">
        <v>0.1043</v>
      </c>
      <c r="D618" s="10"/>
      <c r="E618" s="6" t="s">
        <v>1561</v>
      </c>
    </row>
    <row r="619" customFormat="false" ht="15" hidden="false" customHeight="true" outlineLevel="0" collapsed="false">
      <c r="A619" s="10" t="s">
        <v>530</v>
      </c>
      <c r="B619" s="10" t="s">
        <v>216</v>
      </c>
      <c r="C619" s="63" t="n">
        <v>6.9700785</v>
      </c>
      <c r="D619" s="10"/>
      <c r="E619" s="6" t="s">
        <v>1562</v>
      </c>
    </row>
    <row r="620" customFormat="false" ht="15" hidden="false" customHeight="true" outlineLevel="0" collapsed="false">
      <c r="A620" s="10" t="s">
        <v>530</v>
      </c>
      <c r="B620" s="10" t="s">
        <v>1292</v>
      </c>
      <c r="C620" s="63" t="n">
        <v>176.25</v>
      </c>
      <c r="D620" s="10" t="s">
        <v>1301</v>
      </c>
      <c r="E620" s="6" t="s">
        <v>1516</v>
      </c>
    </row>
    <row r="621" customFormat="false" ht="15" hidden="false" customHeight="true" outlineLevel="0" collapsed="false">
      <c r="A621" s="10" t="s">
        <v>530</v>
      </c>
      <c r="B621" s="10" t="s">
        <v>1294</v>
      </c>
      <c r="C621" s="63" t="n">
        <v>0</v>
      </c>
      <c r="D621" s="10" t="s">
        <v>1301</v>
      </c>
      <c r="E621" s="6" t="s">
        <v>1517</v>
      </c>
    </row>
    <row r="622" customFormat="false" ht="15" hidden="false" customHeight="true" outlineLevel="0" collapsed="false">
      <c r="A622" s="10" t="s">
        <v>530</v>
      </c>
      <c r="B622" s="10" t="s">
        <v>1296</v>
      </c>
      <c r="C622" s="63" t="n">
        <v>176.25</v>
      </c>
      <c r="D622" s="10" t="s">
        <v>1301</v>
      </c>
      <c r="E622" s="6" t="s">
        <v>1518</v>
      </c>
    </row>
    <row r="623" customFormat="false" ht="15" hidden="false" customHeight="true" outlineLevel="0" collapsed="false">
      <c r="A623" s="10" t="s">
        <v>530</v>
      </c>
      <c r="B623" s="10" t="s">
        <v>1298</v>
      </c>
      <c r="C623" s="63" t="n">
        <v>0</v>
      </c>
      <c r="D623" s="10" t="s">
        <v>1301</v>
      </c>
      <c r="E623" s="6" t="s">
        <v>1517</v>
      </c>
    </row>
    <row r="624" customFormat="false" ht="15" hidden="false" customHeight="true" outlineLevel="0" collapsed="false">
      <c r="A624" s="10" t="s">
        <v>530</v>
      </c>
      <c r="B624" s="10" t="s">
        <v>1300</v>
      </c>
      <c r="C624" s="63" t="n">
        <v>1</v>
      </c>
      <c r="D624" s="10" t="s">
        <v>1301</v>
      </c>
      <c r="E624" s="6" t="s">
        <v>1519</v>
      </c>
    </row>
    <row r="625" customFormat="false" ht="15" hidden="false" customHeight="true" outlineLevel="0" collapsed="false">
      <c r="A625" s="10" t="s">
        <v>530</v>
      </c>
      <c r="B625" s="10" t="s">
        <v>1303</v>
      </c>
      <c r="C625" s="63" t="n">
        <v>0</v>
      </c>
      <c r="D625" s="10"/>
      <c r="E625" s="6" t="s">
        <v>1304</v>
      </c>
    </row>
    <row r="626" customFormat="false" ht="15" hidden="false" customHeight="true" outlineLevel="0" collapsed="false">
      <c r="A626" s="10" t="s">
        <v>530</v>
      </c>
      <c r="B626" s="10" t="s">
        <v>1305</v>
      </c>
      <c r="C626" s="63" t="n">
        <v>25.1174</v>
      </c>
      <c r="D626" s="10"/>
      <c r="E626" s="6" t="s">
        <v>1520</v>
      </c>
    </row>
    <row r="627" customFormat="false" ht="15" hidden="false" customHeight="true" outlineLevel="0" collapsed="false">
      <c r="A627" s="10" t="s">
        <v>530</v>
      </c>
      <c r="B627" s="10" t="s">
        <v>1307</v>
      </c>
      <c r="C627" s="63" t="n">
        <v>7.53522</v>
      </c>
      <c r="D627" s="10"/>
      <c r="E627" s="6" t="s">
        <v>1521</v>
      </c>
    </row>
    <row r="628" customFormat="false" ht="15" hidden="false" customHeight="true" outlineLevel="0" collapsed="false">
      <c r="A628" s="10" t="s">
        <v>530</v>
      </c>
      <c r="B628" s="10" t="s">
        <v>1309</v>
      </c>
      <c r="C628" s="63" t="n">
        <v>0</v>
      </c>
      <c r="D628" s="10"/>
      <c r="E628" s="6" t="s">
        <v>1522</v>
      </c>
    </row>
    <row r="629" customFormat="false" ht="15" hidden="false" customHeight="true" outlineLevel="0" collapsed="false">
      <c r="A629" s="10" t="s">
        <v>530</v>
      </c>
      <c r="B629" s="10" t="s">
        <v>1311</v>
      </c>
      <c r="C629" s="63" t="n">
        <v>0</v>
      </c>
      <c r="D629" s="10"/>
      <c r="E629" s="6" t="s">
        <v>1523</v>
      </c>
    </row>
    <row r="630" customFormat="false" ht="15" hidden="false" customHeight="true" outlineLevel="0" collapsed="false">
      <c r="A630" s="10" t="s">
        <v>530</v>
      </c>
      <c r="B630" s="10" t="s">
        <v>1313</v>
      </c>
      <c r="C630" s="63" t="n">
        <v>10.04696</v>
      </c>
      <c r="D630" s="10"/>
      <c r="E630" s="6" t="s">
        <v>1563</v>
      </c>
    </row>
    <row r="631" customFormat="false" ht="15" hidden="false" customHeight="true" outlineLevel="0" collapsed="false">
      <c r="A631" s="10" t="s">
        <v>530</v>
      </c>
      <c r="B631" s="10" t="s">
        <v>1315</v>
      </c>
      <c r="C631" s="63" t="n">
        <v>3.014088</v>
      </c>
      <c r="D631" s="10"/>
      <c r="E631" s="6" t="s">
        <v>1564</v>
      </c>
    </row>
    <row r="632" customFormat="false" ht="15" hidden="false" customHeight="true" outlineLevel="0" collapsed="false">
      <c r="A632" s="10" t="s">
        <v>530</v>
      </c>
      <c r="B632" s="10" t="s">
        <v>1316</v>
      </c>
      <c r="C632" s="63" t="n">
        <v>90</v>
      </c>
      <c r="D632" s="10"/>
      <c r="E632" s="6" t="s">
        <v>1526</v>
      </c>
    </row>
    <row r="633" customFormat="false" ht="15" hidden="false" customHeight="true" outlineLevel="0" collapsed="false">
      <c r="A633" s="10" t="s">
        <v>530</v>
      </c>
      <c r="B633" s="10" t="s">
        <v>1318</v>
      </c>
      <c r="C633" s="63" t="n">
        <v>0</v>
      </c>
      <c r="D633" s="10"/>
      <c r="E633" s="6" t="s">
        <v>1358</v>
      </c>
    </row>
    <row r="634" customFormat="false" ht="15" hidden="false" customHeight="true" outlineLevel="0" collapsed="false">
      <c r="A634" s="10" t="s">
        <v>530</v>
      </c>
      <c r="B634" s="10" t="s">
        <v>1320</v>
      </c>
      <c r="C634" s="63" t="n">
        <v>0</v>
      </c>
      <c r="D634" s="10"/>
      <c r="E634" s="6" t="s">
        <v>1321</v>
      </c>
    </row>
    <row r="635" customFormat="false" ht="15" hidden="false" customHeight="true" outlineLevel="0" collapsed="false">
      <c r="A635" s="10" t="s">
        <v>530</v>
      </c>
      <c r="B635" s="10" t="s">
        <v>1322</v>
      </c>
      <c r="C635" s="63" t="n">
        <v>0</v>
      </c>
      <c r="D635" s="10"/>
      <c r="E635" s="6" t="s">
        <v>1323</v>
      </c>
    </row>
    <row r="636" customFormat="false" ht="15" hidden="false" customHeight="true" outlineLevel="0" collapsed="false">
      <c r="A636" s="10" t="s">
        <v>530</v>
      </c>
      <c r="B636" s="10" t="s">
        <v>1324</v>
      </c>
      <c r="C636" s="63" t="n">
        <v>0</v>
      </c>
      <c r="D636" s="10" t="s">
        <v>1301</v>
      </c>
      <c r="E636" s="6" t="s">
        <v>1429</v>
      </c>
    </row>
    <row r="637" customFormat="false" ht="15" hidden="false" customHeight="true" outlineLevel="0" collapsed="false">
      <c r="A637" s="10" t="s">
        <v>530</v>
      </c>
      <c r="B637" s="10" t="s">
        <v>1326</v>
      </c>
      <c r="C637" s="63" t="n">
        <v>85.23</v>
      </c>
      <c r="D637" s="10"/>
      <c r="E637" s="6" t="s">
        <v>1565</v>
      </c>
    </row>
    <row r="638" customFormat="false" ht="15" hidden="false" customHeight="true" outlineLevel="0" collapsed="false">
      <c r="A638" s="10" t="s">
        <v>530</v>
      </c>
      <c r="B638" s="10" t="s">
        <v>1328</v>
      </c>
      <c r="C638" s="63" t="n">
        <v>490.931</v>
      </c>
      <c r="D638" s="10"/>
      <c r="E638" s="6" t="s">
        <v>1566</v>
      </c>
    </row>
    <row r="639" customFormat="false" ht="15" hidden="false" customHeight="true" outlineLevel="0" collapsed="false">
      <c r="A639" s="10" t="s">
        <v>530</v>
      </c>
      <c r="B639" s="10" t="s">
        <v>1330</v>
      </c>
      <c r="C639" s="63" t="n">
        <v>1.49</v>
      </c>
      <c r="D639" s="10"/>
      <c r="E639" s="6" t="s">
        <v>1566</v>
      </c>
    </row>
    <row r="640" customFormat="false" ht="15" hidden="false" customHeight="true" outlineLevel="0" collapsed="false">
      <c r="A640" s="10" t="s">
        <v>530</v>
      </c>
      <c r="B640" s="10" t="s">
        <v>1331</v>
      </c>
      <c r="C640" s="63" t="n">
        <v>581.3970246</v>
      </c>
      <c r="D640" s="10" t="s">
        <v>1301</v>
      </c>
      <c r="E640" s="6" t="s">
        <v>1545</v>
      </c>
    </row>
    <row r="641" customFormat="false" ht="15" hidden="false" customHeight="true" outlineLevel="0" collapsed="false">
      <c r="A641" s="10" t="s">
        <v>530</v>
      </c>
      <c r="B641" s="10" t="s">
        <v>1333</v>
      </c>
      <c r="C641" s="63" t="n">
        <v>1423.4110499</v>
      </c>
      <c r="D641" s="10"/>
      <c r="E641" s="6" t="s">
        <v>1567</v>
      </c>
    </row>
    <row r="642" customFormat="false" ht="15" hidden="false" customHeight="true" outlineLevel="0" collapsed="false">
      <c r="A642" s="10" t="s">
        <v>530</v>
      </c>
      <c r="B642" s="10" t="s">
        <v>1334</v>
      </c>
      <c r="C642" s="63" t="n">
        <v>28.3758118</v>
      </c>
      <c r="D642" s="10" t="s">
        <v>1301</v>
      </c>
      <c r="E642" s="6" t="s">
        <v>1568</v>
      </c>
    </row>
    <row r="643" customFormat="false" ht="15" hidden="false" customHeight="true" outlineLevel="0" collapsed="false">
      <c r="A643" s="10" t="s">
        <v>530</v>
      </c>
      <c r="B643" s="10" t="s">
        <v>1335</v>
      </c>
      <c r="C643" s="63" t="n">
        <v>503.1049471</v>
      </c>
      <c r="D643" s="10"/>
      <c r="E643" s="6" t="s">
        <v>1567</v>
      </c>
    </row>
    <row r="644" customFormat="false" ht="15" hidden="false" customHeight="true" outlineLevel="0" collapsed="false">
      <c r="A644" s="10" t="s">
        <v>530</v>
      </c>
      <c r="B644" s="10" t="s">
        <v>1336</v>
      </c>
      <c r="C644" s="63" t="n">
        <v>0.500007092097984</v>
      </c>
      <c r="D644" s="10" t="s">
        <v>1301</v>
      </c>
      <c r="E644" s="6" t="s">
        <v>1337</v>
      </c>
    </row>
    <row r="645" customFormat="false" ht="15" hidden="false" customHeight="true" outlineLevel="0" collapsed="false">
      <c r="A645" s="10" t="s">
        <v>530</v>
      </c>
      <c r="B645" s="10" t="s">
        <v>1338</v>
      </c>
      <c r="C645" s="63" t="n">
        <v>6.01</v>
      </c>
      <c r="D645" s="10"/>
      <c r="E645" s="6" t="s">
        <v>1339</v>
      </c>
    </row>
    <row r="646" customFormat="false" ht="15" hidden="false" customHeight="true" outlineLevel="0" collapsed="false">
      <c r="A646" s="10" t="s">
        <v>530</v>
      </c>
      <c r="B646" s="10" t="s">
        <v>1340</v>
      </c>
      <c r="C646" s="63" t="n">
        <v>19.32</v>
      </c>
      <c r="D646" s="10"/>
      <c r="E646" s="6" t="s">
        <v>1341</v>
      </c>
    </row>
    <row r="647" customFormat="false" ht="15" hidden="false" customHeight="true" outlineLevel="0" collapsed="false">
      <c r="A647" s="10" t="s">
        <v>530</v>
      </c>
      <c r="B647" s="10" t="s">
        <v>1342</v>
      </c>
      <c r="C647" s="63" t="n">
        <v>594.8257</v>
      </c>
      <c r="D647" s="10"/>
      <c r="E647" s="6" t="s">
        <v>1569</v>
      </c>
    </row>
    <row r="648" customFormat="false" ht="15" hidden="false" customHeight="true" outlineLevel="0" collapsed="false">
      <c r="A648" s="10" t="s">
        <v>530</v>
      </c>
      <c r="B648" s="10" t="s">
        <v>1343</v>
      </c>
      <c r="C648" s="10" t="s">
        <v>1570</v>
      </c>
      <c r="D648" s="10" t="s">
        <v>1301</v>
      </c>
      <c r="E648" s="6" t="s">
        <v>1460</v>
      </c>
    </row>
    <row r="649" customFormat="false" ht="15" hidden="false" customHeight="true" outlineLevel="0" collapsed="false">
      <c r="A649" s="10" t="s">
        <v>530</v>
      </c>
      <c r="B649" s="10" t="s">
        <v>1346</v>
      </c>
      <c r="C649" s="63" t="n">
        <v>446.9960751</v>
      </c>
      <c r="D649" s="10"/>
      <c r="E649" s="6" t="s">
        <v>1534</v>
      </c>
    </row>
    <row r="650" customFormat="false" ht="15" hidden="false" customHeight="true" outlineLevel="0" collapsed="false">
      <c r="A650" s="10" t="s">
        <v>530</v>
      </c>
      <c r="B650" s="10" t="s">
        <v>1348</v>
      </c>
      <c r="C650" s="63" t="n">
        <v>292.8638322</v>
      </c>
      <c r="D650" s="10"/>
      <c r="E650" s="6" t="s">
        <v>1535</v>
      </c>
    </row>
    <row r="651" customFormat="false" ht="15" hidden="false" customHeight="true" outlineLevel="0" collapsed="false">
      <c r="A651" s="10" t="s">
        <v>532</v>
      </c>
      <c r="B651" s="10" t="s">
        <v>1281</v>
      </c>
      <c r="C651" s="10" t="n">
        <v>1</v>
      </c>
      <c r="D651" s="10"/>
      <c r="E651" s="6"/>
    </row>
    <row r="652" customFormat="false" ht="15" hidden="false" customHeight="true" outlineLevel="0" collapsed="false">
      <c r="A652" s="10" t="s">
        <v>532</v>
      </c>
      <c r="B652" s="10" t="s">
        <v>1282</v>
      </c>
      <c r="C652" s="10" t="n">
        <v>1</v>
      </c>
      <c r="D652" s="10"/>
      <c r="E652" s="6"/>
    </row>
    <row r="653" customFormat="false" ht="15" hidden="false" customHeight="true" outlineLevel="0" collapsed="false">
      <c r="A653" s="10" t="s">
        <v>532</v>
      </c>
      <c r="B653" s="10" t="s">
        <v>1283</v>
      </c>
      <c r="C653" s="10" t="n">
        <v>5</v>
      </c>
      <c r="D653" s="10"/>
      <c r="E653" s="6" t="s">
        <v>1284</v>
      </c>
    </row>
    <row r="654" customFormat="false" ht="15" hidden="false" customHeight="true" outlineLevel="0" collapsed="false">
      <c r="A654" s="10" t="s">
        <v>532</v>
      </c>
      <c r="B654" s="10" t="s">
        <v>1285</v>
      </c>
      <c r="C654" s="63" t="n">
        <v>61.08095</v>
      </c>
      <c r="D654" s="10"/>
      <c r="E654" s="6" t="s">
        <v>1571</v>
      </c>
    </row>
    <row r="655" customFormat="false" ht="15" hidden="false" customHeight="true" outlineLevel="0" collapsed="false">
      <c r="A655" s="10" t="s">
        <v>532</v>
      </c>
      <c r="B655" s="10" t="s">
        <v>1287</v>
      </c>
      <c r="C655" s="63" t="n">
        <v>463.5302</v>
      </c>
      <c r="D655" s="10"/>
      <c r="E655" s="6" t="s">
        <v>1571</v>
      </c>
    </row>
    <row r="656" customFormat="false" ht="15" hidden="false" customHeight="true" outlineLevel="0" collapsed="false">
      <c r="A656" s="10" t="s">
        <v>532</v>
      </c>
      <c r="B656" s="10" t="s">
        <v>1289</v>
      </c>
      <c r="C656" s="63" t="n">
        <v>0.1026</v>
      </c>
      <c r="D656" s="10"/>
      <c r="E656" s="6" t="s">
        <v>1572</v>
      </c>
    </row>
    <row r="657" customFormat="false" ht="15" hidden="false" customHeight="true" outlineLevel="0" collapsed="false">
      <c r="A657" s="10" t="s">
        <v>532</v>
      </c>
      <c r="B657" s="10" t="s">
        <v>216</v>
      </c>
      <c r="C657" s="63" t="n">
        <v>3.3577397</v>
      </c>
      <c r="D657" s="10"/>
      <c r="E657" s="6" t="s">
        <v>1573</v>
      </c>
    </row>
    <row r="658" customFormat="false" ht="15" hidden="false" customHeight="true" outlineLevel="0" collapsed="false">
      <c r="A658" s="10" t="s">
        <v>532</v>
      </c>
      <c r="B658" s="10" t="s">
        <v>1292</v>
      </c>
      <c r="C658" s="63" t="n">
        <v>71.865</v>
      </c>
      <c r="D658" s="10" t="s">
        <v>1301</v>
      </c>
      <c r="E658" s="6" t="s">
        <v>1516</v>
      </c>
    </row>
    <row r="659" customFormat="false" ht="15" hidden="false" customHeight="true" outlineLevel="0" collapsed="false">
      <c r="A659" s="10" t="s">
        <v>532</v>
      </c>
      <c r="B659" s="10" t="s">
        <v>1294</v>
      </c>
      <c r="C659" s="63" t="n">
        <v>0</v>
      </c>
      <c r="D659" s="10" t="s">
        <v>1301</v>
      </c>
      <c r="E659" s="6" t="s">
        <v>1517</v>
      </c>
    </row>
    <row r="660" customFormat="false" ht="15" hidden="false" customHeight="true" outlineLevel="0" collapsed="false">
      <c r="A660" s="10" t="s">
        <v>532</v>
      </c>
      <c r="B660" s="10" t="s">
        <v>1296</v>
      </c>
      <c r="C660" s="63" t="n">
        <v>71.865</v>
      </c>
      <c r="D660" s="10" t="s">
        <v>1301</v>
      </c>
      <c r="E660" s="6" t="s">
        <v>1518</v>
      </c>
    </row>
    <row r="661" customFormat="false" ht="15" hidden="false" customHeight="true" outlineLevel="0" collapsed="false">
      <c r="A661" s="10" t="s">
        <v>532</v>
      </c>
      <c r="B661" s="10" t="s">
        <v>1298</v>
      </c>
      <c r="C661" s="63" t="n">
        <v>0</v>
      </c>
      <c r="D661" s="10" t="s">
        <v>1301</v>
      </c>
      <c r="E661" s="6" t="s">
        <v>1517</v>
      </c>
    </row>
    <row r="662" customFormat="false" ht="15" hidden="false" customHeight="true" outlineLevel="0" collapsed="false">
      <c r="A662" s="10" t="s">
        <v>532</v>
      </c>
      <c r="B662" s="10" t="s">
        <v>1300</v>
      </c>
      <c r="C662" s="63" t="n">
        <v>1</v>
      </c>
      <c r="D662" s="10" t="s">
        <v>1301</v>
      </c>
      <c r="E662" s="6" t="s">
        <v>1519</v>
      </c>
    </row>
    <row r="663" customFormat="false" ht="15" hidden="false" customHeight="true" outlineLevel="0" collapsed="false">
      <c r="A663" s="10" t="s">
        <v>532</v>
      </c>
      <c r="B663" s="10" t="s">
        <v>1303</v>
      </c>
      <c r="C663" s="63" t="n">
        <v>0</v>
      </c>
      <c r="D663" s="10"/>
      <c r="E663" s="6" t="s">
        <v>1304</v>
      </c>
    </row>
    <row r="664" customFormat="false" ht="15" hidden="false" customHeight="true" outlineLevel="0" collapsed="false">
      <c r="A664" s="10" t="s">
        <v>532</v>
      </c>
      <c r="B664" s="10" t="s">
        <v>1305</v>
      </c>
      <c r="C664" s="63" t="n">
        <v>12.5587</v>
      </c>
      <c r="D664" s="10"/>
      <c r="E664" s="6" t="s">
        <v>1520</v>
      </c>
    </row>
    <row r="665" customFormat="false" ht="15" hidden="false" customHeight="true" outlineLevel="0" collapsed="false">
      <c r="A665" s="10" t="s">
        <v>532</v>
      </c>
      <c r="B665" s="10" t="s">
        <v>1307</v>
      </c>
      <c r="C665" s="63" t="n">
        <v>3.76761</v>
      </c>
      <c r="D665" s="10"/>
      <c r="E665" s="6" t="s">
        <v>1521</v>
      </c>
    </row>
    <row r="666" customFormat="false" ht="15" hidden="false" customHeight="true" outlineLevel="0" collapsed="false">
      <c r="A666" s="10" t="s">
        <v>532</v>
      </c>
      <c r="B666" s="10" t="s">
        <v>1309</v>
      </c>
      <c r="C666" s="63" t="n">
        <v>3.4251</v>
      </c>
      <c r="D666" s="10"/>
      <c r="E666" s="6" t="s">
        <v>1522</v>
      </c>
    </row>
    <row r="667" customFormat="false" ht="15" hidden="false" customHeight="true" outlineLevel="0" collapsed="false">
      <c r="A667" s="10" t="s">
        <v>532</v>
      </c>
      <c r="B667" s="10" t="s">
        <v>1311</v>
      </c>
      <c r="C667" s="63" t="n">
        <v>0</v>
      </c>
      <c r="D667" s="10"/>
      <c r="E667" s="6" t="s">
        <v>1523</v>
      </c>
    </row>
    <row r="668" customFormat="false" ht="15" hidden="false" customHeight="true" outlineLevel="0" collapsed="false">
      <c r="A668" s="10" t="s">
        <v>532</v>
      </c>
      <c r="B668" s="10" t="s">
        <v>1313</v>
      </c>
      <c r="C668" s="63" t="n">
        <v>0</v>
      </c>
      <c r="D668" s="10"/>
      <c r="E668" s="6" t="s">
        <v>1314</v>
      </c>
    </row>
    <row r="669" customFormat="false" ht="15" hidden="false" customHeight="true" outlineLevel="0" collapsed="false">
      <c r="A669" s="10" t="s">
        <v>532</v>
      </c>
      <c r="B669" s="10" t="s">
        <v>1315</v>
      </c>
      <c r="C669" s="63" t="n">
        <v>0</v>
      </c>
      <c r="D669" s="10"/>
      <c r="E669" s="6" t="s">
        <v>1304</v>
      </c>
    </row>
    <row r="670" customFormat="false" ht="15" hidden="false" customHeight="true" outlineLevel="0" collapsed="false">
      <c r="A670" s="10" t="s">
        <v>532</v>
      </c>
      <c r="B670" s="10" t="s">
        <v>1316</v>
      </c>
      <c r="C670" s="63" t="n">
        <v>0</v>
      </c>
      <c r="D670" s="10"/>
      <c r="E670" s="6" t="s">
        <v>1317</v>
      </c>
    </row>
    <row r="671" customFormat="false" ht="15" hidden="false" customHeight="true" outlineLevel="0" collapsed="false">
      <c r="A671" s="10" t="s">
        <v>532</v>
      </c>
      <c r="B671" s="10" t="s">
        <v>1318</v>
      </c>
      <c r="C671" s="63" t="n">
        <v>0</v>
      </c>
      <c r="D671" s="10"/>
      <c r="E671" s="6" t="s">
        <v>1358</v>
      </c>
    </row>
    <row r="672" customFormat="false" ht="15" hidden="false" customHeight="true" outlineLevel="0" collapsed="false">
      <c r="A672" s="10" t="s">
        <v>532</v>
      </c>
      <c r="B672" s="10" t="s">
        <v>1320</v>
      </c>
      <c r="C672" s="63" t="n">
        <v>0</v>
      </c>
      <c r="D672" s="10"/>
      <c r="E672" s="6" t="s">
        <v>1321</v>
      </c>
    </row>
    <row r="673" customFormat="false" ht="15" hidden="false" customHeight="true" outlineLevel="0" collapsed="false">
      <c r="A673" s="10" t="s">
        <v>532</v>
      </c>
      <c r="B673" s="10" t="s">
        <v>1322</v>
      </c>
      <c r="C673" s="63" t="n">
        <v>0</v>
      </c>
      <c r="D673" s="10"/>
      <c r="E673" s="6" t="s">
        <v>1323</v>
      </c>
    </row>
    <row r="674" customFormat="false" ht="15" hidden="false" customHeight="true" outlineLevel="0" collapsed="false">
      <c r="A674" s="10" t="s">
        <v>532</v>
      </c>
      <c r="B674" s="10" t="s">
        <v>1324</v>
      </c>
      <c r="C674" s="63" t="n">
        <v>0</v>
      </c>
      <c r="D674" s="10" t="s">
        <v>1301</v>
      </c>
      <c r="E674" s="6" t="s">
        <v>1429</v>
      </c>
    </row>
    <row r="675" customFormat="false" ht="15" hidden="false" customHeight="true" outlineLevel="0" collapsed="false">
      <c r="A675" s="10" t="s">
        <v>532</v>
      </c>
      <c r="B675" s="10" t="s">
        <v>1326</v>
      </c>
      <c r="C675" s="63" t="n">
        <v>32.46</v>
      </c>
      <c r="D675" s="10"/>
      <c r="E675" s="6" t="s">
        <v>1574</v>
      </c>
    </row>
    <row r="676" customFormat="false" ht="15" hidden="false" customHeight="true" outlineLevel="0" collapsed="false">
      <c r="A676" s="10" t="s">
        <v>532</v>
      </c>
      <c r="B676" s="10" t="s">
        <v>1328</v>
      </c>
      <c r="C676" s="63" t="n">
        <v>300.2671</v>
      </c>
      <c r="D676" s="10" t="s">
        <v>1301</v>
      </c>
      <c r="E676" s="6" t="s">
        <v>1575</v>
      </c>
    </row>
    <row r="677" customFormat="false" ht="15" hidden="false" customHeight="true" outlineLevel="0" collapsed="false">
      <c r="A677" s="10" t="s">
        <v>532</v>
      </c>
      <c r="B677" s="10" t="s">
        <v>1330</v>
      </c>
      <c r="C677" s="63" t="n">
        <v>1.46</v>
      </c>
      <c r="D677" s="10"/>
      <c r="E677" s="6" t="s">
        <v>1576</v>
      </c>
    </row>
    <row r="678" customFormat="false" ht="15" hidden="false" customHeight="true" outlineLevel="0" collapsed="false">
      <c r="A678" s="10" t="s">
        <v>532</v>
      </c>
      <c r="B678" s="10" t="s">
        <v>1331</v>
      </c>
      <c r="C678" s="63" t="n">
        <v>275.14273563</v>
      </c>
      <c r="D678" s="10" t="s">
        <v>1301</v>
      </c>
      <c r="E678" s="6" t="s">
        <v>1530</v>
      </c>
    </row>
    <row r="679" customFormat="false" ht="15" hidden="false" customHeight="true" outlineLevel="0" collapsed="false">
      <c r="A679" s="10" t="s">
        <v>532</v>
      </c>
      <c r="B679" s="10" t="s">
        <v>1333</v>
      </c>
      <c r="C679" s="63" t="n">
        <v>611.4283014</v>
      </c>
      <c r="D679" s="10"/>
      <c r="E679" s="6" t="s">
        <v>1577</v>
      </c>
    </row>
    <row r="680" customFormat="false" ht="15" hidden="false" customHeight="true" outlineLevel="0" collapsed="false">
      <c r="A680" s="10" t="s">
        <v>532</v>
      </c>
      <c r="B680" s="10" t="s">
        <v>1334</v>
      </c>
      <c r="C680" s="63" t="n">
        <v>0</v>
      </c>
      <c r="D680" s="10" t="s">
        <v>1301</v>
      </c>
      <c r="E680" s="6" t="s">
        <v>1547</v>
      </c>
    </row>
    <row r="681" customFormat="false" ht="15" hidden="false" customHeight="true" outlineLevel="0" collapsed="false">
      <c r="A681" s="10" t="s">
        <v>532</v>
      </c>
      <c r="B681" s="10" t="s">
        <v>1335</v>
      </c>
      <c r="C681" s="63" t="n">
        <v>185.3823958</v>
      </c>
      <c r="D681" s="10"/>
      <c r="E681" s="6" t="s">
        <v>1578</v>
      </c>
    </row>
    <row r="682" customFormat="false" ht="15" hidden="false" customHeight="true" outlineLevel="0" collapsed="false">
      <c r="A682" s="10" t="s">
        <v>532</v>
      </c>
      <c r="B682" s="10" t="s">
        <v>1336</v>
      </c>
      <c r="C682" s="63" t="n">
        <v>0.53237246225924</v>
      </c>
      <c r="D682" s="10" t="s">
        <v>1301</v>
      </c>
      <c r="E682" s="6" t="s">
        <v>1337</v>
      </c>
    </row>
    <row r="683" customFormat="false" ht="15" hidden="false" customHeight="true" outlineLevel="0" collapsed="false">
      <c r="A683" s="10" t="s">
        <v>532</v>
      </c>
      <c r="B683" s="10" t="s">
        <v>1338</v>
      </c>
      <c r="C683" s="63" t="n">
        <v>3.8</v>
      </c>
      <c r="D683" s="10"/>
      <c r="E683" s="6" t="s">
        <v>1339</v>
      </c>
    </row>
    <row r="684" customFormat="false" ht="15" hidden="false" customHeight="true" outlineLevel="0" collapsed="false">
      <c r="A684" s="10" t="s">
        <v>532</v>
      </c>
      <c r="B684" s="10" t="s">
        <v>1340</v>
      </c>
      <c r="C684" s="63" t="n">
        <v>9.76</v>
      </c>
      <c r="D684" s="10"/>
      <c r="E684" s="6" t="s">
        <v>1341</v>
      </c>
    </row>
    <row r="685" customFormat="false" ht="15" hidden="false" customHeight="true" outlineLevel="0" collapsed="false">
      <c r="A685" s="10" t="s">
        <v>532</v>
      </c>
      <c r="B685" s="10" t="s">
        <v>1342</v>
      </c>
      <c r="C685" s="63" t="n">
        <v>363.0606</v>
      </c>
      <c r="D685" s="10"/>
      <c r="E685" s="6" t="s">
        <v>1578</v>
      </c>
    </row>
    <row r="686" customFormat="false" ht="15" hidden="false" customHeight="true" outlineLevel="0" collapsed="false">
      <c r="A686" s="10" t="s">
        <v>532</v>
      </c>
      <c r="B686" s="10" t="s">
        <v>1343</v>
      </c>
      <c r="C686" s="10" t="s">
        <v>1579</v>
      </c>
      <c r="D686" s="10" t="s">
        <v>1301</v>
      </c>
      <c r="E686" s="6" t="s">
        <v>1460</v>
      </c>
    </row>
    <row r="687" customFormat="false" ht="15" hidden="false" customHeight="true" outlineLevel="0" collapsed="false">
      <c r="A687" s="10" t="s">
        <v>532</v>
      </c>
      <c r="B687" s="10" t="s">
        <v>1346</v>
      </c>
      <c r="C687" s="63" t="n">
        <v>298.4697366</v>
      </c>
      <c r="D687" s="10"/>
      <c r="E687" s="6" t="s">
        <v>1534</v>
      </c>
    </row>
    <row r="688" customFormat="false" ht="15" hidden="false" customHeight="true" outlineLevel="0" collapsed="false">
      <c r="A688" s="10" t="s">
        <v>532</v>
      </c>
      <c r="B688" s="10" t="s">
        <v>1348</v>
      </c>
      <c r="C688" s="63" t="n">
        <v>265.2488313</v>
      </c>
      <c r="D688" s="10"/>
      <c r="E688" s="6" t="s">
        <v>1535</v>
      </c>
    </row>
    <row r="689" customFormat="false" ht="15" hidden="false" customHeight="true" outlineLevel="0" collapsed="false">
      <c r="A689" s="10" t="s">
        <v>534</v>
      </c>
      <c r="B689" s="10" t="s">
        <v>1281</v>
      </c>
      <c r="C689" s="10" t="n">
        <v>1</v>
      </c>
      <c r="D689" s="10"/>
      <c r="E689" s="6"/>
    </row>
    <row r="690" customFormat="false" ht="15" hidden="false" customHeight="true" outlineLevel="0" collapsed="false">
      <c r="A690" s="10" t="s">
        <v>534</v>
      </c>
      <c r="B690" s="10" t="s">
        <v>1282</v>
      </c>
      <c r="C690" s="10" t="n">
        <v>1</v>
      </c>
      <c r="D690" s="10"/>
      <c r="E690" s="6"/>
    </row>
    <row r="691" customFormat="false" ht="15" hidden="false" customHeight="true" outlineLevel="0" collapsed="false">
      <c r="A691" s="10" t="s">
        <v>534</v>
      </c>
      <c r="B691" s="10" t="s">
        <v>1283</v>
      </c>
      <c r="C691" s="10" t="n">
        <v>4</v>
      </c>
      <c r="D691" s="10"/>
      <c r="E691" s="6" t="s">
        <v>1284</v>
      </c>
    </row>
    <row r="692" customFormat="false" ht="15" hidden="false" customHeight="true" outlineLevel="0" collapsed="false">
      <c r="A692" s="10" t="s">
        <v>534</v>
      </c>
      <c r="B692" s="10" t="s">
        <v>1285</v>
      </c>
      <c r="C692" s="63" t="n">
        <v>72.464</v>
      </c>
      <c r="D692" s="10"/>
      <c r="E692" s="6" t="s">
        <v>1580</v>
      </c>
    </row>
    <row r="693" customFormat="false" ht="15" hidden="false" customHeight="true" outlineLevel="0" collapsed="false">
      <c r="A693" s="10" t="s">
        <v>534</v>
      </c>
      <c r="B693" s="10" t="s">
        <v>1287</v>
      </c>
      <c r="C693" s="63" t="n">
        <v>503.9</v>
      </c>
      <c r="D693" s="10"/>
      <c r="E693" s="6" t="s">
        <v>1580</v>
      </c>
    </row>
    <row r="694" customFormat="false" ht="15" hidden="false" customHeight="true" outlineLevel="0" collapsed="false">
      <c r="A694" s="10" t="s">
        <v>534</v>
      </c>
      <c r="B694" s="10" t="s">
        <v>1289</v>
      </c>
      <c r="C694" s="63" t="n">
        <v>0.1083</v>
      </c>
      <c r="D694" s="10"/>
      <c r="E694" s="6" t="s">
        <v>1581</v>
      </c>
    </row>
    <row r="695" customFormat="false" ht="15" hidden="false" customHeight="true" outlineLevel="0" collapsed="false">
      <c r="A695" s="10" t="s">
        <v>534</v>
      </c>
      <c r="B695" s="10" t="s">
        <v>216</v>
      </c>
      <c r="C695" s="63" t="n">
        <v>3.714</v>
      </c>
      <c r="D695" s="10"/>
      <c r="E695" s="6" t="s">
        <v>1582</v>
      </c>
    </row>
    <row r="696" customFormat="false" ht="15" hidden="false" customHeight="true" outlineLevel="0" collapsed="false">
      <c r="A696" s="10" t="s">
        <v>534</v>
      </c>
      <c r="B696" s="10" t="s">
        <v>1292</v>
      </c>
      <c r="C696" s="63" t="n">
        <v>30.925</v>
      </c>
      <c r="D696" s="10" t="s">
        <v>1301</v>
      </c>
      <c r="E696" s="6" t="s">
        <v>1516</v>
      </c>
    </row>
    <row r="697" customFormat="false" ht="15" hidden="false" customHeight="true" outlineLevel="0" collapsed="false">
      <c r="A697" s="10" t="s">
        <v>534</v>
      </c>
      <c r="B697" s="10" t="s">
        <v>1294</v>
      </c>
      <c r="C697" s="63" t="n">
        <v>0</v>
      </c>
      <c r="D697" s="10" t="s">
        <v>1301</v>
      </c>
      <c r="E697" s="6" t="s">
        <v>1517</v>
      </c>
    </row>
    <row r="698" customFormat="false" ht="15" hidden="false" customHeight="true" outlineLevel="0" collapsed="false">
      <c r="A698" s="10" t="s">
        <v>534</v>
      </c>
      <c r="B698" s="10" t="s">
        <v>1296</v>
      </c>
      <c r="C698" s="63" t="n">
        <v>30.925</v>
      </c>
      <c r="D698" s="10" t="s">
        <v>1301</v>
      </c>
      <c r="E698" s="6" t="s">
        <v>1518</v>
      </c>
    </row>
    <row r="699" customFormat="false" ht="15" hidden="false" customHeight="true" outlineLevel="0" collapsed="false">
      <c r="A699" s="10" t="s">
        <v>534</v>
      </c>
      <c r="B699" s="10" t="s">
        <v>1298</v>
      </c>
      <c r="C699" s="63" t="n">
        <v>0</v>
      </c>
      <c r="D699" s="10" t="s">
        <v>1301</v>
      </c>
      <c r="E699" s="6" t="s">
        <v>1517</v>
      </c>
    </row>
    <row r="700" customFormat="false" ht="15" hidden="false" customHeight="true" outlineLevel="0" collapsed="false">
      <c r="A700" s="10" t="s">
        <v>534</v>
      </c>
      <c r="B700" s="10" t="s">
        <v>1300</v>
      </c>
      <c r="C700" s="63" t="n">
        <v>1</v>
      </c>
      <c r="D700" s="10" t="s">
        <v>1301</v>
      </c>
      <c r="E700" s="6" t="s">
        <v>1519</v>
      </c>
    </row>
    <row r="701" customFormat="false" ht="15" hidden="false" customHeight="true" outlineLevel="0" collapsed="false">
      <c r="A701" s="10" t="s">
        <v>534</v>
      </c>
      <c r="B701" s="10" t="s">
        <v>1303</v>
      </c>
      <c r="C701" s="63" t="n">
        <v>0</v>
      </c>
      <c r="D701" s="10"/>
      <c r="E701" s="6" t="s">
        <v>1304</v>
      </c>
    </row>
    <row r="702" customFormat="false" ht="15" hidden="false" customHeight="true" outlineLevel="0" collapsed="false">
      <c r="A702" s="10" t="s">
        <v>534</v>
      </c>
      <c r="B702" s="10" t="s">
        <v>1305</v>
      </c>
      <c r="C702" s="63" t="n">
        <v>0</v>
      </c>
      <c r="D702" s="10" t="s">
        <v>1301</v>
      </c>
      <c r="E702" s="6" t="s">
        <v>1583</v>
      </c>
    </row>
    <row r="703" customFormat="false" ht="15" hidden="false" customHeight="true" outlineLevel="0" collapsed="false">
      <c r="A703" s="10" t="s">
        <v>534</v>
      </c>
      <c r="B703" s="10" t="s">
        <v>1307</v>
      </c>
      <c r="C703" s="63" t="n">
        <v>0</v>
      </c>
      <c r="D703" s="10" t="s">
        <v>1301</v>
      </c>
      <c r="E703" s="6" t="s">
        <v>1583</v>
      </c>
    </row>
    <row r="704" customFormat="false" ht="15" hidden="false" customHeight="true" outlineLevel="0" collapsed="false">
      <c r="A704" s="10" t="s">
        <v>534</v>
      </c>
      <c r="B704" s="10" t="s">
        <v>1309</v>
      </c>
      <c r="C704" s="63" t="n">
        <v>0</v>
      </c>
      <c r="D704" s="10" t="s">
        <v>1301</v>
      </c>
      <c r="E704" s="6" t="s">
        <v>1583</v>
      </c>
    </row>
    <row r="705" customFormat="false" ht="15" hidden="false" customHeight="true" outlineLevel="0" collapsed="false">
      <c r="A705" s="10" t="s">
        <v>534</v>
      </c>
      <c r="B705" s="10" t="s">
        <v>1311</v>
      </c>
      <c r="C705" s="63" t="n">
        <v>0</v>
      </c>
      <c r="D705" s="10" t="s">
        <v>1301</v>
      </c>
      <c r="E705" s="6" t="s">
        <v>1583</v>
      </c>
    </row>
    <row r="706" customFormat="false" ht="15" hidden="false" customHeight="true" outlineLevel="0" collapsed="false">
      <c r="A706" s="10" t="s">
        <v>534</v>
      </c>
      <c r="B706" s="10" t="s">
        <v>1313</v>
      </c>
      <c r="C706" s="63" t="n">
        <v>0</v>
      </c>
      <c r="D706" s="10"/>
      <c r="E706" s="6" t="s">
        <v>1314</v>
      </c>
    </row>
    <row r="707" customFormat="false" ht="15" hidden="false" customHeight="true" outlineLevel="0" collapsed="false">
      <c r="A707" s="10" t="s">
        <v>534</v>
      </c>
      <c r="B707" s="10" t="s">
        <v>1315</v>
      </c>
      <c r="C707" s="63" t="n">
        <v>0</v>
      </c>
      <c r="D707" s="10"/>
      <c r="E707" s="6" t="s">
        <v>1304</v>
      </c>
    </row>
    <row r="708" customFormat="false" ht="15" hidden="false" customHeight="true" outlineLevel="0" collapsed="false">
      <c r="A708" s="10" t="s">
        <v>534</v>
      </c>
      <c r="B708" s="10" t="s">
        <v>1316</v>
      </c>
      <c r="C708" s="63" t="n">
        <v>0</v>
      </c>
      <c r="D708" s="10"/>
      <c r="E708" s="6" t="s">
        <v>1486</v>
      </c>
    </row>
    <row r="709" customFormat="false" ht="15" hidden="false" customHeight="true" outlineLevel="0" collapsed="false">
      <c r="A709" s="10" t="s">
        <v>534</v>
      </c>
      <c r="B709" s="10" t="s">
        <v>1318</v>
      </c>
      <c r="C709" s="63" t="n">
        <v>0</v>
      </c>
      <c r="D709" s="10"/>
      <c r="E709" s="6" t="s">
        <v>1358</v>
      </c>
    </row>
    <row r="710" customFormat="false" ht="15" hidden="false" customHeight="true" outlineLevel="0" collapsed="false">
      <c r="A710" s="10" t="s">
        <v>534</v>
      </c>
      <c r="B710" s="10" t="s">
        <v>1320</v>
      </c>
      <c r="C710" s="63" t="n">
        <v>0</v>
      </c>
      <c r="D710" s="10"/>
      <c r="E710" s="6" t="s">
        <v>1321</v>
      </c>
    </row>
    <row r="711" customFormat="false" ht="15" hidden="false" customHeight="true" outlineLevel="0" collapsed="false">
      <c r="A711" s="10" t="s">
        <v>534</v>
      </c>
      <c r="B711" s="10" t="s">
        <v>1322</v>
      </c>
      <c r="C711" s="63" t="n">
        <v>0</v>
      </c>
      <c r="D711" s="10"/>
      <c r="E711" s="6" t="s">
        <v>1323</v>
      </c>
    </row>
    <row r="712" customFormat="false" ht="15" hidden="false" customHeight="true" outlineLevel="0" collapsed="false">
      <c r="A712" s="10" t="s">
        <v>534</v>
      </c>
      <c r="B712" s="10" t="s">
        <v>1324</v>
      </c>
      <c r="C712" s="63" t="n">
        <v>0</v>
      </c>
      <c r="D712" s="10" t="s">
        <v>1301</v>
      </c>
      <c r="E712" s="6" t="s">
        <v>1429</v>
      </c>
    </row>
    <row r="713" customFormat="false" ht="15" hidden="false" customHeight="true" outlineLevel="0" collapsed="false">
      <c r="A713" s="10" t="s">
        <v>534</v>
      </c>
      <c r="B713" s="10" t="s">
        <v>1326</v>
      </c>
      <c r="C713" s="63" t="n">
        <v>93.13</v>
      </c>
      <c r="D713" s="10"/>
      <c r="E713" s="6" t="s">
        <v>1584</v>
      </c>
    </row>
    <row r="714" customFormat="false" ht="15" hidden="false" customHeight="true" outlineLevel="0" collapsed="false">
      <c r="A714" s="10" t="s">
        <v>534</v>
      </c>
      <c r="B714" s="10" t="s">
        <v>1328</v>
      </c>
      <c r="C714" s="63" t="n">
        <v>341.8</v>
      </c>
      <c r="D714" s="10"/>
      <c r="E714" s="6" t="s">
        <v>1585</v>
      </c>
    </row>
    <row r="715" customFormat="false" ht="15" hidden="false" customHeight="true" outlineLevel="0" collapsed="false">
      <c r="A715" s="10" t="s">
        <v>534</v>
      </c>
      <c r="B715" s="10" t="s">
        <v>1330</v>
      </c>
      <c r="C715" s="63" t="n">
        <v>1.773</v>
      </c>
      <c r="D715" s="10"/>
      <c r="E715" s="6" t="s">
        <v>1585</v>
      </c>
    </row>
    <row r="716" customFormat="false" ht="15" hidden="false" customHeight="true" outlineLevel="0" collapsed="false">
      <c r="A716" s="10" t="s">
        <v>534</v>
      </c>
      <c r="B716" s="10" t="s">
        <v>1331</v>
      </c>
      <c r="C716" s="63" t="n">
        <v>365.4855</v>
      </c>
      <c r="D716" s="10" t="s">
        <v>1301</v>
      </c>
      <c r="E716" s="6" t="s">
        <v>1530</v>
      </c>
    </row>
    <row r="717" customFormat="false" ht="15" hidden="false" customHeight="true" outlineLevel="0" collapsed="false">
      <c r="A717" s="10" t="s">
        <v>534</v>
      </c>
      <c r="B717" s="10" t="s">
        <v>1333</v>
      </c>
      <c r="C717" s="63" t="n">
        <v>812.19</v>
      </c>
      <c r="D717" s="10"/>
      <c r="E717" s="6" t="s">
        <v>1586</v>
      </c>
    </row>
    <row r="718" customFormat="false" ht="15" hidden="false" customHeight="true" outlineLevel="0" collapsed="false">
      <c r="A718" s="10" t="s">
        <v>534</v>
      </c>
      <c r="B718" s="10" t="s">
        <v>1334</v>
      </c>
      <c r="C718" s="63" t="n">
        <v>44.031</v>
      </c>
      <c r="D718" s="10"/>
      <c r="E718" s="6" t="s">
        <v>1586</v>
      </c>
    </row>
    <row r="719" customFormat="false" ht="15" hidden="false" customHeight="true" outlineLevel="0" collapsed="false">
      <c r="A719" s="10" t="s">
        <v>534</v>
      </c>
      <c r="B719" s="10" t="s">
        <v>1335</v>
      </c>
      <c r="C719" s="63" t="n">
        <v>20.449</v>
      </c>
      <c r="D719" s="10"/>
      <c r="E719" s="6" t="s">
        <v>1586</v>
      </c>
    </row>
    <row r="720" customFormat="false" ht="15" hidden="false" customHeight="true" outlineLevel="0" collapsed="false">
      <c r="A720" s="10" t="s">
        <v>534</v>
      </c>
      <c r="B720" s="10" t="s">
        <v>1336</v>
      </c>
      <c r="C720" s="63" t="n">
        <v>0.8</v>
      </c>
      <c r="D720" s="10" t="s">
        <v>1301</v>
      </c>
      <c r="E720" s="6" t="s">
        <v>1337</v>
      </c>
    </row>
    <row r="721" customFormat="false" ht="15" hidden="false" customHeight="true" outlineLevel="0" collapsed="false">
      <c r="A721" s="10" t="s">
        <v>534</v>
      </c>
      <c r="B721" s="10" t="s">
        <v>1338</v>
      </c>
      <c r="C721" s="63" t="n">
        <v>6.29</v>
      </c>
      <c r="D721" s="10"/>
      <c r="E721" s="6" t="s">
        <v>1339</v>
      </c>
    </row>
    <row r="722" customFormat="false" ht="15" hidden="false" customHeight="true" outlineLevel="0" collapsed="false">
      <c r="A722" s="10" t="s">
        <v>534</v>
      </c>
      <c r="B722" s="10" t="s">
        <v>1340</v>
      </c>
      <c r="C722" s="63" t="n">
        <v>0.3</v>
      </c>
      <c r="D722" s="10"/>
      <c r="E722" s="6" t="s">
        <v>1341</v>
      </c>
    </row>
    <row r="723" customFormat="false" ht="15" hidden="false" customHeight="true" outlineLevel="0" collapsed="false">
      <c r="A723" s="10" t="s">
        <v>534</v>
      </c>
      <c r="B723" s="10" t="s">
        <v>1342</v>
      </c>
      <c r="C723" s="63" t="n">
        <v>170.9</v>
      </c>
      <c r="D723" s="10" t="s">
        <v>1301</v>
      </c>
      <c r="E723" s="6" t="s">
        <v>1419</v>
      </c>
    </row>
    <row r="724" customFormat="false" ht="15" hidden="false" customHeight="true" outlineLevel="0" collapsed="false">
      <c r="A724" s="10" t="s">
        <v>534</v>
      </c>
      <c r="B724" s="10" t="s">
        <v>1343</v>
      </c>
      <c r="C724" s="10" t="s">
        <v>1587</v>
      </c>
      <c r="D724" s="10" t="s">
        <v>1301</v>
      </c>
      <c r="E724" s="6" t="s">
        <v>1460</v>
      </c>
    </row>
    <row r="725" customFormat="false" ht="15" hidden="false" customHeight="true" outlineLevel="0" collapsed="false">
      <c r="A725" s="10" t="s">
        <v>534</v>
      </c>
      <c r="B725" s="10" t="s">
        <v>1346</v>
      </c>
      <c r="C725" s="63" t="n">
        <v>325.1808945</v>
      </c>
      <c r="D725" s="10"/>
      <c r="E725" s="6" t="s">
        <v>1534</v>
      </c>
    </row>
    <row r="726" customFormat="false" ht="15" hidden="false" customHeight="true" outlineLevel="0" collapsed="false">
      <c r="A726" s="10" t="s">
        <v>534</v>
      </c>
      <c r="B726" s="10" t="s">
        <v>1348</v>
      </c>
      <c r="C726" s="63" t="n">
        <v>467.5933065</v>
      </c>
      <c r="D726" s="10"/>
      <c r="E726" s="6" t="s">
        <v>1535</v>
      </c>
    </row>
    <row r="727" customFormat="false" ht="15" hidden="false" customHeight="true" outlineLevel="0" collapsed="false">
      <c r="A727" s="10" t="s">
        <v>535</v>
      </c>
      <c r="B727" s="10" t="s">
        <v>1281</v>
      </c>
      <c r="C727" s="10" t="n">
        <v>1</v>
      </c>
      <c r="D727" s="10"/>
      <c r="E727" s="6"/>
    </row>
    <row r="728" customFormat="false" ht="15" hidden="false" customHeight="true" outlineLevel="0" collapsed="false">
      <c r="A728" s="10" t="s">
        <v>535</v>
      </c>
      <c r="B728" s="10" t="s">
        <v>1282</v>
      </c>
      <c r="C728" s="10" t="n">
        <v>1</v>
      </c>
      <c r="D728" s="10"/>
      <c r="E728" s="6"/>
    </row>
    <row r="729" customFormat="false" ht="15" hidden="false" customHeight="true" outlineLevel="0" collapsed="false">
      <c r="A729" s="10" t="s">
        <v>535</v>
      </c>
      <c r="B729" s="10" t="s">
        <v>1283</v>
      </c>
      <c r="C729" s="10" t="n">
        <v>4</v>
      </c>
      <c r="D729" s="10"/>
      <c r="E729" s="6" t="s">
        <v>1284</v>
      </c>
    </row>
    <row r="730" customFormat="false" ht="15" hidden="false" customHeight="true" outlineLevel="0" collapsed="false">
      <c r="A730" s="10" t="s">
        <v>535</v>
      </c>
      <c r="B730" s="10" t="s">
        <v>1285</v>
      </c>
      <c r="C730" s="63" t="n">
        <v>99.6377836541418</v>
      </c>
      <c r="D730" s="10"/>
      <c r="E730" s="6" t="s">
        <v>1588</v>
      </c>
    </row>
    <row r="731" customFormat="false" ht="15" hidden="false" customHeight="true" outlineLevel="0" collapsed="false">
      <c r="A731" s="10" t="s">
        <v>535</v>
      </c>
      <c r="B731" s="10" t="s">
        <v>1287</v>
      </c>
      <c r="C731" s="63" t="n">
        <v>768.837709857942</v>
      </c>
      <c r="D731" s="10"/>
      <c r="E731" s="6" t="s">
        <v>1588</v>
      </c>
    </row>
    <row r="732" customFormat="false" ht="15" hidden="false" customHeight="true" outlineLevel="0" collapsed="false">
      <c r="A732" s="10" t="s">
        <v>535</v>
      </c>
      <c r="B732" s="10" t="s">
        <v>1289</v>
      </c>
      <c r="C732" s="63" t="n">
        <v>0.0869</v>
      </c>
      <c r="D732" s="10"/>
      <c r="E732" s="6" t="s">
        <v>1589</v>
      </c>
    </row>
    <row r="733" customFormat="false" ht="15" hidden="false" customHeight="true" outlineLevel="0" collapsed="false">
      <c r="A733" s="10" t="s">
        <v>535</v>
      </c>
      <c r="B733" s="10" t="s">
        <v>216</v>
      </c>
      <c r="C733" s="63" t="n">
        <v>5.01137691408892</v>
      </c>
      <c r="D733" s="10"/>
      <c r="E733" s="6" t="s">
        <v>1590</v>
      </c>
    </row>
    <row r="734" customFormat="false" ht="15" hidden="false" customHeight="true" outlineLevel="0" collapsed="false">
      <c r="A734" s="10" t="s">
        <v>535</v>
      </c>
      <c r="B734" s="10" t="s">
        <v>1292</v>
      </c>
      <c r="C734" s="63" t="n">
        <v>229.915</v>
      </c>
      <c r="D734" s="10" t="s">
        <v>1301</v>
      </c>
      <c r="E734" s="6" t="s">
        <v>1516</v>
      </c>
    </row>
    <row r="735" customFormat="false" ht="15" hidden="false" customHeight="true" outlineLevel="0" collapsed="false">
      <c r="A735" s="10" t="s">
        <v>535</v>
      </c>
      <c r="B735" s="10" t="s">
        <v>1294</v>
      </c>
      <c r="C735" s="63" t="n">
        <v>-2.87313203370026</v>
      </c>
      <c r="D735" s="10"/>
      <c r="E735" s="6" t="s">
        <v>1591</v>
      </c>
    </row>
    <row r="736" customFormat="false" ht="15" hidden="false" customHeight="true" outlineLevel="0" collapsed="false">
      <c r="A736" s="10" t="s">
        <v>535</v>
      </c>
      <c r="B736" s="10" t="s">
        <v>1296</v>
      </c>
      <c r="C736" s="63" t="n">
        <v>229.915</v>
      </c>
      <c r="D736" s="10" t="s">
        <v>1301</v>
      </c>
      <c r="E736" s="6" t="s">
        <v>1518</v>
      </c>
    </row>
    <row r="737" customFormat="false" ht="15" hidden="false" customHeight="true" outlineLevel="0" collapsed="false">
      <c r="A737" s="10" t="s">
        <v>535</v>
      </c>
      <c r="B737" s="10" t="s">
        <v>1298</v>
      </c>
      <c r="C737" s="63" t="n">
        <v>-7.73015189717729</v>
      </c>
      <c r="D737" s="10"/>
      <c r="E737" s="6" t="s">
        <v>1592</v>
      </c>
    </row>
    <row r="738" customFormat="false" ht="15" hidden="false" customHeight="true" outlineLevel="0" collapsed="false">
      <c r="A738" s="10" t="s">
        <v>535</v>
      </c>
      <c r="B738" s="10" t="s">
        <v>1300</v>
      </c>
      <c r="C738" s="63" t="n">
        <v>1</v>
      </c>
      <c r="D738" s="10" t="s">
        <v>1301</v>
      </c>
      <c r="E738" s="6" t="s">
        <v>1519</v>
      </c>
    </row>
    <row r="739" customFormat="false" ht="15" hidden="false" customHeight="true" outlineLevel="0" collapsed="false">
      <c r="A739" s="10" t="s">
        <v>535</v>
      </c>
      <c r="B739" s="10" t="s">
        <v>1303</v>
      </c>
      <c r="C739" s="63" t="n">
        <v>26.1360740421868</v>
      </c>
      <c r="D739" s="10"/>
      <c r="E739" s="6" t="s">
        <v>1593</v>
      </c>
    </row>
    <row r="740" customFormat="false" ht="15" hidden="false" customHeight="true" outlineLevel="0" collapsed="false">
      <c r="A740" s="10" t="s">
        <v>535</v>
      </c>
      <c r="B740" s="10" t="s">
        <v>1305</v>
      </c>
      <c r="C740" s="63" t="n">
        <v>26.4436381526351</v>
      </c>
      <c r="D740" s="10" t="s">
        <v>1301</v>
      </c>
      <c r="E740" s="6" t="s">
        <v>1594</v>
      </c>
    </row>
    <row r="741" customFormat="false" ht="15" hidden="false" customHeight="true" outlineLevel="0" collapsed="false">
      <c r="A741" s="10" t="s">
        <v>535</v>
      </c>
      <c r="B741" s="10" t="s">
        <v>1307</v>
      </c>
      <c r="C741" s="63" t="n">
        <v>13.2218190763176</v>
      </c>
      <c r="D741" s="10" t="s">
        <v>1301</v>
      </c>
      <c r="E741" s="6" t="s">
        <v>1594</v>
      </c>
    </row>
    <row r="742" customFormat="false" ht="15" hidden="false" customHeight="true" outlineLevel="0" collapsed="false">
      <c r="A742" s="10" t="s">
        <v>535</v>
      </c>
      <c r="B742" s="10" t="s">
        <v>1309</v>
      </c>
      <c r="C742" s="63" t="n">
        <v>26.4436381526351</v>
      </c>
      <c r="D742" s="10" t="s">
        <v>1301</v>
      </c>
      <c r="E742" s="6" t="s">
        <v>1594</v>
      </c>
    </row>
    <row r="743" customFormat="false" ht="15" hidden="false" customHeight="true" outlineLevel="0" collapsed="false">
      <c r="A743" s="10" t="s">
        <v>535</v>
      </c>
      <c r="B743" s="10" t="s">
        <v>1311</v>
      </c>
      <c r="C743" s="63" t="n">
        <v>13.2218190763176</v>
      </c>
      <c r="D743" s="10" t="s">
        <v>1301</v>
      </c>
      <c r="E743" s="6" t="s">
        <v>1594</v>
      </c>
    </row>
    <row r="744" customFormat="false" ht="15" hidden="false" customHeight="true" outlineLevel="0" collapsed="false">
      <c r="A744" s="10" t="s">
        <v>535</v>
      </c>
      <c r="B744" s="10" t="s">
        <v>1313</v>
      </c>
      <c r="C744" s="63" t="n">
        <v>0</v>
      </c>
      <c r="D744" s="10"/>
      <c r="E744" s="6" t="s">
        <v>1314</v>
      </c>
    </row>
    <row r="745" customFormat="false" ht="15" hidden="false" customHeight="true" outlineLevel="0" collapsed="false">
      <c r="A745" s="10" t="s">
        <v>535</v>
      </c>
      <c r="B745" s="10" t="s">
        <v>1315</v>
      </c>
      <c r="C745" s="63" t="n">
        <v>0</v>
      </c>
      <c r="D745" s="10"/>
      <c r="E745" s="6" t="s">
        <v>1304</v>
      </c>
    </row>
    <row r="746" customFormat="false" ht="15" hidden="false" customHeight="true" outlineLevel="0" collapsed="false">
      <c r="A746" s="10" t="s">
        <v>535</v>
      </c>
      <c r="B746" s="10" t="s">
        <v>1316</v>
      </c>
      <c r="C746" s="63" t="n">
        <v>0</v>
      </c>
      <c r="D746" s="10"/>
      <c r="E746" s="6" t="s">
        <v>1317</v>
      </c>
    </row>
    <row r="747" customFormat="false" ht="15" hidden="false" customHeight="true" outlineLevel="0" collapsed="false">
      <c r="A747" s="10" t="s">
        <v>535</v>
      </c>
      <c r="B747" s="10" t="s">
        <v>1318</v>
      </c>
      <c r="C747" s="63" t="n">
        <v>0</v>
      </c>
      <c r="D747" s="10"/>
      <c r="E747" s="6" t="s">
        <v>1358</v>
      </c>
    </row>
    <row r="748" customFormat="false" ht="15" hidden="false" customHeight="true" outlineLevel="0" collapsed="false">
      <c r="A748" s="10" t="s">
        <v>535</v>
      </c>
      <c r="B748" s="10" t="s">
        <v>1320</v>
      </c>
      <c r="C748" s="63" t="n">
        <v>0</v>
      </c>
      <c r="D748" s="10"/>
      <c r="E748" s="6" t="s">
        <v>1321</v>
      </c>
    </row>
    <row r="749" customFormat="false" ht="15" hidden="false" customHeight="true" outlineLevel="0" collapsed="false">
      <c r="A749" s="10" t="s">
        <v>535</v>
      </c>
      <c r="B749" s="10" t="s">
        <v>1322</v>
      </c>
      <c r="C749" s="63" t="n">
        <v>0</v>
      </c>
      <c r="D749" s="10"/>
      <c r="E749" s="6" t="s">
        <v>1323</v>
      </c>
    </row>
    <row r="750" customFormat="false" ht="15" hidden="false" customHeight="true" outlineLevel="0" collapsed="false">
      <c r="A750" s="10" t="s">
        <v>535</v>
      </c>
      <c r="B750" s="10" t="s">
        <v>1324</v>
      </c>
      <c r="C750" s="63" t="n">
        <v>0</v>
      </c>
      <c r="D750" s="10" t="s">
        <v>1301</v>
      </c>
      <c r="E750" s="6" t="s">
        <v>1429</v>
      </c>
    </row>
    <row r="751" customFormat="false" ht="15" hidden="false" customHeight="true" outlineLevel="0" collapsed="false">
      <c r="A751" s="10" t="s">
        <v>535</v>
      </c>
      <c r="B751" s="10" t="s">
        <v>1326</v>
      </c>
      <c r="C751" s="63" t="n">
        <v>95.94</v>
      </c>
      <c r="D751" s="10"/>
      <c r="E751" s="6" t="s">
        <v>1595</v>
      </c>
    </row>
    <row r="752" customFormat="false" ht="15" hidden="false" customHeight="true" outlineLevel="0" collapsed="false">
      <c r="A752" s="10" t="s">
        <v>535</v>
      </c>
      <c r="B752" s="10" t="s">
        <v>1328</v>
      </c>
      <c r="C752" s="63" t="n">
        <v>759.072332574872</v>
      </c>
      <c r="D752" s="10"/>
      <c r="E752" s="6" t="s">
        <v>1596</v>
      </c>
    </row>
    <row r="753" customFormat="false" ht="15" hidden="false" customHeight="true" outlineLevel="0" collapsed="false">
      <c r="A753" s="10" t="s">
        <v>535</v>
      </c>
      <c r="B753" s="10" t="s">
        <v>1330</v>
      </c>
      <c r="C753" s="63" t="n">
        <v>1.404</v>
      </c>
      <c r="D753" s="10"/>
      <c r="E753" s="6" t="s">
        <v>1596</v>
      </c>
    </row>
    <row r="754" customFormat="false" ht="15" hidden="false" customHeight="true" outlineLevel="0" collapsed="false">
      <c r="A754" s="10" t="s">
        <v>535</v>
      </c>
      <c r="B754" s="10" t="s">
        <v>1331</v>
      </c>
      <c r="C754" s="63" t="n">
        <v>760.753600639567</v>
      </c>
      <c r="D754" s="10" t="s">
        <v>1301</v>
      </c>
      <c r="E754" s="6" t="s">
        <v>1545</v>
      </c>
    </row>
    <row r="755" customFormat="false" ht="15" hidden="false" customHeight="true" outlineLevel="0" collapsed="false">
      <c r="A755" s="10" t="s">
        <v>535</v>
      </c>
      <c r="B755" s="10" t="s">
        <v>1333</v>
      </c>
      <c r="C755" s="63" t="n">
        <v>1603.56275751799</v>
      </c>
      <c r="D755" s="10"/>
      <c r="E755" s="6" t="s">
        <v>1597</v>
      </c>
    </row>
    <row r="756" customFormat="false" ht="15" hidden="false" customHeight="true" outlineLevel="0" collapsed="false">
      <c r="A756" s="10" t="s">
        <v>535</v>
      </c>
      <c r="B756" s="10" t="s">
        <v>1334</v>
      </c>
      <c r="C756" s="63" t="n">
        <v>111.414716192116</v>
      </c>
      <c r="D756" s="10"/>
      <c r="E756" s="6" t="s">
        <v>1598</v>
      </c>
    </row>
    <row r="757" customFormat="false" ht="15" hidden="false" customHeight="true" outlineLevel="0" collapsed="false">
      <c r="A757" s="10" t="s">
        <v>535</v>
      </c>
      <c r="B757" s="10" t="s">
        <v>1335</v>
      </c>
      <c r="C757" s="63" t="n">
        <v>250.711512207121</v>
      </c>
      <c r="D757" s="10"/>
      <c r="E757" s="6" t="s">
        <v>1598</v>
      </c>
    </row>
    <row r="758" customFormat="false" ht="15" hidden="false" customHeight="true" outlineLevel="0" collapsed="false">
      <c r="A758" s="10" t="s">
        <v>535</v>
      </c>
      <c r="B758" s="10" t="s">
        <v>1336</v>
      </c>
      <c r="C758" s="63" t="n">
        <v>0.233271638904174</v>
      </c>
      <c r="D758" s="10" t="s">
        <v>1301</v>
      </c>
      <c r="E758" s="6" t="s">
        <v>1337</v>
      </c>
    </row>
    <row r="759" customFormat="false" ht="15" hidden="false" customHeight="true" outlineLevel="0" collapsed="false">
      <c r="A759" s="10" t="s">
        <v>535</v>
      </c>
      <c r="B759" s="10" t="s">
        <v>1338</v>
      </c>
      <c r="C759" s="63" t="n">
        <v>32.9</v>
      </c>
      <c r="D759" s="10"/>
      <c r="E759" s="6" t="s">
        <v>1339</v>
      </c>
    </row>
    <row r="760" customFormat="false" ht="15" hidden="false" customHeight="true" outlineLevel="0" collapsed="false">
      <c r="A760" s="10" t="s">
        <v>535</v>
      </c>
      <c r="B760" s="10" t="s">
        <v>1340</v>
      </c>
      <c r="C760" s="63" t="n">
        <v>2.79</v>
      </c>
      <c r="D760" s="10"/>
      <c r="E760" s="6" t="s">
        <v>1341</v>
      </c>
    </row>
    <row r="761" customFormat="false" ht="15" hidden="false" customHeight="true" outlineLevel="0" collapsed="false">
      <c r="A761" s="10" t="s">
        <v>535</v>
      </c>
      <c r="B761" s="10" t="s">
        <v>1342</v>
      </c>
      <c r="C761" s="63" t="n">
        <v>379.536166287436</v>
      </c>
      <c r="D761" s="10" t="s">
        <v>1301</v>
      </c>
      <c r="E761" s="6" t="s">
        <v>1419</v>
      </c>
    </row>
    <row r="762" customFormat="false" ht="15" hidden="false" customHeight="true" outlineLevel="0" collapsed="false">
      <c r="A762" s="10" t="s">
        <v>535</v>
      </c>
      <c r="B762" s="10" t="s">
        <v>1343</v>
      </c>
      <c r="C762" s="10" t="s">
        <v>1599</v>
      </c>
      <c r="D762" s="10" t="s">
        <v>1301</v>
      </c>
      <c r="E762" s="6" t="s">
        <v>1393</v>
      </c>
    </row>
    <row r="763" customFormat="false" ht="15" hidden="false" customHeight="true" outlineLevel="0" collapsed="false">
      <c r="A763" s="10" t="s">
        <v>535</v>
      </c>
      <c r="B763" s="10" t="s">
        <v>1346</v>
      </c>
      <c r="C763" s="63" t="n">
        <v>336.4706208</v>
      </c>
      <c r="D763" s="10"/>
      <c r="E763" s="6" t="s">
        <v>1600</v>
      </c>
    </row>
    <row r="764" customFormat="false" ht="15" hidden="false" customHeight="true" outlineLevel="0" collapsed="false">
      <c r="A764" s="10" t="s">
        <v>535</v>
      </c>
      <c r="B764" s="10" t="s">
        <v>1348</v>
      </c>
      <c r="C764" s="63" t="n">
        <v>227.1918465</v>
      </c>
      <c r="D764" s="10"/>
      <c r="E764" s="6" t="s">
        <v>1601</v>
      </c>
    </row>
    <row r="765" customFormat="false" ht="15" hidden="false" customHeight="true" outlineLevel="0" collapsed="false">
      <c r="A765" s="10" t="s">
        <v>537</v>
      </c>
      <c r="B765" s="10" t="s">
        <v>1281</v>
      </c>
      <c r="C765" s="10" t="n">
        <v>1</v>
      </c>
      <c r="D765" s="10"/>
      <c r="E765" s="6"/>
    </row>
    <row r="766" customFormat="false" ht="15" hidden="false" customHeight="true" outlineLevel="0" collapsed="false">
      <c r="A766" s="10" t="s">
        <v>537</v>
      </c>
      <c r="B766" s="10" t="s">
        <v>1282</v>
      </c>
      <c r="C766" s="10" t="n">
        <v>1</v>
      </c>
      <c r="D766" s="10"/>
      <c r="E766" s="6"/>
    </row>
    <row r="767" customFormat="false" ht="15" hidden="false" customHeight="true" outlineLevel="0" collapsed="false">
      <c r="A767" s="10" t="s">
        <v>537</v>
      </c>
      <c r="B767" s="10" t="s">
        <v>1283</v>
      </c>
      <c r="C767" s="10" t="n">
        <v>4</v>
      </c>
      <c r="D767" s="10"/>
      <c r="E767" s="6" t="s">
        <v>1284</v>
      </c>
    </row>
    <row r="768" customFormat="false" ht="15" hidden="false" customHeight="true" outlineLevel="0" collapsed="false">
      <c r="A768" s="10" t="s">
        <v>537</v>
      </c>
      <c r="B768" s="10" t="s">
        <v>1285</v>
      </c>
      <c r="C768" s="63" t="n">
        <v>79.3379312465408</v>
      </c>
      <c r="D768" s="10"/>
      <c r="E768" s="6" t="s">
        <v>1602</v>
      </c>
    </row>
    <row r="769" customFormat="false" ht="15" hidden="false" customHeight="true" outlineLevel="0" collapsed="false">
      <c r="A769" s="10" t="s">
        <v>537</v>
      </c>
      <c r="B769" s="10" t="s">
        <v>1287</v>
      </c>
      <c r="C769" s="63" t="n">
        <v>628.056085111617</v>
      </c>
      <c r="D769" s="10"/>
      <c r="E769" s="6" t="s">
        <v>1602</v>
      </c>
    </row>
    <row r="770" customFormat="false" ht="15" hidden="false" customHeight="true" outlineLevel="0" collapsed="false">
      <c r="A770" s="10" t="s">
        <v>537</v>
      </c>
      <c r="B770" s="10" t="s">
        <v>1289</v>
      </c>
      <c r="C770" s="63" t="n">
        <v>0.0817</v>
      </c>
      <c r="D770" s="10"/>
      <c r="E770" s="6" t="s">
        <v>1603</v>
      </c>
    </row>
    <row r="771" customFormat="false" ht="15" hidden="false" customHeight="true" outlineLevel="0" collapsed="false">
      <c r="A771" s="10" t="s">
        <v>537</v>
      </c>
      <c r="B771" s="10" t="s">
        <v>216</v>
      </c>
      <c r="C771" s="63" t="n">
        <v>4.44191624131357</v>
      </c>
      <c r="D771" s="10"/>
      <c r="E771" s="6" t="s">
        <v>1604</v>
      </c>
    </row>
    <row r="772" customFormat="false" ht="15" hidden="false" customHeight="true" outlineLevel="0" collapsed="false">
      <c r="A772" s="10" t="s">
        <v>537</v>
      </c>
      <c r="B772" s="10" t="s">
        <v>1292</v>
      </c>
      <c r="C772" s="63" t="n">
        <v>100.925</v>
      </c>
      <c r="D772" s="10" t="s">
        <v>1301</v>
      </c>
      <c r="E772" s="6" t="s">
        <v>1516</v>
      </c>
    </row>
    <row r="773" customFormat="false" ht="15" hidden="false" customHeight="true" outlineLevel="0" collapsed="false">
      <c r="A773" s="10" t="s">
        <v>537</v>
      </c>
      <c r="B773" s="10" t="s">
        <v>1294</v>
      </c>
      <c r="C773" s="63" t="n">
        <v>-1.96236393825718</v>
      </c>
      <c r="D773" s="10"/>
      <c r="E773" s="6" t="s">
        <v>1605</v>
      </c>
    </row>
    <row r="774" customFormat="false" ht="15" hidden="false" customHeight="true" outlineLevel="0" collapsed="false">
      <c r="A774" s="10" t="s">
        <v>537</v>
      </c>
      <c r="B774" s="10" t="s">
        <v>1296</v>
      </c>
      <c r="C774" s="63" t="n">
        <v>100.925</v>
      </c>
      <c r="D774" s="10" t="s">
        <v>1301</v>
      </c>
      <c r="E774" s="6" t="s">
        <v>1518</v>
      </c>
    </row>
    <row r="775" customFormat="false" ht="15" hidden="false" customHeight="true" outlineLevel="0" collapsed="false">
      <c r="A775" s="10" t="s">
        <v>537</v>
      </c>
      <c r="B775" s="10" t="s">
        <v>1298</v>
      </c>
      <c r="C775" s="63" t="n">
        <v>-1.65118996371687</v>
      </c>
      <c r="D775" s="10"/>
      <c r="E775" s="6" t="s">
        <v>1606</v>
      </c>
    </row>
    <row r="776" customFormat="false" ht="15" hidden="false" customHeight="true" outlineLevel="0" collapsed="false">
      <c r="A776" s="10" t="s">
        <v>537</v>
      </c>
      <c r="B776" s="10" t="s">
        <v>1300</v>
      </c>
      <c r="C776" s="63" t="n">
        <v>1</v>
      </c>
      <c r="D776" s="10" t="s">
        <v>1301</v>
      </c>
      <c r="E776" s="6" t="s">
        <v>1519</v>
      </c>
    </row>
    <row r="777" customFormat="false" ht="15" hidden="false" customHeight="true" outlineLevel="0" collapsed="false">
      <c r="A777" s="10" t="s">
        <v>537</v>
      </c>
      <c r="B777" s="10" t="s">
        <v>1303</v>
      </c>
      <c r="C777" s="63" t="n">
        <v>24.6841707152082</v>
      </c>
      <c r="D777" s="10"/>
      <c r="E777" s="6" t="s">
        <v>1607</v>
      </c>
    </row>
    <row r="778" customFormat="false" ht="15" hidden="false" customHeight="true" outlineLevel="0" collapsed="false">
      <c r="A778" s="10" t="s">
        <v>537</v>
      </c>
      <c r="B778" s="10" t="s">
        <v>1305</v>
      </c>
      <c r="C778" s="63" t="n">
        <v>8.36356927618228</v>
      </c>
      <c r="D778" s="10" t="s">
        <v>1301</v>
      </c>
      <c r="E778" s="6" t="s">
        <v>1608</v>
      </c>
    </row>
    <row r="779" customFormat="false" ht="15" hidden="false" customHeight="true" outlineLevel="0" collapsed="false">
      <c r="A779" s="10" t="s">
        <v>537</v>
      </c>
      <c r="B779" s="10" t="s">
        <v>1307</v>
      </c>
      <c r="C779" s="63" t="n">
        <v>2.09089231904557</v>
      </c>
      <c r="D779" s="10" t="s">
        <v>1301</v>
      </c>
      <c r="E779" s="6" t="s">
        <v>1608</v>
      </c>
    </row>
    <row r="780" customFormat="false" ht="15" hidden="false" customHeight="true" outlineLevel="0" collapsed="false">
      <c r="A780" s="10" t="s">
        <v>537</v>
      </c>
      <c r="B780" s="10" t="s">
        <v>1309</v>
      </c>
      <c r="C780" s="63" t="n">
        <v>8.36356927618228</v>
      </c>
      <c r="D780" s="10" t="s">
        <v>1301</v>
      </c>
      <c r="E780" s="6" t="s">
        <v>1608</v>
      </c>
    </row>
    <row r="781" customFormat="false" ht="15" hidden="false" customHeight="true" outlineLevel="0" collapsed="false">
      <c r="A781" s="10" t="s">
        <v>537</v>
      </c>
      <c r="B781" s="10" t="s">
        <v>1311</v>
      </c>
      <c r="C781" s="63" t="n">
        <v>2.09089231904557</v>
      </c>
      <c r="D781" s="10" t="s">
        <v>1301</v>
      </c>
      <c r="E781" s="6" t="s">
        <v>1608</v>
      </c>
    </row>
    <row r="782" customFormat="false" ht="15" hidden="false" customHeight="true" outlineLevel="0" collapsed="false">
      <c r="A782" s="10" t="s">
        <v>537</v>
      </c>
      <c r="B782" s="10" t="s">
        <v>1313</v>
      </c>
      <c r="C782" s="63" t="n">
        <v>0</v>
      </c>
      <c r="D782" s="10"/>
      <c r="E782" s="6" t="s">
        <v>1314</v>
      </c>
    </row>
    <row r="783" customFormat="false" ht="15" hidden="false" customHeight="true" outlineLevel="0" collapsed="false">
      <c r="A783" s="10" t="s">
        <v>537</v>
      </c>
      <c r="B783" s="10" t="s">
        <v>1315</v>
      </c>
      <c r="C783" s="63" t="n">
        <v>0</v>
      </c>
      <c r="D783" s="10"/>
      <c r="E783" s="6" t="s">
        <v>1304</v>
      </c>
    </row>
    <row r="784" customFormat="false" ht="15" hidden="false" customHeight="true" outlineLevel="0" collapsed="false">
      <c r="A784" s="10" t="s">
        <v>537</v>
      </c>
      <c r="B784" s="10" t="s">
        <v>1316</v>
      </c>
      <c r="C784" s="63" t="n">
        <v>0</v>
      </c>
      <c r="D784" s="10"/>
      <c r="E784" s="6" t="s">
        <v>1317</v>
      </c>
    </row>
    <row r="785" customFormat="false" ht="15" hidden="false" customHeight="true" outlineLevel="0" collapsed="false">
      <c r="A785" s="10" t="s">
        <v>537</v>
      </c>
      <c r="B785" s="10" t="s">
        <v>1318</v>
      </c>
      <c r="C785" s="63" t="n">
        <v>0</v>
      </c>
      <c r="D785" s="10"/>
      <c r="E785" s="6" t="s">
        <v>1358</v>
      </c>
    </row>
    <row r="786" customFormat="false" ht="15" hidden="false" customHeight="true" outlineLevel="0" collapsed="false">
      <c r="A786" s="10" t="s">
        <v>537</v>
      </c>
      <c r="B786" s="10" t="s">
        <v>1320</v>
      </c>
      <c r="C786" s="63" t="n">
        <v>0</v>
      </c>
      <c r="D786" s="10"/>
      <c r="E786" s="6" t="s">
        <v>1321</v>
      </c>
    </row>
    <row r="787" customFormat="false" ht="15" hidden="false" customHeight="true" outlineLevel="0" collapsed="false">
      <c r="A787" s="10" t="s">
        <v>537</v>
      </c>
      <c r="B787" s="10" t="s">
        <v>1322</v>
      </c>
      <c r="C787" s="63" t="n">
        <v>0</v>
      </c>
      <c r="D787" s="10"/>
      <c r="E787" s="6" t="s">
        <v>1323</v>
      </c>
    </row>
    <row r="788" customFormat="false" ht="15" hidden="false" customHeight="true" outlineLevel="0" collapsed="false">
      <c r="A788" s="10" t="s">
        <v>537</v>
      </c>
      <c r="B788" s="10" t="s">
        <v>1324</v>
      </c>
      <c r="C788" s="63" t="n">
        <v>0</v>
      </c>
      <c r="D788" s="10" t="s">
        <v>1301</v>
      </c>
      <c r="E788" s="6" t="s">
        <v>1429</v>
      </c>
    </row>
    <row r="789" customFormat="false" ht="15" hidden="false" customHeight="true" outlineLevel="0" collapsed="false">
      <c r="A789" s="10" t="s">
        <v>537</v>
      </c>
      <c r="B789" s="10" t="s">
        <v>1326</v>
      </c>
      <c r="C789" s="63" t="n">
        <v>43.5</v>
      </c>
      <c r="D789" s="10"/>
      <c r="E789" s="6" t="s">
        <v>1609</v>
      </c>
    </row>
    <row r="790" customFormat="false" ht="15" hidden="false" customHeight="true" outlineLevel="0" collapsed="false">
      <c r="A790" s="10" t="s">
        <v>537</v>
      </c>
      <c r="B790" s="10" t="s">
        <v>1328</v>
      </c>
      <c r="C790" s="63" t="n">
        <v>597.489348748539</v>
      </c>
      <c r="D790" s="10"/>
      <c r="E790" s="6" t="s">
        <v>1610</v>
      </c>
    </row>
    <row r="791" customFormat="false" ht="15" hidden="false" customHeight="true" outlineLevel="0" collapsed="false">
      <c r="A791" s="10" t="s">
        <v>537</v>
      </c>
      <c r="B791" s="10" t="s">
        <v>1330</v>
      </c>
      <c r="C791" s="63" t="n">
        <v>1.383</v>
      </c>
      <c r="D791" s="10"/>
      <c r="E791" s="6" t="s">
        <v>1610</v>
      </c>
    </row>
    <row r="792" customFormat="false" ht="15" hidden="false" customHeight="true" outlineLevel="0" collapsed="false">
      <c r="A792" s="10" t="s">
        <v>537</v>
      </c>
      <c r="B792" s="10" t="s">
        <v>1331</v>
      </c>
      <c r="C792" s="63" t="n">
        <v>579.372086587541</v>
      </c>
      <c r="D792" s="10" t="s">
        <v>1301</v>
      </c>
      <c r="E792" s="6" t="s">
        <v>1545</v>
      </c>
    </row>
    <row r="793" customFormat="false" ht="15" hidden="false" customHeight="true" outlineLevel="0" collapsed="false">
      <c r="A793" s="10" t="s">
        <v>537</v>
      </c>
      <c r="B793" s="10" t="s">
        <v>1333</v>
      </c>
      <c r="C793" s="63" t="n">
        <v>1241.80817292909</v>
      </c>
      <c r="D793" s="10"/>
      <c r="E793" s="6" t="s">
        <v>1611</v>
      </c>
    </row>
    <row r="794" customFormat="false" ht="15" hidden="false" customHeight="true" outlineLevel="0" collapsed="false">
      <c r="A794" s="10" t="s">
        <v>537</v>
      </c>
      <c r="B794" s="10" t="s">
        <v>1334</v>
      </c>
      <c r="C794" s="63" t="n">
        <v>142.213430908308</v>
      </c>
      <c r="D794" s="10"/>
      <c r="E794" s="6" t="s">
        <v>1611</v>
      </c>
    </row>
    <row r="795" customFormat="false" ht="15" hidden="false" customHeight="true" outlineLevel="0" collapsed="false">
      <c r="A795" s="10" t="s">
        <v>537</v>
      </c>
      <c r="B795" s="10" t="s">
        <v>1335</v>
      </c>
      <c r="C795" s="63" t="n">
        <v>148.678162474633</v>
      </c>
      <c r="D795" s="10"/>
      <c r="E795" s="6" t="s">
        <v>1611</v>
      </c>
    </row>
    <row r="796" customFormat="false" ht="15" hidden="false" customHeight="true" outlineLevel="0" collapsed="false">
      <c r="A796" s="10" t="s">
        <v>537</v>
      </c>
      <c r="B796" s="10" t="s">
        <v>1336</v>
      </c>
      <c r="C796" s="63" t="n">
        <v>0.157061722208302</v>
      </c>
      <c r="D796" s="10" t="s">
        <v>1301</v>
      </c>
      <c r="E796" s="6" t="s">
        <v>1337</v>
      </c>
    </row>
    <row r="797" customFormat="false" ht="15" hidden="false" customHeight="true" outlineLevel="0" collapsed="false">
      <c r="A797" s="10" t="s">
        <v>537</v>
      </c>
      <c r="B797" s="10" t="s">
        <v>1338</v>
      </c>
      <c r="C797" s="63" t="n">
        <v>24.02</v>
      </c>
      <c r="D797" s="10"/>
      <c r="E797" s="6" t="s">
        <v>1339</v>
      </c>
    </row>
    <row r="798" customFormat="false" ht="15" hidden="false" customHeight="true" outlineLevel="0" collapsed="false">
      <c r="A798" s="10" t="s">
        <v>537</v>
      </c>
      <c r="B798" s="10" t="s">
        <v>1340</v>
      </c>
      <c r="C798" s="63" t="n">
        <v>0.78</v>
      </c>
      <c r="D798" s="10"/>
      <c r="E798" s="6" t="s">
        <v>1341</v>
      </c>
    </row>
    <row r="799" customFormat="false" ht="15" hidden="false" customHeight="true" outlineLevel="0" collapsed="false">
      <c r="A799" s="10" t="s">
        <v>537</v>
      </c>
      <c r="B799" s="10" t="s">
        <v>1342</v>
      </c>
      <c r="C799" s="63" t="n">
        <v>298.74467437427</v>
      </c>
      <c r="D799" s="10" t="s">
        <v>1301</v>
      </c>
      <c r="E799" s="6" t="s">
        <v>1419</v>
      </c>
    </row>
    <row r="800" customFormat="false" ht="15" hidden="false" customHeight="true" outlineLevel="0" collapsed="false">
      <c r="A800" s="10" t="s">
        <v>537</v>
      </c>
      <c r="B800" s="10" t="s">
        <v>1343</v>
      </c>
      <c r="C800" s="10" t="s">
        <v>1612</v>
      </c>
      <c r="D800" s="10" t="s">
        <v>1301</v>
      </c>
      <c r="E800" s="6" t="s">
        <v>1460</v>
      </c>
    </row>
    <row r="801" customFormat="false" ht="15" hidden="false" customHeight="true" outlineLevel="0" collapsed="false">
      <c r="A801" s="10" t="s">
        <v>537</v>
      </c>
      <c r="B801" s="10" t="s">
        <v>1346</v>
      </c>
      <c r="C801" s="63" t="n">
        <v>385.1742528</v>
      </c>
      <c r="D801" s="10"/>
      <c r="E801" s="6" t="s">
        <v>1600</v>
      </c>
    </row>
    <row r="802" customFormat="false" ht="15" hidden="false" customHeight="true" outlineLevel="0" collapsed="false">
      <c r="A802" s="10" t="s">
        <v>537</v>
      </c>
      <c r="B802" s="10" t="s">
        <v>1348</v>
      </c>
      <c r="C802" s="63" t="n">
        <v>154.7846721</v>
      </c>
      <c r="D802" s="10"/>
      <c r="E802" s="6" t="s">
        <v>1601</v>
      </c>
    </row>
    <row r="803" customFormat="false" ht="15" hidden="false" customHeight="true" outlineLevel="0" collapsed="false">
      <c r="A803" s="10" t="s">
        <v>538</v>
      </c>
      <c r="B803" s="10" t="s">
        <v>1281</v>
      </c>
      <c r="C803" s="10" t="n">
        <v>1</v>
      </c>
      <c r="D803" s="10"/>
      <c r="E803" s="6"/>
    </row>
    <row r="804" customFormat="false" ht="15" hidden="false" customHeight="true" outlineLevel="0" collapsed="false">
      <c r="A804" s="10" t="s">
        <v>538</v>
      </c>
      <c r="B804" s="10" t="s">
        <v>1282</v>
      </c>
      <c r="C804" s="10" t="n">
        <v>1</v>
      </c>
      <c r="D804" s="10"/>
      <c r="E804" s="6"/>
    </row>
    <row r="805" customFormat="false" ht="15" hidden="false" customHeight="true" outlineLevel="0" collapsed="false">
      <c r="A805" s="10" t="s">
        <v>538</v>
      </c>
      <c r="B805" s="10" t="s">
        <v>1283</v>
      </c>
      <c r="C805" s="10" t="n">
        <v>4</v>
      </c>
      <c r="D805" s="10"/>
      <c r="E805" s="6" t="s">
        <v>1284</v>
      </c>
    </row>
    <row r="806" customFormat="false" ht="15" hidden="false" customHeight="true" outlineLevel="0" collapsed="false">
      <c r="A806" s="10" t="s">
        <v>538</v>
      </c>
      <c r="B806" s="10" t="s">
        <v>1285</v>
      </c>
      <c r="C806" s="63" t="n">
        <v>68.3229813664596</v>
      </c>
      <c r="D806" s="10"/>
      <c r="E806" s="6" t="s">
        <v>1613</v>
      </c>
    </row>
    <row r="807" customFormat="false" ht="15" hidden="false" customHeight="true" outlineLevel="0" collapsed="false">
      <c r="A807" s="10" t="s">
        <v>538</v>
      </c>
      <c r="B807" s="10" t="s">
        <v>1287</v>
      </c>
      <c r="C807" s="63" t="n">
        <v>505.588217206814</v>
      </c>
      <c r="D807" s="10"/>
      <c r="E807" s="6" t="s">
        <v>1613</v>
      </c>
    </row>
    <row r="808" customFormat="false" ht="15" hidden="false" customHeight="true" outlineLevel="0" collapsed="false">
      <c r="A808" s="10" t="s">
        <v>538</v>
      </c>
      <c r="B808" s="10" t="s">
        <v>1289</v>
      </c>
      <c r="C808" s="63" t="n">
        <v>0.0813</v>
      </c>
      <c r="D808" s="10"/>
      <c r="E808" s="6" t="s">
        <v>1614</v>
      </c>
    </row>
    <row r="809" customFormat="false" ht="15" hidden="false" customHeight="true" outlineLevel="0" collapsed="false">
      <c r="A809" s="10" t="s">
        <v>538</v>
      </c>
      <c r="B809" s="10" t="s">
        <v>216</v>
      </c>
      <c r="C809" s="63" t="n">
        <v>3.27409138429371</v>
      </c>
      <c r="D809" s="10"/>
      <c r="E809" s="6" t="s">
        <v>1615</v>
      </c>
    </row>
    <row r="810" customFormat="false" ht="15" hidden="false" customHeight="true" outlineLevel="0" collapsed="false">
      <c r="A810" s="10" t="s">
        <v>538</v>
      </c>
      <c r="B810" s="10" t="s">
        <v>1292</v>
      </c>
      <c r="C810" s="63" t="n">
        <v>85.305</v>
      </c>
      <c r="D810" s="10" t="s">
        <v>1301</v>
      </c>
      <c r="E810" s="6" t="s">
        <v>1516</v>
      </c>
    </row>
    <row r="811" customFormat="false" ht="15" hidden="false" customHeight="true" outlineLevel="0" collapsed="false">
      <c r="A811" s="10" t="s">
        <v>538</v>
      </c>
      <c r="B811" s="10" t="s">
        <v>1294</v>
      </c>
      <c r="C811" s="63" t="n">
        <v>0</v>
      </c>
      <c r="D811" s="10"/>
      <c r="E811" s="6" t="s">
        <v>1616</v>
      </c>
    </row>
    <row r="812" customFormat="false" ht="15" hidden="false" customHeight="true" outlineLevel="0" collapsed="false">
      <c r="A812" s="10" t="s">
        <v>538</v>
      </c>
      <c r="B812" s="10" t="s">
        <v>1296</v>
      </c>
      <c r="C812" s="63" t="n">
        <v>85.305</v>
      </c>
      <c r="D812" s="10" t="s">
        <v>1301</v>
      </c>
      <c r="E812" s="6" t="s">
        <v>1518</v>
      </c>
    </row>
    <row r="813" customFormat="false" ht="15" hidden="false" customHeight="true" outlineLevel="0" collapsed="false">
      <c r="A813" s="10" t="s">
        <v>538</v>
      </c>
      <c r="B813" s="10" t="s">
        <v>1298</v>
      </c>
      <c r="C813" s="63" t="n">
        <v>-0.911383063772216</v>
      </c>
      <c r="D813" s="10"/>
      <c r="E813" s="6" t="s">
        <v>1617</v>
      </c>
    </row>
    <row r="814" customFormat="false" ht="15" hidden="false" customHeight="true" outlineLevel="0" collapsed="false">
      <c r="A814" s="10" t="s">
        <v>538</v>
      </c>
      <c r="B814" s="10" t="s">
        <v>1300</v>
      </c>
      <c r="C814" s="63" t="n">
        <v>1</v>
      </c>
      <c r="D814" s="10" t="s">
        <v>1301</v>
      </c>
      <c r="E814" s="6" t="s">
        <v>1519</v>
      </c>
    </row>
    <row r="815" customFormat="false" ht="15" hidden="false" customHeight="true" outlineLevel="0" collapsed="false">
      <c r="A815" s="10" t="s">
        <v>538</v>
      </c>
      <c r="B815" s="10" t="s">
        <v>1303</v>
      </c>
      <c r="C815" s="63" t="n">
        <v>18.3869380726893</v>
      </c>
      <c r="D815" s="10"/>
      <c r="E815" s="6" t="s">
        <v>1618</v>
      </c>
    </row>
    <row r="816" customFormat="false" ht="15" hidden="false" customHeight="true" outlineLevel="0" collapsed="false">
      <c r="A816" s="10" t="s">
        <v>538</v>
      </c>
      <c r="B816" s="10" t="s">
        <v>1305</v>
      </c>
      <c r="C816" s="63" t="n">
        <v>7.33333333333333</v>
      </c>
      <c r="D816" s="10" t="s">
        <v>1301</v>
      </c>
      <c r="E816" s="6" t="s">
        <v>1619</v>
      </c>
    </row>
    <row r="817" customFormat="false" ht="15" hidden="false" customHeight="true" outlineLevel="0" collapsed="false">
      <c r="A817" s="10" t="s">
        <v>538</v>
      </c>
      <c r="B817" s="10" t="s">
        <v>1307</v>
      </c>
      <c r="C817" s="63" t="n">
        <v>3.66666666666667</v>
      </c>
      <c r="D817" s="10" t="s">
        <v>1301</v>
      </c>
      <c r="E817" s="6" t="s">
        <v>1620</v>
      </c>
    </row>
    <row r="818" customFormat="false" ht="15" hidden="false" customHeight="true" outlineLevel="0" collapsed="false">
      <c r="A818" s="10" t="s">
        <v>538</v>
      </c>
      <c r="B818" s="10" t="s">
        <v>1309</v>
      </c>
      <c r="C818" s="63" t="n">
        <v>14.6666666666667</v>
      </c>
      <c r="D818" s="10" t="s">
        <v>1301</v>
      </c>
      <c r="E818" s="6" t="s">
        <v>1621</v>
      </c>
    </row>
    <row r="819" customFormat="false" ht="15" hidden="false" customHeight="true" outlineLevel="0" collapsed="false">
      <c r="A819" s="10" t="s">
        <v>538</v>
      </c>
      <c r="B819" s="10" t="s">
        <v>1311</v>
      </c>
      <c r="C819" s="63" t="n">
        <v>7.33333333333333</v>
      </c>
      <c r="D819" s="10" t="s">
        <v>1301</v>
      </c>
      <c r="E819" s="6" t="s">
        <v>1622</v>
      </c>
    </row>
    <row r="820" customFormat="false" ht="15" hidden="false" customHeight="true" outlineLevel="0" collapsed="false">
      <c r="A820" s="10" t="s">
        <v>538</v>
      </c>
      <c r="B820" s="10" t="s">
        <v>1313</v>
      </c>
      <c r="C820" s="63" t="n">
        <v>0</v>
      </c>
      <c r="D820" s="10"/>
      <c r="E820" s="6" t="s">
        <v>1314</v>
      </c>
    </row>
    <row r="821" customFormat="false" ht="15" hidden="false" customHeight="true" outlineLevel="0" collapsed="false">
      <c r="A821" s="10" t="s">
        <v>538</v>
      </c>
      <c r="B821" s="10" t="s">
        <v>1315</v>
      </c>
      <c r="C821" s="63" t="n">
        <v>0</v>
      </c>
      <c r="D821" s="10"/>
      <c r="E821" s="6" t="s">
        <v>1304</v>
      </c>
    </row>
    <row r="822" customFormat="false" ht="15" hidden="false" customHeight="true" outlineLevel="0" collapsed="false">
      <c r="A822" s="10" t="s">
        <v>538</v>
      </c>
      <c r="B822" s="10" t="s">
        <v>1316</v>
      </c>
      <c r="C822" s="63" t="n">
        <v>0</v>
      </c>
      <c r="D822" s="10"/>
      <c r="E822" s="6" t="s">
        <v>1317</v>
      </c>
    </row>
    <row r="823" customFormat="false" ht="15" hidden="false" customHeight="true" outlineLevel="0" collapsed="false">
      <c r="A823" s="10" t="s">
        <v>538</v>
      </c>
      <c r="B823" s="10" t="s">
        <v>1318</v>
      </c>
      <c r="C823" s="63" t="n">
        <v>0</v>
      </c>
      <c r="D823" s="10"/>
      <c r="E823" s="6" t="s">
        <v>1358</v>
      </c>
    </row>
    <row r="824" customFormat="false" ht="15" hidden="false" customHeight="true" outlineLevel="0" collapsed="false">
      <c r="A824" s="10" t="s">
        <v>538</v>
      </c>
      <c r="B824" s="10" t="s">
        <v>1320</v>
      </c>
      <c r="C824" s="63" t="n">
        <v>0</v>
      </c>
      <c r="D824" s="10"/>
      <c r="E824" s="6" t="s">
        <v>1321</v>
      </c>
    </row>
    <row r="825" customFormat="false" ht="15" hidden="false" customHeight="true" outlineLevel="0" collapsed="false">
      <c r="A825" s="10" t="s">
        <v>538</v>
      </c>
      <c r="B825" s="10" t="s">
        <v>1322</v>
      </c>
      <c r="C825" s="63" t="n">
        <v>0</v>
      </c>
      <c r="D825" s="10"/>
      <c r="E825" s="6" t="s">
        <v>1323</v>
      </c>
    </row>
    <row r="826" customFormat="false" ht="15" hidden="false" customHeight="true" outlineLevel="0" collapsed="false">
      <c r="A826" s="10" t="s">
        <v>538</v>
      </c>
      <c r="B826" s="10" t="s">
        <v>1324</v>
      </c>
      <c r="C826" s="63" t="n">
        <v>0</v>
      </c>
      <c r="D826" s="10" t="s">
        <v>1301</v>
      </c>
      <c r="E826" s="6" t="s">
        <v>1429</v>
      </c>
    </row>
    <row r="827" customFormat="false" ht="15" hidden="false" customHeight="true" outlineLevel="0" collapsed="false">
      <c r="A827" s="10" t="s">
        <v>538</v>
      </c>
      <c r="B827" s="10" t="s">
        <v>1326</v>
      </c>
      <c r="C827" s="63" t="n">
        <v>0</v>
      </c>
      <c r="D827" s="10"/>
      <c r="E827" s="6" t="s">
        <v>1623</v>
      </c>
    </row>
    <row r="828" customFormat="false" ht="15" hidden="false" customHeight="true" outlineLevel="0" collapsed="false">
      <c r="A828" s="10" t="s">
        <v>538</v>
      </c>
      <c r="B828" s="10" t="s">
        <v>1328</v>
      </c>
      <c r="C828" s="63" t="n">
        <v>503.447038927495</v>
      </c>
      <c r="D828" s="10"/>
      <c r="E828" s="6" t="s">
        <v>1624</v>
      </c>
    </row>
    <row r="829" customFormat="false" ht="15" hidden="false" customHeight="true" outlineLevel="0" collapsed="false">
      <c r="A829" s="10" t="s">
        <v>538</v>
      </c>
      <c r="B829" s="10" t="s">
        <v>1330</v>
      </c>
      <c r="C829" s="63" t="n">
        <v>1.261</v>
      </c>
      <c r="D829" s="10"/>
      <c r="E829" s="6" t="s">
        <v>1625</v>
      </c>
    </row>
    <row r="830" customFormat="false" ht="15" hidden="false" customHeight="true" outlineLevel="0" collapsed="false">
      <c r="A830" s="10" t="s">
        <v>538</v>
      </c>
      <c r="B830" s="10" t="s">
        <v>1331</v>
      </c>
      <c r="C830" s="63" t="n">
        <v>556.83606174282</v>
      </c>
      <c r="D830" s="10" t="s">
        <v>1301</v>
      </c>
      <c r="E830" s="6" t="s">
        <v>1545</v>
      </c>
    </row>
    <row r="831" customFormat="false" ht="15" hidden="false" customHeight="true" outlineLevel="0" collapsed="false">
      <c r="A831" s="10" t="s">
        <v>538</v>
      </c>
      <c r="B831" s="10" t="s">
        <v>1333</v>
      </c>
      <c r="C831" s="63" t="n">
        <v>1101.02948773138</v>
      </c>
      <c r="D831" s="10"/>
      <c r="E831" s="6" t="s">
        <v>1626</v>
      </c>
    </row>
    <row r="832" customFormat="false" ht="15" hidden="false" customHeight="true" outlineLevel="0" collapsed="false">
      <c r="A832" s="10" t="s">
        <v>538</v>
      </c>
      <c r="B832" s="10" t="s">
        <v>1334</v>
      </c>
      <c r="C832" s="63" t="n">
        <v>37.6025029210996</v>
      </c>
      <c r="D832" s="10"/>
      <c r="E832" s="6" t="s">
        <v>1627</v>
      </c>
    </row>
    <row r="833" customFormat="false" ht="15" hidden="false" customHeight="true" outlineLevel="0" collapsed="false">
      <c r="A833" s="10" t="s">
        <v>538</v>
      </c>
      <c r="B833" s="10" t="s">
        <v>1335</v>
      </c>
      <c r="C833" s="63" t="n">
        <v>244.75177418363</v>
      </c>
      <c r="D833" s="10"/>
      <c r="E833" s="6" t="s">
        <v>1627</v>
      </c>
    </row>
    <row r="834" customFormat="false" ht="15" hidden="false" customHeight="true" outlineLevel="0" collapsed="false">
      <c r="A834" s="10" t="s">
        <v>538</v>
      </c>
      <c r="B834" s="10" t="s">
        <v>1336</v>
      </c>
      <c r="C834" s="63" t="n">
        <v>0.223970889242666</v>
      </c>
      <c r="D834" s="10" t="s">
        <v>1301</v>
      </c>
      <c r="E834" s="6" t="s">
        <v>1337</v>
      </c>
    </row>
    <row r="835" customFormat="false" ht="15" hidden="false" customHeight="true" outlineLevel="0" collapsed="false">
      <c r="A835" s="10" t="s">
        <v>538</v>
      </c>
      <c r="B835" s="10" t="s">
        <v>1338</v>
      </c>
      <c r="C835" s="63" t="n">
        <v>15.5</v>
      </c>
      <c r="D835" s="10"/>
      <c r="E835" s="6" t="s">
        <v>1339</v>
      </c>
    </row>
    <row r="836" customFormat="false" ht="15" hidden="false" customHeight="true" outlineLevel="0" collapsed="false">
      <c r="A836" s="10" t="s">
        <v>538</v>
      </c>
      <c r="B836" s="10" t="s">
        <v>1340</v>
      </c>
      <c r="C836" s="63" t="n">
        <v>7.29</v>
      </c>
      <c r="D836" s="10"/>
      <c r="E836" s="6" t="s">
        <v>1341</v>
      </c>
    </row>
    <row r="837" customFormat="false" ht="15" hidden="false" customHeight="true" outlineLevel="0" collapsed="false">
      <c r="A837" s="10" t="s">
        <v>538</v>
      </c>
      <c r="B837" s="10" t="s">
        <v>1342</v>
      </c>
      <c r="C837" s="63" t="n">
        <v>251.723519463748</v>
      </c>
      <c r="D837" s="10" t="s">
        <v>1301</v>
      </c>
      <c r="E837" s="6" t="s">
        <v>1419</v>
      </c>
    </row>
    <row r="838" customFormat="false" ht="15" hidden="false" customHeight="true" outlineLevel="0" collapsed="false">
      <c r="A838" s="10" t="s">
        <v>538</v>
      </c>
      <c r="B838" s="10" t="s">
        <v>1343</v>
      </c>
      <c r="C838" s="10" t="s">
        <v>1628</v>
      </c>
      <c r="D838" s="10" t="s">
        <v>1301</v>
      </c>
      <c r="E838" s="6" t="s">
        <v>1393</v>
      </c>
    </row>
    <row r="839" customFormat="false" ht="15" hidden="false" customHeight="true" outlineLevel="0" collapsed="false">
      <c r="A839" s="10" t="s">
        <v>538</v>
      </c>
      <c r="B839" s="10" t="s">
        <v>1346</v>
      </c>
      <c r="C839" s="63" t="n">
        <v>116.0014962</v>
      </c>
      <c r="D839" s="10"/>
      <c r="E839" s="6" t="s">
        <v>1600</v>
      </c>
    </row>
    <row r="840" customFormat="false" ht="15" hidden="false" customHeight="true" outlineLevel="0" collapsed="false">
      <c r="A840" s="10" t="s">
        <v>538</v>
      </c>
      <c r="B840" s="10" t="s">
        <v>1348</v>
      </c>
      <c r="C840" s="63" t="n">
        <v>130.776732</v>
      </c>
      <c r="D840" s="10"/>
      <c r="E840" s="6" t="s">
        <v>1601</v>
      </c>
    </row>
    <row r="841" customFormat="false" ht="15" hidden="false" customHeight="true" outlineLevel="0" collapsed="false">
      <c r="A841" s="10" t="s">
        <v>540</v>
      </c>
      <c r="B841" s="10" t="s">
        <v>1281</v>
      </c>
      <c r="C841" s="10" t="n">
        <v>1</v>
      </c>
      <c r="D841" s="10"/>
      <c r="E841" s="6"/>
    </row>
    <row r="842" customFormat="false" ht="15" hidden="false" customHeight="true" outlineLevel="0" collapsed="false">
      <c r="A842" s="10" t="s">
        <v>540</v>
      </c>
      <c r="B842" s="10" t="s">
        <v>1282</v>
      </c>
      <c r="C842" s="10" t="n">
        <v>1</v>
      </c>
      <c r="D842" s="10"/>
      <c r="E842" s="6"/>
    </row>
    <row r="843" customFormat="false" ht="15" hidden="false" customHeight="true" outlineLevel="0" collapsed="false">
      <c r="A843" s="10" t="s">
        <v>540</v>
      </c>
      <c r="B843" s="10" t="s">
        <v>1283</v>
      </c>
      <c r="C843" s="10" t="n">
        <v>5</v>
      </c>
      <c r="D843" s="10"/>
      <c r="E843" s="6" t="s">
        <v>1284</v>
      </c>
    </row>
    <row r="844" customFormat="false" ht="15" hidden="false" customHeight="true" outlineLevel="0" collapsed="false">
      <c r="A844" s="10" t="s">
        <v>540</v>
      </c>
      <c r="B844" s="10" t="s">
        <v>1285</v>
      </c>
      <c r="C844" s="63" t="n">
        <v>73.8866596268919</v>
      </c>
      <c r="D844" s="10"/>
      <c r="E844" s="6" t="s">
        <v>1629</v>
      </c>
    </row>
    <row r="845" customFormat="false" ht="15" hidden="false" customHeight="true" outlineLevel="0" collapsed="false">
      <c r="A845" s="10" t="s">
        <v>540</v>
      </c>
      <c r="B845" s="10" t="s">
        <v>1287</v>
      </c>
      <c r="C845" s="63" t="n">
        <v>547.694473776839</v>
      </c>
      <c r="D845" s="10"/>
      <c r="E845" s="6" t="s">
        <v>1629</v>
      </c>
    </row>
    <row r="846" customFormat="false" ht="15" hidden="false" customHeight="true" outlineLevel="0" collapsed="false">
      <c r="A846" s="10" t="s">
        <v>540</v>
      </c>
      <c r="B846" s="10" t="s">
        <v>1289</v>
      </c>
      <c r="C846" s="63" t="n">
        <v>0.111</v>
      </c>
      <c r="D846" s="10"/>
      <c r="E846" s="6" t="s">
        <v>1630</v>
      </c>
    </row>
    <row r="847" customFormat="false" ht="15" hidden="false" customHeight="true" outlineLevel="0" collapsed="false">
      <c r="A847" s="10" t="s">
        <v>540</v>
      </c>
      <c r="B847" s="10" t="s">
        <v>216</v>
      </c>
      <c r="C847" s="63" t="n">
        <v>6.15909890883492</v>
      </c>
      <c r="D847" s="10"/>
      <c r="E847" s="6" t="s">
        <v>1631</v>
      </c>
    </row>
    <row r="848" customFormat="false" ht="15" hidden="false" customHeight="true" outlineLevel="0" collapsed="false">
      <c r="A848" s="10" t="s">
        <v>540</v>
      </c>
      <c r="B848" s="10" t="s">
        <v>1292</v>
      </c>
      <c r="C848" s="63" t="n">
        <v>158.98</v>
      </c>
      <c r="D848" s="10" t="s">
        <v>1301</v>
      </c>
      <c r="E848" s="6" t="s">
        <v>1516</v>
      </c>
    </row>
    <row r="849" customFormat="false" ht="15" hidden="false" customHeight="true" outlineLevel="0" collapsed="false">
      <c r="A849" s="10" t="s">
        <v>540</v>
      </c>
      <c r="B849" s="10" t="s">
        <v>1294</v>
      </c>
      <c r="C849" s="63" t="n">
        <v>-0.225272791270679</v>
      </c>
      <c r="D849" s="10"/>
      <c r="E849" s="6" t="s">
        <v>1632</v>
      </c>
    </row>
    <row r="850" customFormat="false" ht="15" hidden="false" customHeight="true" outlineLevel="0" collapsed="false">
      <c r="A850" s="10" t="s">
        <v>540</v>
      </c>
      <c r="B850" s="10" t="s">
        <v>1296</v>
      </c>
      <c r="C850" s="63" t="n">
        <v>158.98</v>
      </c>
      <c r="D850" s="10" t="s">
        <v>1301</v>
      </c>
      <c r="E850" s="6" t="s">
        <v>1518</v>
      </c>
    </row>
    <row r="851" customFormat="false" ht="15" hidden="false" customHeight="true" outlineLevel="0" collapsed="false">
      <c r="A851" s="10" t="s">
        <v>540</v>
      </c>
      <c r="B851" s="10" t="s">
        <v>1298</v>
      </c>
      <c r="C851" s="63" t="n">
        <v>-2.23794438577966</v>
      </c>
      <c r="D851" s="10"/>
      <c r="E851" s="6" t="s">
        <v>1633</v>
      </c>
    </row>
    <row r="852" customFormat="false" ht="15" hidden="false" customHeight="true" outlineLevel="0" collapsed="false">
      <c r="A852" s="10" t="s">
        <v>540</v>
      </c>
      <c r="B852" s="10" t="s">
        <v>1300</v>
      </c>
      <c r="C852" s="63" t="n">
        <v>1</v>
      </c>
      <c r="D852" s="10" t="s">
        <v>1301</v>
      </c>
      <c r="E852" s="6" t="s">
        <v>1519</v>
      </c>
    </row>
    <row r="853" customFormat="false" ht="15" hidden="false" customHeight="true" outlineLevel="0" collapsed="false">
      <c r="A853" s="10" t="s">
        <v>540</v>
      </c>
      <c r="B853" s="10" t="s">
        <v>1303</v>
      </c>
      <c r="C853" s="63" t="n">
        <v>0</v>
      </c>
      <c r="D853" s="10"/>
      <c r="E853" s="6" t="s">
        <v>1304</v>
      </c>
    </row>
    <row r="854" customFormat="false" ht="15" hidden="false" customHeight="true" outlineLevel="0" collapsed="false">
      <c r="A854" s="10" t="s">
        <v>540</v>
      </c>
      <c r="B854" s="10" t="s">
        <v>1305</v>
      </c>
      <c r="C854" s="63" t="n">
        <v>10.7708553326294</v>
      </c>
      <c r="D854" s="10"/>
      <c r="E854" s="6" t="s">
        <v>1634</v>
      </c>
    </row>
    <row r="855" customFormat="false" ht="15" hidden="false" customHeight="true" outlineLevel="0" collapsed="false">
      <c r="A855" s="10" t="s">
        <v>540</v>
      </c>
      <c r="B855" s="10" t="s">
        <v>1307</v>
      </c>
      <c r="C855" s="63" t="n">
        <v>0</v>
      </c>
      <c r="D855" s="10" t="s">
        <v>1301</v>
      </c>
      <c r="E855" s="6" t="s">
        <v>1635</v>
      </c>
    </row>
    <row r="856" customFormat="false" ht="15" hidden="false" customHeight="true" outlineLevel="0" collapsed="false">
      <c r="A856" s="10" t="s">
        <v>540</v>
      </c>
      <c r="B856" s="10" t="s">
        <v>1309</v>
      </c>
      <c r="C856" s="63" t="n">
        <v>0</v>
      </c>
      <c r="D856" s="10" t="s">
        <v>1301</v>
      </c>
      <c r="E856" s="6" t="s">
        <v>1636</v>
      </c>
    </row>
    <row r="857" customFormat="false" ht="15" hidden="false" customHeight="true" outlineLevel="0" collapsed="false">
      <c r="A857" s="10" t="s">
        <v>540</v>
      </c>
      <c r="B857" s="10" t="s">
        <v>1311</v>
      </c>
      <c r="C857" s="63" t="n">
        <v>0</v>
      </c>
      <c r="D857" s="10" t="s">
        <v>1301</v>
      </c>
      <c r="E857" s="6" t="s">
        <v>1635</v>
      </c>
    </row>
    <row r="858" customFormat="false" ht="15" hidden="false" customHeight="true" outlineLevel="0" collapsed="false">
      <c r="A858" s="10" t="s">
        <v>540</v>
      </c>
      <c r="B858" s="10" t="s">
        <v>1313</v>
      </c>
      <c r="C858" s="63" t="n">
        <v>23.9352340725097</v>
      </c>
      <c r="D858" s="10"/>
      <c r="E858" s="6" t="s">
        <v>1637</v>
      </c>
    </row>
    <row r="859" customFormat="false" ht="15" hidden="false" customHeight="true" outlineLevel="0" collapsed="false">
      <c r="A859" s="10" t="s">
        <v>540</v>
      </c>
      <c r="B859" s="10" t="s">
        <v>1315</v>
      </c>
      <c r="C859" s="63" t="n">
        <v>0</v>
      </c>
      <c r="D859" s="10"/>
      <c r="E859" s="6" t="s">
        <v>1638</v>
      </c>
    </row>
    <row r="860" customFormat="false" ht="15" hidden="false" customHeight="true" outlineLevel="0" collapsed="false">
      <c r="A860" s="10" t="s">
        <v>540</v>
      </c>
      <c r="B860" s="10" t="s">
        <v>1316</v>
      </c>
      <c r="C860" s="63" t="n">
        <v>0</v>
      </c>
      <c r="D860" s="10"/>
      <c r="E860" s="6" t="s">
        <v>1486</v>
      </c>
    </row>
    <row r="861" customFormat="false" ht="15" hidden="false" customHeight="true" outlineLevel="0" collapsed="false">
      <c r="A861" s="10" t="s">
        <v>540</v>
      </c>
      <c r="B861" s="10" t="s">
        <v>1318</v>
      </c>
      <c r="C861" s="63" t="n">
        <v>0</v>
      </c>
      <c r="D861" s="10"/>
      <c r="E861" s="6" t="s">
        <v>1358</v>
      </c>
    </row>
    <row r="862" customFormat="false" ht="15" hidden="false" customHeight="true" outlineLevel="0" collapsed="false">
      <c r="A862" s="10" t="s">
        <v>540</v>
      </c>
      <c r="B862" s="10" t="s">
        <v>1320</v>
      </c>
      <c r="C862" s="63" t="n">
        <v>0</v>
      </c>
      <c r="D862" s="10"/>
      <c r="E862" s="6" t="s">
        <v>1321</v>
      </c>
    </row>
    <row r="863" customFormat="false" ht="15" hidden="false" customHeight="true" outlineLevel="0" collapsed="false">
      <c r="A863" s="10" t="s">
        <v>540</v>
      </c>
      <c r="B863" s="10" t="s">
        <v>1322</v>
      </c>
      <c r="C863" s="63" t="n">
        <v>0</v>
      </c>
      <c r="D863" s="10"/>
      <c r="E863" s="6" t="s">
        <v>1323</v>
      </c>
    </row>
    <row r="864" customFormat="false" ht="15" hidden="false" customHeight="true" outlineLevel="0" collapsed="false">
      <c r="A864" s="10" t="s">
        <v>540</v>
      </c>
      <c r="B864" s="10" t="s">
        <v>1324</v>
      </c>
      <c r="C864" s="63" t="n">
        <v>0</v>
      </c>
      <c r="D864" s="10" t="s">
        <v>1301</v>
      </c>
      <c r="E864" s="6" t="s">
        <v>1429</v>
      </c>
    </row>
    <row r="865" customFormat="false" ht="15" hidden="false" customHeight="true" outlineLevel="0" collapsed="false">
      <c r="A865" s="10" t="s">
        <v>540</v>
      </c>
      <c r="B865" s="10" t="s">
        <v>1326</v>
      </c>
      <c r="C865" s="63" t="n">
        <v>78.23</v>
      </c>
      <c r="D865" s="10"/>
      <c r="E865" s="6" t="s">
        <v>1639</v>
      </c>
    </row>
    <row r="866" customFormat="false" ht="15" hidden="false" customHeight="true" outlineLevel="0" collapsed="false">
      <c r="A866" s="10" t="s">
        <v>540</v>
      </c>
      <c r="B866" s="10" t="s">
        <v>1328</v>
      </c>
      <c r="C866" s="63" t="n">
        <v>342.73213657163</v>
      </c>
      <c r="D866" s="10"/>
      <c r="E866" s="6" t="s">
        <v>1640</v>
      </c>
    </row>
    <row r="867" customFormat="false" ht="15" hidden="false" customHeight="true" outlineLevel="0" collapsed="false">
      <c r="A867" s="10" t="s">
        <v>540</v>
      </c>
      <c r="B867" s="10" t="s">
        <v>1330</v>
      </c>
      <c r="C867" s="63" t="n">
        <v>1.25</v>
      </c>
      <c r="D867" s="10"/>
      <c r="E867" s="6" t="s">
        <v>1640</v>
      </c>
    </row>
    <row r="868" customFormat="false" ht="15" hidden="false" customHeight="true" outlineLevel="0" collapsed="false">
      <c r="A868" s="10" t="s">
        <v>540</v>
      </c>
      <c r="B868" s="10" t="s">
        <v>1331</v>
      </c>
      <c r="C868" s="63" t="n">
        <v>381.633931714185</v>
      </c>
      <c r="D868" s="10" t="s">
        <v>1301</v>
      </c>
      <c r="E868" s="6" t="s">
        <v>1545</v>
      </c>
    </row>
    <row r="869" customFormat="false" ht="15" hidden="false" customHeight="true" outlineLevel="0" collapsed="false">
      <c r="A869" s="10" t="s">
        <v>540</v>
      </c>
      <c r="B869" s="10" t="s">
        <v>1333</v>
      </c>
      <c r="C869" s="63" t="n">
        <v>1157.74234424498</v>
      </c>
      <c r="D869" s="10"/>
      <c r="E869" s="6" t="s">
        <v>1641</v>
      </c>
    </row>
    <row r="870" customFormat="false" ht="15" hidden="false" customHeight="true" outlineLevel="0" collapsed="false">
      <c r="A870" s="10" t="s">
        <v>540</v>
      </c>
      <c r="B870" s="10" t="s">
        <v>1334</v>
      </c>
      <c r="C870" s="63" t="n">
        <v>111.12284406899</v>
      </c>
      <c r="D870" s="10"/>
      <c r="E870" s="6" t="s">
        <v>1641</v>
      </c>
    </row>
    <row r="871" customFormat="false" ht="15" hidden="false" customHeight="true" outlineLevel="0" collapsed="false">
      <c r="A871" s="10" t="s">
        <v>540</v>
      </c>
      <c r="B871" s="10" t="s">
        <v>1335</v>
      </c>
      <c r="C871" s="63" t="n">
        <v>228.922914466737</v>
      </c>
      <c r="D871" s="10"/>
      <c r="E871" s="6" t="s">
        <v>1641</v>
      </c>
    </row>
    <row r="872" customFormat="false" ht="15" hidden="false" customHeight="true" outlineLevel="0" collapsed="false">
      <c r="A872" s="10" t="s">
        <v>540</v>
      </c>
      <c r="B872" s="10" t="s">
        <v>1336</v>
      </c>
      <c r="C872" s="63" t="n">
        <v>0.298689840751687</v>
      </c>
      <c r="D872" s="10" t="s">
        <v>1301</v>
      </c>
      <c r="E872" s="6" t="s">
        <v>1337</v>
      </c>
    </row>
    <row r="873" customFormat="false" ht="15" hidden="false" customHeight="true" outlineLevel="0" collapsed="false">
      <c r="A873" s="10" t="s">
        <v>540</v>
      </c>
      <c r="B873" s="10" t="s">
        <v>1338</v>
      </c>
      <c r="C873" s="63" t="n">
        <v>38.53</v>
      </c>
      <c r="D873" s="10"/>
      <c r="E873" s="6" t="s">
        <v>1339</v>
      </c>
    </row>
    <row r="874" customFormat="false" ht="15" hidden="false" customHeight="true" outlineLevel="0" collapsed="false">
      <c r="A874" s="10" t="s">
        <v>540</v>
      </c>
      <c r="B874" s="10" t="s">
        <v>1340</v>
      </c>
      <c r="C874" s="63" t="n">
        <v>2.13</v>
      </c>
      <c r="D874" s="10"/>
      <c r="E874" s="6" t="s">
        <v>1341</v>
      </c>
    </row>
    <row r="875" customFormat="false" ht="15" hidden="false" customHeight="true" outlineLevel="0" collapsed="false">
      <c r="A875" s="10" t="s">
        <v>540</v>
      </c>
      <c r="B875" s="10" t="s">
        <v>1342</v>
      </c>
      <c r="C875" s="63" t="n">
        <v>440.385075677578</v>
      </c>
      <c r="D875" s="10"/>
      <c r="E875" s="6" t="s">
        <v>1641</v>
      </c>
    </row>
    <row r="876" customFormat="false" ht="15" hidden="false" customHeight="true" outlineLevel="0" collapsed="false">
      <c r="A876" s="10" t="s">
        <v>540</v>
      </c>
      <c r="B876" s="10" t="s">
        <v>1343</v>
      </c>
      <c r="C876" s="10" t="s">
        <v>1642</v>
      </c>
      <c r="D876" s="10"/>
      <c r="E876" s="6" t="s">
        <v>1643</v>
      </c>
    </row>
    <row r="877" customFormat="false" ht="15" hidden="false" customHeight="true" outlineLevel="0" collapsed="false">
      <c r="A877" s="10" t="s">
        <v>540</v>
      </c>
      <c r="B877" s="10" t="s">
        <v>1346</v>
      </c>
      <c r="C877" s="63" t="n">
        <v>138.142533</v>
      </c>
      <c r="D877" s="10"/>
      <c r="E877" s="6" t="s">
        <v>1644</v>
      </c>
    </row>
    <row r="878" customFormat="false" ht="15" hidden="false" customHeight="true" outlineLevel="0" collapsed="false">
      <c r="A878" s="10" t="s">
        <v>540</v>
      </c>
      <c r="B878" s="10" t="s">
        <v>1348</v>
      </c>
      <c r="C878" s="63" t="n">
        <v>111.7710954</v>
      </c>
      <c r="D878" s="10"/>
      <c r="E878" s="6" t="s">
        <v>1645</v>
      </c>
    </row>
    <row r="879" customFormat="false" ht="15" hidden="false" customHeight="true" outlineLevel="0" collapsed="false">
      <c r="A879" s="10" t="s">
        <v>543</v>
      </c>
      <c r="B879" s="10" t="s">
        <v>1281</v>
      </c>
      <c r="C879" s="10" t="n">
        <v>0</v>
      </c>
      <c r="D879" s="10"/>
      <c r="E879" s="6"/>
    </row>
    <row r="880" customFormat="false" ht="15" hidden="false" customHeight="true" outlineLevel="0" collapsed="false">
      <c r="A880" s="10" t="s">
        <v>543</v>
      </c>
      <c r="B880" s="10" t="s">
        <v>1282</v>
      </c>
      <c r="C880" s="10" t="n">
        <v>1</v>
      </c>
      <c r="D880" s="10"/>
      <c r="E880" s="6"/>
    </row>
    <row r="881" customFormat="false" ht="15" hidden="false" customHeight="true" outlineLevel="0" collapsed="false">
      <c r="A881" s="10" t="s">
        <v>543</v>
      </c>
      <c r="B881" s="10" t="s">
        <v>1283</v>
      </c>
      <c r="C881" s="10" t="n">
        <v>2</v>
      </c>
      <c r="D881" s="10"/>
      <c r="E881" s="6" t="s">
        <v>1284</v>
      </c>
    </row>
    <row r="882" customFormat="false" ht="15" hidden="false" customHeight="true" outlineLevel="0" collapsed="false">
      <c r="A882" s="10" t="s">
        <v>543</v>
      </c>
      <c r="B882" s="10" t="s">
        <v>1285</v>
      </c>
      <c r="C882" s="63" t="n">
        <v>8.718</v>
      </c>
      <c r="D882" s="10"/>
      <c r="E882" s="6" t="s">
        <v>1646</v>
      </c>
    </row>
    <row r="883" customFormat="false" ht="15" hidden="false" customHeight="true" outlineLevel="0" collapsed="false">
      <c r="A883" s="10" t="s">
        <v>543</v>
      </c>
      <c r="B883" s="10" t="s">
        <v>1287</v>
      </c>
      <c r="C883" s="63" t="n">
        <v>96.8666666666667</v>
      </c>
      <c r="D883" s="10" t="s">
        <v>1301</v>
      </c>
      <c r="E883" s="6" t="s">
        <v>1647</v>
      </c>
    </row>
    <row r="884" customFormat="false" ht="15" hidden="false" customHeight="true" outlineLevel="0" collapsed="false">
      <c r="A884" s="10" t="s">
        <v>543</v>
      </c>
      <c r="B884" s="10" t="s">
        <v>1289</v>
      </c>
      <c r="C884" s="63" t="n">
        <v>0.0675</v>
      </c>
      <c r="D884" s="10" t="s">
        <v>1301</v>
      </c>
      <c r="E884" s="6" t="s">
        <v>1648</v>
      </c>
    </row>
    <row r="885" customFormat="false" ht="15" hidden="false" customHeight="true" outlineLevel="0" collapsed="false">
      <c r="A885" s="10" t="s">
        <v>543</v>
      </c>
      <c r="B885" s="10" t="s">
        <v>216</v>
      </c>
      <c r="C885" s="63" t="n">
        <v>0.351</v>
      </c>
      <c r="D885" s="10"/>
      <c r="E885" s="6" t="s">
        <v>1649</v>
      </c>
    </row>
    <row r="886" customFormat="false" ht="15" hidden="false" customHeight="true" outlineLevel="0" collapsed="false">
      <c r="A886" s="10" t="s">
        <v>543</v>
      </c>
      <c r="B886" s="10" t="s">
        <v>1292</v>
      </c>
      <c r="C886" s="63" t="n">
        <v>0</v>
      </c>
      <c r="D886" s="10" t="s">
        <v>1301</v>
      </c>
      <c r="E886" s="6" t="s">
        <v>1517</v>
      </c>
    </row>
    <row r="887" customFormat="false" ht="15" hidden="false" customHeight="true" outlineLevel="0" collapsed="false">
      <c r="A887" s="10" t="s">
        <v>543</v>
      </c>
      <c r="B887" s="10" t="s">
        <v>1294</v>
      </c>
      <c r="C887" s="63" t="n">
        <v>0</v>
      </c>
      <c r="D887" s="10" t="s">
        <v>1301</v>
      </c>
      <c r="E887" s="6" t="s">
        <v>1517</v>
      </c>
    </row>
    <row r="888" customFormat="false" ht="15" hidden="false" customHeight="true" outlineLevel="0" collapsed="false">
      <c r="A888" s="10" t="s">
        <v>543</v>
      </c>
      <c r="B888" s="10" t="s">
        <v>1296</v>
      </c>
      <c r="C888" s="63" t="n">
        <v>0</v>
      </c>
      <c r="D888" s="10" t="s">
        <v>1301</v>
      </c>
      <c r="E888" s="6" t="s">
        <v>1517</v>
      </c>
    </row>
    <row r="889" customFormat="false" ht="15" hidden="false" customHeight="true" outlineLevel="0" collapsed="false">
      <c r="A889" s="10" t="s">
        <v>543</v>
      </c>
      <c r="B889" s="10" t="s">
        <v>1298</v>
      </c>
      <c r="C889" s="63" t="n">
        <v>0</v>
      </c>
      <c r="D889" s="10" t="s">
        <v>1301</v>
      </c>
      <c r="E889" s="6" t="s">
        <v>1517</v>
      </c>
    </row>
    <row r="890" customFormat="false" ht="15" hidden="false" customHeight="true" outlineLevel="0" collapsed="false">
      <c r="A890" s="10" t="s">
        <v>543</v>
      </c>
      <c r="B890" s="10" t="s">
        <v>1300</v>
      </c>
      <c r="C890" s="63" t="n">
        <v>0</v>
      </c>
      <c r="D890" s="10" t="s">
        <v>1301</v>
      </c>
      <c r="E890" s="6" t="s">
        <v>1302</v>
      </c>
    </row>
    <row r="891" customFormat="false" ht="15" hidden="false" customHeight="true" outlineLevel="0" collapsed="false">
      <c r="A891" s="10" t="s">
        <v>543</v>
      </c>
      <c r="B891" s="10" t="s">
        <v>1303</v>
      </c>
      <c r="C891" s="63" t="n">
        <v>0</v>
      </c>
      <c r="D891" s="10"/>
      <c r="E891" s="6" t="s">
        <v>1304</v>
      </c>
    </row>
    <row r="892" customFormat="false" ht="15" hidden="false" customHeight="true" outlineLevel="0" collapsed="false">
      <c r="A892" s="10" t="s">
        <v>543</v>
      </c>
      <c r="B892" s="10" t="s">
        <v>1305</v>
      </c>
      <c r="C892" s="63" t="n">
        <v>0</v>
      </c>
      <c r="D892" s="10" t="s">
        <v>1301</v>
      </c>
      <c r="E892" s="6" t="s">
        <v>1583</v>
      </c>
    </row>
    <row r="893" customFormat="false" ht="15" hidden="false" customHeight="true" outlineLevel="0" collapsed="false">
      <c r="A893" s="10" t="s">
        <v>543</v>
      </c>
      <c r="B893" s="10" t="s">
        <v>1307</v>
      </c>
      <c r="C893" s="63" t="n">
        <v>0</v>
      </c>
      <c r="D893" s="10" t="s">
        <v>1301</v>
      </c>
      <c r="E893" s="6" t="s">
        <v>1583</v>
      </c>
    </row>
    <row r="894" customFormat="false" ht="15" hidden="false" customHeight="true" outlineLevel="0" collapsed="false">
      <c r="A894" s="10" t="s">
        <v>543</v>
      </c>
      <c r="B894" s="10" t="s">
        <v>1309</v>
      </c>
      <c r="C894" s="63" t="n">
        <v>0</v>
      </c>
      <c r="D894" s="10" t="s">
        <v>1301</v>
      </c>
      <c r="E894" s="6" t="s">
        <v>1583</v>
      </c>
    </row>
    <row r="895" customFormat="false" ht="15" hidden="false" customHeight="true" outlineLevel="0" collapsed="false">
      <c r="A895" s="10" t="s">
        <v>543</v>
      </c>
      <c r="B895" s="10" t="s">
        <v>1311</v>
      </c>
      <c r="C895" s="63" t="n">
        <v>0</v>
      </c>
      <c r="D895" s="10" t="s">
        <v>1301</v>
      </c>
      <c r="E895" s="6" t="s">
        <v>1583</v>
      </c>
    </row>
    <row r="896" customFormat="false" ht="15" hidden="false" customHeight="true" outlineLevel="0" collapsed="false">
      <c r="A896" s="10" t="s">
        <v>543</v>
      </c>
      <c r="B896" s="10" t="s">
        <v>1313</v>
      </c>
      <c r="C896" s="63" t="n">
        <v>0</v>
      </c>
      <c r="D896" s="10"/>
      <c r="E896" s="6" t="s">
        <v>1314</v>
      </c>
    </row>
    <row r="897" customFormat="false" ht="15" hidden="false" customHeight="true" outlineLevel="0" collapsed="false">
      <c r="A897" s="10" t="s">
        <v>543</v>
      </c>
      <c r="B897" s="10" t="s">
        <v>1315</v>
      </c>
      <c r="C897" s="63" t="n">
        <v>0</v>
      </c>
      <c r="D897" s="10"/>
      <c r="E897" s="6" t="s">
        <v>1304</v>
      </c>
    </row>
    <row r="898" customFormat="false" ht="15" hidden="false" customHeight="true" outlineLevel="0" collapsed="false">
      <c r="A898" s="10" t="s">
        <v>543</v>
      </c>
      <c r="B898" s="10" t="s">
        <v>1316</v>
      </c>
      <c r="C898" s="63" t="n">
        <v>0</v>
      </c>
      <c r="D898" s="10"/>
      <c r="E898" s="6" t="s">
        <v>1486</v>
      </c>
    </row>
    <row r="899" customFormat="false" ht="15" hidden="false" customHeight="true" outlineLevel="0" collapsed="false">
      <c r="A899" s="10" t="s">
        <v>543</v>
      </c>
      <c r="B899" s="10" t="s">
        <v>1318</v>
      </c>
      <c r="C899" s="63" t="n">
        <v>0</v>
      </c>
      <c r="D899" s="10"/>
      <c r="E899" s="6" t="s">
        <v>1358</v>
      </c>
    </row>
    <row r="900" customFormat="false" ht="15" hidden="false" customHeight="true" outlineLevel="0" collapsed="false">
      <c r="A900" s="10" t="s">
        <v>543</v>
      </c>
      <c r="B900" s="10" t="s">
        <v>1320</v>
      </c>
      <c r="C900" s="63" t="n">
        <v>0</v>
      </c>
      <c r="D900" s="10"/>
      <c r="E900" s="6" t="s">
        <v>1321</v>
      </c>
    </row>
    <row r="901" customFormat="false" ht="15" hidden="false" customHeight="true" outlineLevel="0" collapsed="false">
      <c r="A901" s="10" t="s">
        <v>543</v>
      </c>
      <c r="B901" s="10" t="s">
        <v>1322</v>
      </c>
      <c r="C901" s="63" t="n">
        <v>0</v>
      </c>
      <c r="D901" s="10"/>
      <c r="E901" s="6" t="s">
        <v>1323</v>
      </c>
    </row>
    <row r="902" customFormat="false" ht="15" hidden="false" customHeight="true" outlineLevel="0" collapsed="false">
      <c r="A902" s="10" t="s">
        <v>543</v>
      </c>
      <c r="B902" s="10" t="s">
        <v>1324</v>
      </c>
      <c r="C902" s="63" t="n">
        <v>0</v>
      </c>
      <c r="D902" s="10" t="s">
        <v>1301</v>
      </c>
      <c r="E902" s="6" t="s">
        <v>1429</v>
      </c>
    </row>
    <row r="903" customFormat="false" ht="15" hidden="false" customHeight="true" outlineLevel="0" collapsed="false">
      <c r="A903" s="10" t="s">
        <v>543</v>
      </c>
      <c r="B903" s="10" t="s">
        <v>1326</v>
      </c>
      <c r="C903" s="63" t="n">
        <v>0</v>
      </c>
      <c r="D903" s="10"/>
      <c r="E903" s="6" t="s">
        <v>1650</v>
      </c>
    </row>
    <row r="904" customFormat="false" ht="15" hidden="false" customHeight="true" outlineLevel="0" collapsed="false">
      <c r="A904" s="10" t="s">
        <v>543</v>
      </c>
      <c r="B904" s="10" t="s">
        <v>1328</v>
      </c>
      <c r="C904" s="63" t="n">
        <v>17.238</v>
      </c>
      <c r="D904" s="10"/>
      <c r="E904" s="6" t="s">
        <v>1651</v>
      </c>
    </row>
    <row r="905" customFormat="false" ht="15" hidden="false" customHeight="true" outlineLevel="0" collapsed="false">
      <c r="A905" s="10" t="s">
        <v>543</v>
      </c>
      <c r="B905" s="10" t="s">
        <v>1330</v>
      </c>
      <c r="C905" s="63" t="n">
        <v>1</v>
      </c>
      <c r="D905" s="10" t="s">
        <v>1301</v>
      </c>
      <c r="E905" s="6" t="s">
        <v>1652</v>
      </c>
    </row>
    <row r="906" customFormat="false" ht="15" hidden="false" customHeight="true" outlineLevel="0" collapsed="false">
      <c r="A906" s="10" t="s">
        <v>543</v>
      </c>
      <c r="B906" s="10" t="s">
        <v>1331</v>
      </c>
      <c r="C906" s="63" t="n">
        <v>0</v>
      </c>
      <c r="D906" s="10"/>
      <c r="E906" s="6" t="s">
        <v>1653</v>
      </c>
    </row>
    <row r="907" customFormat="false" ht="15" hidden="false" customHeight="true" outlineLevel="0" collapsed="false">
      <c r="A907" s="10" t="s">
        <v>543</v>
      </c>
      <c r="B907" s="10" t="s">
        <v>1333</v>
      </c>
      <c r="C907" s="63" t="n">
        <v>0</v>
      </c>
      <c r="D907" s="10"/>
      <c r="E907" s="6" t="s">
        <v>1651</v>
      </c>
    </row>
    <row r="908" customFormat="false" ht="15" hidden="false" customHeight="true" outlineLevel="0" collapsed="false">
      <c r="A908" s="10" t="s">
        <v>543</v>
      </c>
      <c r="B908" s="10" t="s">
        <v>1334</v>
      </c>
      <c r="C908" s="63" t="n">
        <v>1.603</v>
      </c>
      <c r="D908" s="10"/>
      <c r="E908" s="6" t="s">
        <v>1654</v>
      </c>
    </row>
    <row r="909" customFormat="false" ht="15" hidden="false" customHeight="true" outlineLevel="0" collapsed="false">
      <c r="A909" s="10" t="s">
        <v>543</v>
      </c>
      <c r="B909" s="10" t="s">
        <v>1335</v>
      </c>
      <c r="C909" s="63" t="n">
        <v>16.734</v>
      </c>
      <c r="D909" s="10"/>
      <c r="E909" s="6" t="s">
        <v>1654</v>
      </c>
    </row>
    <row r="910" customFormat="false" ht="15" hidden="false" customHeight="true" outlineLevel="0" collapsed="false">
      <c r="A910" s="10" t="s">
        <v>543</v>
      </c>
      <c r="B910" s="10" t="s">
        <v>1336</v>
      </c>
      <c r="C910" s="63" t="n">
        <v>0.728286852589641</v>
      </c>
      <c r="D910" s="10" t="s">
        <v>1301</v>
      </c>
      <c r="E910" s="6" t="s">
        <v>1337</v>
      </c>
    </row>
    <row r="911" customFormat="false" ht="15" hidden="false" customHeight="true" outlineLevel="0" collapsed="false">
      <c r="A911" s="10" t="s">
        <v>543</v>
      </c>
      <c r="B911" s="10" t="s">
        <v>1338</v>
      </c>
      <c r="C911" s="63" t="n">
        <v>0</v>
      </c>
      <c r="D911" s="10"/>
      <c r="E911" s="6" t="s">
        <v>1418</v>
      </c>
    </row>
    <row r="912" customFormat="false" ht="15" hidden="false" customHeight="true" outlineLevel="0" collapsed="false">
      <c r="A912" s="10" t="s">
        <v>543</v>
      </c>
      <c r="B912" s="10" t="s">
        <v>1340</v>
      </c>
      <c r="C912" s="63" t="n">
        <v>0</v>
      </c>
      <c r="D912" s="10"/>
      <c r="E912" s="6" t="s">
        <v>1418</v>
      </c>
    </row>
    <row r="913" customFormat="false" ht="15" hidden="false" customHeight="true" outlineLevel="0" collapsed="false">
      <c r="A913" s="10" t="s">
        <v>543</v>
      </c>
      <c r="B913" s="10" t="s">
        <v>1342</v>
      </c>
      <c r="C913" s="63" t="n">
        <v>3.61</v>
      </c>
      <c r="D913" s="10"/>
      <c r="E913" s="6" t="s">
        <v>1651</v>
      </c>
    </row>
    <row r="914" customFormat="false" ht="15" hidden="false" customHeight="true" outlineLevel="0" collapsed="false">
      <c r="A914" s="10" t="s">
        <v>543</v>
      </c>
      <c r="B914" s="10" t="s">
        <v>1343</v>
      </c>
      <c r="C914" s="10" t="s">
        <v>1655</v>
      </c>
      <c r="D914" s="10" t="s">
        <v>1301</v>
      </c>
      <c r="E914" s="6" t="s">
        <v>1393</v>
      </c>
    </row>
    <row r="915" customFormat="false" ht="15" hidden="false" customHeight="true" outlineLevel="0" collapsed="false">
      <c r="A915" s="10" t="s">
        <v>543</v>
      </c>
      <c r="B915" s="10" t="s">
        <v>1346</v>
      </c>
      <c r="C915" s="63" t="n">
        <v>12.225</v>
      </c>
      <c r="D915" s="10" t="s">
        <v>1301</v>
      </c>
      <c r="E915" s="6" t="s">
        <v>1656</v>
      </c>
    </row>
    <row r="916" customFormat="false" ht="15" hidden="false" customHeight="true" outlineLevel="0" collapsed="false">
      <c r="A916" s="10" t="s">
        <v>543</v>
      </c>
      <c r="B916" s="10" t="s">
        <v>1348</v>
      </c>
      <c r="C916" s="63" t="n">
        <v>12.225</v>
      </c>
      <c r="D916" s="10" t="s">
        <v>1301</v>
      </c>
      <c r="E916" s="6" t="s">
        <v>1657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7.25" hidden="false" customHeight="true" outlineLevel="0" collapsed="false">
      <c r="A1" s="2" t="s">
        <v>1658</v>
      </c>
    </row>
    <row r="2" customFormat="false" ht="15" hidden="false" customHeight="true" outlineLevel="0" collapsed="false">
      <c r="A2" s="4" t="s">
        <v>1659</v>
      </c>
    </row>
    <row r="3" customFormat="false" ht="75" hidden="false" customHeight="true" outlineLevel="0" collapsed="false">
      <c r="A3" s="3" t="s">
        <v>1660</v>
      </c>
    </row>
    <row r="4" customFormat="false" ht="45" hidden="false" customHeight="true" outlineLevel="0" collapsed="false">
      <c r="A4" s="3" t="s">
        <v>1661</v>
      </c>
    </row>
    <row r="5" customFormat="false" ht="45" hidden="false" customHeight="true" outlineLevel="0" collapsed="false">
      <c r="A5" s="3" t="s">
        <v>1662</v>
      </c>
    </row>
    <row r="6" customFormat="false" ht="15" hidden="false" customHeight="true" outlineLevel="0" collapsed="false">
      <c r="A6" s="4" t="s">
        <v>1663</v>
      </c>
    </row>
    <row r="7" customFormat="false" ht="60" hidden="false" customHeight="true" outlineLevel="0" collapsed="false">
      <c r="A7" s="3" t="s">
        <v>1664</v>
      </c>
    </row>
    <row r="8" customFormat="false" ht="15" hidden="false" customHeight="true" outlineLevel="0" collapsed="false">
      <c r="A8" s="4" t="s">
        <v>1665</v>
      </c>
    </row>
    <row r="9" customFormat="false" ht="75" hidden="false" customHeight="true" outlineLevel="0" collapsed="false">
      <c r="A9" s="3" t="s">
        <v>1666</v>
      </c>
    </row>
    <row r="10" customFormat="false" ht="15" hidden="false" customHeight="true" outlineLevel="0" collapsed="false">
      <c r="A10" s="4" t="s">
        <v>1667</v>
      </c>
    </row>
    <row r="11" customFormat="false" ht="75" hidden="false" customHeight="true" outlineLevel="0" collapsed="false">
      <c r="A11" s="3" t="s">
        <v>1668</v>
      </c>
    </row>
    <row r="12" customFormat="false" ht="45" hidden="false" customHeight="true" outlineLevel="0" collapsed="false">
      <c r="A12" s="3" t="s">
        <v>1669</v>
      </c>
    </row>
    <row r="13" customFormat="false" ht="15" hidden="false" customHeight="true" outlineLevel="0" collapsed="false">
      <c r="A13" s="4" t="s">
        <v>1670</v>
      </c>
    </row>
    <row r="14" customFormat="false" ht="75" hidden="false" customHeight="true" outlineLevel="0" collapsed="false">
      <c r="A14" s="3" t="s">
        <v>1671</v>
      </c>
    </row>
    <row r="15" customFormat="false" ht="75" hidden="false" customHeight="true" outlineLevel="0" collapsed="false">
      <c r="A15" s="3" t="s">
        <v>1672</v>
      </c>
    </row>
    <row r="16" customFormat="false" ht="15" hidden="false" customHeight="true" outlineLevel="0" collapsed="false">
      <c r="A16" s="4" t="s">
        <v>1673</v>
      </c>
    </row>
    <row r="17" customFormat="false" ht="90" hidden="false" customHeight="true" outlineLevel="0" collapsed="false">
      <c r="A17" s="3" t="s">
        <v>1674</v>
      </c>
    </row>
    <row r="18" customFormat="false" ht="15" hidden="false" customHeight="true" outlineLevel="0" collapsed="false">
      <c r="A18" s="4" t="s">
        <v>1675</v>
      </c>
    </row>
    <row r="19" customFormat="false" ht="60" hidden="false" customHeight="true" outlineLevel="0" collapsed="false">
      <c r="A19" s="3" t="s">
        <v>1676</v>
      </c>
    </row>
    <row r="20" customFormat="false" ht="15" hidden="false" customHeight="true" outlineLevel="0" collapsed="false">
      <c r="A20" s="4" t="s">
        <v>1677</v>
      </c>
    </row>
    <row r="21" customFormat="false" ht="45" hidden="false" customHeight="true" outlineLevel="0" collapsed="false">
      <c r="A21" s="3" t="s">
        <v>1678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2026-10-19T17:54:17Z</dcterms:created>
  <dc:creator>openpyxl</dc:creator>
  <dc:description/>
  <dc:language>en-US</dc:language>
  <cp:lastModifiedBy/>
  <dcterms:modified xsi:type="dcterms:W3CDTF">2026-10-19T19:59:01Z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